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a.togayeva/Desktop/HWR/HWR_Academic/Sommer_2026Thesis/AIOE_dataset/"/>
    </mc:Choice>
  </mc:AlternateContent>
  <xr:revisionPtr revIDLastSave="0" documentId="13_ncr:1_{4B56CD55-A225-4849-9DAE-12591954144A}" xr6:coauthVersionLast="47" xr6:coauthVersionMax="47" xr10:uidLastSave="{00000000-0000-0000-0000-000000000000}"/>
  <bookViews>
    <workbookView xWindow="2560" yWindow="740" windowWidth="26840" windowHeight="15260" xr2:uid="{4F7C63F3-FB07-354D-B279-08BDE10A6583}"/>
  </bookViews>
  <sheets>
    <sheet name="Declining (2)" sheetId="1" r:id="rId1"/>
  </sheets>
  <externalReferences>
    <externalReference r:id="rId2"/>
  </externalReferences>
  <definedNames>
    <definedName name="_xlnm._FilterDatabase" localSheetId="0" hidden="1">'Declining (2)'!$A$1:$I$79</definedName>
    <definedName name="alldata">#REF!</definedName>
    <definedName name="alled">#REF!</definedName>
    <definedName name="allstem">#REF!</definedName>
    <definedName name="sheet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2" i="1"/>
  <c r="I22" i="1"/>
  <c r="E22" i="1"/>
  <c r="D22" i="1"/>
  <c r="I70" i="1"/>
  <c r="E70" i="1"/>
  <c r="D70" i="1"/>
  <c r="F70" i="1" s="1"/>
  <c r="I27" i="1"/>
  <c r="E27" i="1"/>
  <c r="D27" i="1"/>
  <c r="I76" i="1"/>
  <c r="E76" i="1"/>
  <c r="D76" i="1"/>
  <c r="I44" i="1"/>
  <c r="E44" i="1"/>
  <c r="D44" i="1"/>
  <c r="I33" i="1"/>
  <c r="E33" i="1"/>
  <c r="D33" i="1"/>
  <c r="F33" i="1" s="1"/>
  <c r="I43" i="1"/>
  <c r="E43" i="1"/>
  <c r="D43" i="1"/>
  <c r="I48" i="1"/>
  <c r="E48" i="1"/>
  <c r="D48" i="1"/>
  <c r="F48" i="1" s="1"/>
  <c r="I69" i="1"/>
  <c r="E69" i="1"/>
  <c r="D69" i="1"/>
  <c r="I38" i="1"/>
  <c r="E38" i="1"/>
  <c r="D38" i="1"/>
  <c r="F38" i="1" s="1"/>
  <c r="I58" i="1"/>
  <c r="E58" i="1"/>
  <c r="D58" i="1"/>
  <c r="I49" i="1"/>
  <c r="E49" i="1"/>
  <c r="D49" i="1"/>
  <c r="I24" i="1"/>
  <c r="E24" i="1"/>
  <c r="D24" i="1"/>
  <c r="I13" i="1"/>
  <c r="E13" i="1"/>
  <c r="D13" i="1"/>
  <c r="F13" i="1" s="1"/>
  <c r="I36" i="1"/>
  <c r="E36" i="1"/>
  <c r="D36" i="1"/>
  <c r="I79" i="1"/>
  <c r="E79" i="1"/>
  <c r="D79" i="1"/>
  <c r="F79" i="1" s="1"/>
  <c r="I75" i="1"/>
  <c r="E75" i="1"/>
  <c r="D75" i="1"/>
  <c r="I72" i="1"/>
  <c r="E72" i="1"/>
  <c r="D72" i="1"/>
  <c r="I59" i="1"/>
  <c r="E59" i="1"/>
  <c r="D59" i="1"/>
  <c r="I45" i="1"/>
  <c r="E45" i="1"/>
  <c r="D45" i="1"/>
  <c r="I78" i="1"/>
  <c r="E78" i="1"/>
  <c r="D78" i="1"/>
  <c r="I17" i="1"/>
  <c r="E17" i="1"/>
  <c r="D17" i="1"/>
  <c r="F17" i="1" s="1"/>
  <c r="I54" i="1"/>
  <c r="E54" i="1"/>
  <c r="D54" i="1"/>
  <c r="I50" i="1"/>
  <c r="E50" i="1"/>
  <c r="D50" i="1"/>
  <c r="F50" i="1" s="1"/>
  <c r="I71" i="1"/>
  <c r="E71" i="1"/>
  <c r="D71" i="1"/>
  <c r="I53" i="1"/>
  <c r="E53" i="1"/>
  <c r="D53" i="1"/>
  <c r="I68" i="1"/>
  <c r="E68" i="1"/>
  <c r="D68" i="1"/>
  <c r="I34" i="1"/>
  <c r="E34" i="1"/>
  <c r="D34" i="1"/>
  <c r="I19" i="1"/>
  <c r="E19" i="1"/>
  <c r="D19" i="1"/>
  <c r="I8" i="1"/>
  <c r="E8" i="1"/>
  <c r="D8" i="1"/>
  <c r="F8" i="1" s="1"/>
  <c r="I41" i="1"/>
  <c r="E41" i="1"/>
  <c r="D41" i="1"/>
  <c r="I67" i="1"/>
  <c r="E67" i="1"/>
  <c r="D67" i="1"/>
  <c r="I64" i="1"/>
  <c r="E64" i="1"/>
  <c r="D64" i="1"/>
  <c r="I14" i="1"/>
  <c r="E14" i="1"/>
  <c r="D14" i="1"/>
  <c r="F14" i="1" s="1"/>
  <c r="I39" i="1"/>
  <c r="E39" i="1"/>
  <c r="D39" i="1"/>
  <c r="I26" i="1"/>
  <c r="E26" i="1"/>
  <c r="D26" i="1"/>
  <c r="I30" i="1"/>
  <c r="E30" i="1"/>
  <c r="D30" i="1"/>
  <c r="I21" i="1"/>
  <c r="E21" i="1"/>
  <c r="D21" i="1"/>
  <c r="F21" i="1" s="1"/>
  <c r="I6" i="1"/>
  <c r="E6" i="1"/>
  <c r="D6" i="1"/>
  <c r="I20" i="1"/>
  <c r="E20" i="1"/>
  <c r="D20" i="1"/>
  <c r="I63" i="1"/>
  <c r="E63" i="1"/>
  <c r="D63" i="1"/>
  <c r="F63" i="1" s="1"/>
  <c r="I62" i="1"/>
  <c r="E62" i="1"/>
  <c r="D62" i="1"/>
  <c r="F62" i="1" s="1"/>
  <c r="I35" i="1"/>
  <c r="E35" i="1"/>
  <c r="D35" i="1"/>
  <c r="I65" i="1"/>
  <c r="E65" i="1"/>
  <c r="D65" i="1"/>
  <c r="I29" i="1"/>
  <c r="E29" i="1"/>
  <c r="D29" i="1"/>
  <c r="F29" i="1" s="1"/>
  <c r="I74" i="1"/>
  <c r="E74" i="1"/>
  <c r="D74" i="1"/>
  <c r="I3" i="1"/>
  <c r="E3" i="1"/>
  <c r="D3" i="1"/>
  <c r="I28" i="1"/>
  <c r="E28" i="1"/>
  <c r="D28" i="1"/>
  <c r="I4" i="1"/>
  <c r="E4" i="1"/>
  <c r="D4" i="1"/>
  <c r="I61" i="1"/>
  <c r="E61" i="1"/>
  <c r="D61" i="1"/>
  <c r="I32" i="1"/>
  <c r="E32" i="1"/>
  <c r="D32" i="1"/>
  <c r="I52" i="1"/>
  <c r="E52" i="1"/>
  <c r="D52" i="1"/>
  <c r="I47" i="1"/>
  <c r="E47" i="1"/>
  <c r="D47" i="1"/>
  <c r="F47" i="1" s="1"/>
  <c r="I31" i="1"/>
  <c r="E31" i="1"/>
  <c r="D31" i="1"/>
  <c r="I7" i="1"/>
  <c r="E7" i="1"/>
  <c r="D7" i="1"/>
  <c r="F7" i="1" s="1"/>
  <c r="I46" i="1"/>
  <c r="E46" i="1"/>
  <c r="D46" i="1"/>
  <c r="I73" i="1"/>
  <c r="E73" i="1"/>
  <c r="D73" i="1"/>
  <c r="F73" i="1" s="1"/>
  <c r="I42" i="1"/>
  <c r="E42" i="1"/>
  <c r="D42" i="1"/>
  <c r="F42" i="1" s="1"/>
  <c r="I37" i="1"/>
  <c r="E37" i="1"/>
  <c r="D37" i="1"/>
  <c r="I10" i="1"/>
  <c r="E10" i="1"/>
  <c r="D10" i="1"/>
  <c r="I57" i="1"/>
  <c r="E57" i="1"/>
  <c r="D57" i="1"/>
  <c r="I18" i="1"/>
  <c r="E18" i="1"/>
  <c r="D18" i="1"/>
  <c r="F18" i="1" s="1"/>
  <c r="I56" i="1"/>
  <c r="E56" i="1"/>
  <c r="D56" i="1"/>
  <c r="I23" i="1"/>
  <c r="E23" i="1"/>
  <c r="D23" i="1"/>
  <c r="I2" i="1"/>
  <c r="E2" i="1"/>
  <c r="D2" i="1"/>
  <c r="I51" i="1"/>
  <c r="E51" i="1"/>
  <c r="D51" i="1"/>
  <c r="F51" i="1" s="1"/>
  <c r="I15" i="1"/>
  <c r="E15" i="1"/>
  <c r="D15" i="1"/>
  <c r="I66" i="1"/>
  <c r="E66" i="1"/>
  <c r="D66" i="1"/>
  <c r="I12" i="1"/>
  <c r="E12" i="1"/>
  <c r="D12" i="1"/>
  <c r="F12" i="1" s="1"/>
  <c r="I55" i="1"/>
  <c r="E55" i="1"/>
  <c r="D55" i="1"/>
  <c r="I60" i="1"/>
  <c r="E60" i="1"/>
  <c r="D60" i="1"/>
  <c r="F60" i="1" s="1"/>
  <c r="I16" i="1"/>
  <c r="E16" i="1"/>
  <c r="D16" i="1"/>
  <c r="F16" i="1" s="1"/>
  <c r="I5" i="1"/>
  <c r="E5" i="1"/>
  <c r="D5" i="1"/>
  <c r="I40" i="1"/>
  <c r="E40" i="1"/>
  <c r="D40" i="1"/>
  <c r="F40" i="1" s="1"/>
  <c r="I9" i="1"/>
  <c r="E9" i="1"/>
  <c r="D9" i="1"/>
  <c r="F9" i="1" s="1"/>
  <c r="I77" i="1"/>
  <c r="E77" i="1"/>
  <c r="D77" i="1"/>
  <c r="I11" i="1"/>
  <c r="E11" i="1"/>
  <c r="D11" i="1"/>
  <c r="F11" i="1" s="1"/>
  <c r="I25" i="1"/>
  <c r="E25" i="1"/>
  <c r="D25" i="1"/>
  <c r="H5" i="1" l="1"/>
  <c r="F5" i="1"/>
  <c r="H31" i="1"/>
  <c r="F31" i="1"/>
  <c r="H15" i="1"/>
  <c r="F15" i="1"/>
  <c r="H23" i="1"/>
  <c r="F23" i="1"/>
  <c r="H57" i="1"/>
  <c r="F57" i="1"/>
  <c r="H56" i="1"/>
  <c r="F56" i="1"/>
  <c r="F77" i="1"/>
  <c r="F66" i="1"/>
  <c r="H10" i="1"/>
  <c r="F10" i="1"/>
  <c r="H52" i="1"/>
  <c r="F52" i="1"/>
  <c r="F65" i="1"/>
  <c r="F26" i="1"/>
  <c r="F34" i="1"/>
  <c r="F45" i="1"/>
  <c r="F49" i="1"/>
  <c r="F76" i="1"/>
  <c r="F4" i="1"/>
  <c r="H64" i="1"/>
  <c r="F64" i="1"/>
  <c r="F71" i="1"/>
  <c r="F75" i="1"/>
  <c r="F69" i="1"/>
  <c r="F22" i="1"/>
  <c r="H55" i="1"/>
  <c r="F55" i="1"/>
  <c r="F74" i="1"/>
  <c r="H37" i="1"/>
  <c r="F37" i="1"/>
  <c r="F32" i="1"/>
  <c r="F35" i="1"/>
  <c r="H39" i="1"/>
  <c r="F39" i="1"/>
  <c r="F68" i="1"/>
  <c r="F59" i="1"/>
  <c r="F58" i="1"/>
  <c r="F27" i="1"/>
  <c r="H28" i="1"/>
  <c r="F28" i="1"/>
  <c r="H20" i="1"/>
  <c r="F20" i="1"/>
  <c r="H67" i="1"/>
  <c r="F67" i="1"/>
  <c r="F30" i="1"/>
  <c r="F19" i="1"/>
  <c r="F78" i="1"/>
  <c r="F24" i="1"/>
  <c r="F44" i="1"/>
  <c r="F2" i="1"/>
  <c r="F80" i="1" s="1"/>
  <c r="F84" i="1" s="1"/>
  <c r="D80" i="1"/>
  <c r="H25" i="1"/>
  <c r="F25" i="1"/>
  <c r="H46" i="1"/>
  <c r="F46" i="1"/>
  <c r="H61" i="1"/>
  <c r="F61" i="1"/>
  <c r="H53" i="1"/>
  <c r="F53" i="1"/>
  <c r="H72" i="1"/>
  <c r="F72" i="1"/>
  <c r="F3" i="1"/>
  <c r="H6" i="1"/>
  <c r="F6" i="1"/>
  <c r="F41" i="1"/>
  <c r="F54" i="1"/>
  <c r="F36" i="1"/>
  <c r="F43" i="1"/>
  <c r="E80" i="1"/>
  <c r="H74" i="1"/>
  <c r="H18" i="1"/>
  <c r="H34" i="1"/>
  <c r="H50" i="1"/>
  <c r="H42" i="1"/>
  <c r="H62" i="1"/>
  <c r="H77" i="1"/>
  <c r="H66" i="1"/>
  <c r="H2" i="1"/>
  <c r="H79" i="1"/>
  <c r="H3" i="1"/>
  <c r="H35" i="1"/>
  <c r="H63" i="1"/>
  <c r="H38" i="1"/>
  <c r="H33" i="1"/>
  <c r="H76" i="1"/>
  <c r="H70" i="1"/>
  <c r="H11" i="1"/>
  <c r="H47" i="1"/>
  <c r="H19" i="1"/>
  <c r="H60" i="1"/>
  <c r="H54" i="1"/>
  <c r="H78" i="1"/>
  <c r="H59" i="1"/>
  <c r="H24" i="1"/>
  <c r="H58" i="1"/>
  <c r="H14" i="1"/>
  <c r="H45" i="1"/>
  <c r="H8" i="1"/>
  <c r="H51" i="1"/>
  <c r="H29" i="1"/>
  <c r="H75" i="1"/>
  <c r="H36" i="1"/>
  <c r="H48" i="1"/>
  <c r="H40" i="1"/>
  <c r="H9" i="1"/>
  <c r="H65" i="1"/>
  <c r="H30" i="1"/>
  <c r="H41" i="1"/>
  <c r="H17" i="1"/>
  <c r="H69" i="1"/>
  <c r="H43" i="1"/>
  <c r="H44" i="1"/>
  <c r="H27" i="1"/>
  <c r="H22" i="1"/>
  <c r="H73" i="1"/>
  <c r="H12" i="1"/>
  <c r="H7" i="1"/>
  <c r="H32" i="1"/>
  <c r="H21" i="1"/>
  <c r="H26" i="1"/>
  <c r="H68" i="1"/>
  <c r="H13" i="1"/>
  <c r="H16" i="1"/>
  <c r="H4" i="1"/>
  <c r="H71" i="1"/>
  <c r="H49" i="1"/>
</calcChain>
</file>

<file path=xl/sharedStrings.xml><?xml version="1.0" encoding="utf-8"?>
<sst xmlns="http://schemas.openxmlformats.org/spreadsheetml/2006/main" count="166" uniqueCount="166">
  <si>
    <t>SOC Code</t>
  </si>
  <si>
    <t>Occupation Title</t>
  </si>
  <si>
    <t>AIOE</t>
  </si>
  <si>
    <t>Employment_2025</t>
  </si>
  <si>
    <t>Annual_Median_wage_2025</t>
  </si>
  <si>
    <t>Employment_2021</t>
  </si>
  <si>
    <t>employment change 2021-2025 (%)</t>
  </si>
  <si>
    <t>Projected Employment change, percent, 2024–2034</t>
  </si>
  <si>
    <t>25-4031</t>
  </si>
  <si>
    <t>Library Technicians</t>
  </si>
  <si>
    <t>49-9061</t>
  </si>
  <si>
    <t>Camera and Photographic Equipment Repairers</t>
  </si>
  <si>
    <t>41-9011</t>
  </si>
  <si>
    <t>Demonstrators and Product Promoters</t>
  </si>
  <si>
    <t>43-4071</t>
  </si>
  <si>
    <t>File Clerks</t>
  </si>
  <si>
    <t>15-1232</t>
  </si>
  <si>
    <t>Computer User Support Specialists</t>
  </si>
  <si>
    <t>43-9021</t>
  </si>
  <si>
    <t>Data Entry Keyers</t>
  </si>
  <si>
    <t>43-9031</t>
  </si>
  <si>
    <t>Desktop Publishers</t>
  </si>
  <si>
    <t>25-2012</t>
  </si>
  <si>
    <t>Kindergarten Teachers, Except Special Education</t>
  </si>
  <si>
    <t>25-2032</t>
  </si>
  <si>
    <t>Vocational Education Teachers, Secondary School</t>
  </si>
  <si>
    <t>51-5111</t>
  </si>
  <si>
    <t>Prepress Technicians and Workers</t>
  </si>
  <si>
    <t>25-9040</t>
  </si>
  <si>
    <t>Teaching Assistants</t>
  </si>
  <si>
    <t>43-3071</t>
  </si>
  <si>
    <t>Tellers</t>
  </si>
  <si>
    <t>25-2023</t>
  </si>
  <si>
    <t>Vocational Education Teachers, Middle School</t>
  </si>
  <si>
    <t>43-9022</t>
  </si>
  <si>
    <t>Word Processors and Typists</t>
  </si>
  <si>
    <t>13-1032</t>
  </si>
  <si>
    <t>Insurance Appraisers, Auto Damage</t>
  </si>
  <si>
    <t>43-5061</t>
  </si>
  <si>
    <t>Production, Planning, and Expediting Clerks</t>
  </si>
  <si>
    <t>51-9161</t>
  </si>
  <si>
    <t>Computer Operators</t>
  </si>
  <si>
    <t>25-2052</t>
  </si>
  <si>
    <t>Special Education Teachers, Kindergarten and Elementary School</t>
  </si>
  <si>
    <t>51-8011</t>
  </si>
  <si>
    <t>Nuclear Power Reactor Operators</t>
  </si>
  <si>
    <t>15-1244</t>
  </si>
  <si>
    <t>Network and Computer Systems Administrators</t>
  </si>
  <si>
    <t>11-9131</t>
  </si>
  <si>
    <t>Postmasters and Mail Superintendents</t>
  </si>
  <si>
    <t>27-3092</t>
  </si>
  <si>
    <t>Court Reporters</t>
  </si>
  <si>
    <t>11-9031</t>
  </si>
  <si>
    <t>Education Administrators, Preschool and Child Care Center/Program</t>
  </si>
  <si>
    <t>43-4151</t>
  </si>
  <si>
    <t>Order Clerks</t>
  </si>
  <si>
    <t>27-3011</t>
  </si>
  <si>
    <t>Radio and Television Announcers</t>
  </si>
  <si>
    <t>25-9021</t>
  </si>
  <si>
    <t>Farm and Home Management Advisors</t>
  </si>
  <si>
    <t>25-2021</t>
  </si>
  <si>
    <t>Elementary School Teachers, Except Special Education</t>
  </si>
  <si>
    <t>43-4051</t>
  </si>
  <si>
    <t>Customer Service Representatives</t>
  </si>
  <si>
    <t>25-2058</t>
  </si>
  <si>
    <t>Special Education Teachers, Secondary School</t>
  </si>
  <si>
    <t>43-2011</t>
  </si>
  <si>
    <t>Switchboard Operators, Including Answering Service</t>
  </si>
  <si>
    <t>43-6012</t>
  </si>
  <si>
    <t>Legal Secretaries</t>
  </si>
  <si>
    <t>43-2021</t>
  </si>
  <si>
    <t>Telephone Operators</t>
  </si>
  <si>
    <t>43-1011</t>
  </si>
  <si>
    <t>First-Line Supervisors/Managers of Office and Administrative Support Workers</t>
  </si>
  <si>
    <t>43-3031</t>
  </si>
  <si>
    <t>Bookkeeping, Accounting, and Auditing Clerks</t>
  </si>
  <si>
    <t>11-9032</t>
  </si>
  <si>
    <t>Education Administrators, Elementary and Secondary School</t>
  </si>
  <si>
    <t>31-9094</t>
  </si>
  <si>
    <t>Medical Transcriptionists</t>
  </si>
  <si>
    <t>43-6011</t>
  </si>
  <si>
    <t>Executive Secretaries and Administrative Assistants</t>
  </si>
  <si>
    <t>43-6014</t>
  </si>
  <si>
    <t>Secretaries, Except Legal, Medical, and Executive</t>
  </si>
  <si>
    <t>41-9091</t>
  </si>
  <si>
    <t>Door-To-Door Sales Workers, News and Street Vendors, and Related Workers</t>
  </si>
  <si>
    <t>41-9041</t>
  </si>
  <si>
    <t>Telemarketers</t>
  </si>
  <si>
    <t>43-4011</t>
  </si>
  <si>
    <t>Brokerage Clerks</t>
  </si>
  <si>
    <t>43-4021</t>
  </si>
  <si>
    <t>Correspondence Clerks</t>
  </si>
  <si>
    <t>41-3011</t>
  </si>
  <si>
    <t>Advertising Sales Agents</t>
  </si>
  <si>
    <t>27-3023</t>
  </si>
  <si>
    <t>Broadcast News Analysts, Reporters and Correspondents</t>
  </si>
  <si>
    <t>43-4141</t>
  </si>
  <si>
    <t>New Accounts Clerks</t>
  </si>
  <si>
    <t>25-2031</t>
  </si>
  <si>
    <t>Secondary School Teachers, Except Special and Vocational Education</t>
  </si>
  <si>
    <t>43-5032</t>
  </si>
  <si>
    <t>Dispatchers, Except Police, Fire, and Ambulance</t>
  </si>
  <si>
    <t>43-9041</t>
  </si>
  <si>
    <t>Insurance Claims and Policy Processing Clerks</t>
  </si>
  <si>
    <t>43-3051</t>
  </si>
  <si>
    <t>Payroll and Timekeeping Clerks</t>
  </si>
  <si>
    <t>43-3011</t>
  </si>
  <si>
    <t>Bill and Account Collectors</t>
  </si>
  <si>
    <t>13-1031</t>
  </si>
  <si>
    <t>Claims Adjusters, Examiners, and Investigators</t>
  </si>
  <si>
    <t>15-1242</t>
  </si>
  <si>
    <t>Database Administrators</t>
  </si>
  <si>
    <t>25-2022</t>
  </si>
  <si>
    <t>Middle School Teachers, Except Special and Vocational Education</t>
  </si>
  <si>
    <t>43-9081</t>
  </si>
  <si>
    <t>Proofreaders and Copy Markers</t>
  </si>
  <si>
    <t>11-2011</t>
  </si>
  <si>
    <t>Advertising and Promotions Managers</t>
  </si>
  <si>
    <t>25-2057</t>
  </si>
  <si>
    <t>Special Education Teachers, Middle School</t>
  </si>
  <si>
    <t>43-4111</t>
  </si>
  <si>
    <t>Interviewers, Except Eligibility and Loan</t>
  </si>
  <si>
    <t>25-3099</t>
  </si>
  <si>
    <t>Teachers and Instructors, All Other</t>
  </si>
  <si>
    <t>13-2053</t>
  </si>
  <si>
    <t>Insurance Underwriters</t>
  </si>
  <si>
    <t>19-3099</t>
  </si>
  <si>
    <t>Social Scientists and Related Workers, All Other</t>
  </si>
  <si>
    <t>43-3021</t>
  </si>
  <si>
    <t>Billing and Posting Clerks and Machine Operators</t>
  </si>
  <si>
    <t>25-1124</t>
  </si>
  <si>
    <t>Foreign Language and Literature Teachers, Postsecondary</t>
  </si>
  <si>
    <t>13-1075</t>
  </si>
  <si>
    <t>Labor Relations Specialists</t>
  </si>
  <si>
    <t>13-2041</t>
  </si>
  <si>
    <t>Credit Analysts</t>
  </si>
  <si>
    <t>25-3011</t>
  </si>
  <si>
    <t>Adult Literacy, Remedial Education, and GED Teachers and Instructors</t>
  </si>
  <si>
    <t>43-4161</t>
  </si>
  <si>
    <t>Human Resources Assistants, Except Payroll and Timekeeping</t>
  </si>
  <si>
    <t>43-4131</t>
  </si>
  <si>
    <t>Loan Interviewers and Clerks</t>
  </si>
  <si>
    <t>13-2081</t>
  </si>
  <si>
    <t>Tax Examiners, Collectors, and Revenue Agents</t>
  </si>
  <si>
    <t>13-1051</t>
  </si>
  <si>
    <t>Cost Estimators</t>
  </si>
  <si>
    <t>23-1021</t>
  </si>
  <si>
    <t>Administrative Law Judges, Adjudicators, and Hearing Officers</t>
  </si>
  <si>
    <t>43-9111</t>
  </si>
  <si>
    <t>Statistical Assistants</t>
  </si>
  <si>
    <t>19-3094</t>
  </si>
  <si>
    <t>Political Scientists</t>
  </si>
  <si>
    <t>19-3022</t>
  </si>
  <si>
    <t>Survey Researchers</t>
  </si>
  <si>
    <t>19-3092</t>
  </si>
  <si>
    <t>Geographers</t>
  </si>
  <si>
    <t>25-1125</t>
  </si>
  <si>
    <t>History Teachers, Postsecondary</t>
  </si>
  <si>
    <t>43-4041</t>
  </si>
  <si>
    <t>Credit Authorizers, Checkers, and Clerks</t>
  </si>
  <si>
    <t>15-2021</t>
  </si>
  <si>
    <t>Mathematicians</t>
  </si>
  <si>
    <t>43-3061</t>
  </si>
  <si>
    <t>Procurement Clerks</t>
  </si>
  <si>
    <t>weighted avg wage</t>
  </si>
  <si>
    <t>formula: sum(wage*empl)/total empl.lost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</si>
</sst>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3" fillId="0" borderId="4" xfId="0" applyFont="1" applyBorder="1" applyAlignment="1">
      <alignment horizontal="center" wrapText="1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0" fontId="0" fillId="0" borderId="0" xfId="1" applyNumberFormat="1" applyFont="1" applyFill="1"/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2" fontId="4" fillId="0" borderId="2" xfId="0" applyNumberFormat="1" applyFont="1" applyBorder="1" applyAlignment="1">
      <alignment horizontal="center" vertical="center"/>
    </xf>
    <xf numFmtId="0" fontId="7" fillId="0" borderId="0" xfId="0" applyFont="1"/>
    <xf numFmtId="2" fontId="0" fillId="0" borderId="0" xfId="0" applyNumberFormat="1"/>
    <xf numFmtId="164" fontId="0" fillId="0" borderId="0" xfId="0" applyNumberFormat="1"/>
    <xf numFmtId="43" fontId="0" fillId="0" borderId="0" xfId="2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na.togayeva/Desktop/HWR/HWR_Academic/Sommer_2026Thesis/AIOE_dataset/AIOE_DataAppendix.v1.Upd.xlsx" TargetMode="External"/><Relationship Id="rId1" Type="http://schemas.openxmlformats.org/officeDocument/2006/relationships/externalLinkPath" Target="AIOE_DataAppendix.v1.U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tional_M2021_dl"/>
      <sheetName val="national_M2022_dl"/>
      <sheetName val="national_M2023_dl"/>
      <sheetName val="national_M2024_dl"/>
      <sheetName val="national_M2025_dl"/>
      <sheetName val="Appendix A (2)"/>
      <sheetName val="Table 1.2"/>
      <sheetName val="missing from AIOE"/>
      <sheetName val="Appendix A"/>
      <sheetName val="Index"/>
      <sheetName val="Sheet1"/>
      <sheetName val="Appendix B"/>
      <sheetName val="Appendix C"/>
      <sheetName val="Appendix D"/>
      <sheetName val="Appendix E"/>
    </sheetNames>
    <definedNames>
      <definedName name="alldata" refersTo="='national_M2021_dl'!$A$1:$G$1404" sheetId="0"/>
    </definedNames>
    <sheetDataSet>
      <sheetData sheetId="0">
        <row r="1">
          <cell r="A1" t="str">
            <v>OCC_CODE</v>
          </cell>
          <cell r="B1" t="str">
            <v>OCC_TITLE</v>
          </cell>
          <cell r="C1" t="str">
            <v>TOT_EMP</v>
          </cell>
          <cell r="D1" t="str">
            <v>EMP_PRSE</v>
          </cell>
          <cell r="E1" t="str">
            <v>A_MEAN</v>
          </cell>
          <cell r="F1" t="str">
            <v>MEAN_PRSE</v>
          </cell>
          <cell r="G1" t="str">
            <v>A_MEDIAN</v>
          </cell>
        </row>
        <row r="2">
          <cell r="A2" t="str">
            <v>00-0000</v>
          </cell>
          <cell r="B2" t="str">
            <v>All Occupations</v>
          </cell>
          <cell r="C2">
            <v>140886310</v>
          </cell>
          <cell r="D2">
            <v>0</v>
          </cell>
          <cell r="E2">
            <v>58260</v>
          </cell>
          <cell r="F2">
            <v>0.1</v>
          </cell>
          <cell r="G2">
            <v>45760</v>
          </cell>
        </row>
        <row r="3">
          <cell r="A3" t="str">
            <v>11-0000</v>
          </cell>
          <cell r="B3" t="str">
            <v>Management Occupations</v>
          </cell>
          <cell r="C3">
            <v>8909910</v>
          </cell>
          <cell r="D3">
            <v>0.2</v>
          </cell>
          <cell r="E3">
            <v>123370</v>
          </cell>
          <cell r="F3">
            <v>0.3</v>
          </cell>
          <cell r="G3">
            <v>102450</v>
          </cell>
        </row>
        <row r="4">
          <cell r="A4" t="str">
            <v>11-1000</v>
          </cell>
          <cell r="B4" t="str">
            <v>Top Executives</v>
          </cell>
          <cell r="C4">
            <v>3229990</v>
          </cell>
          <cell r="D4">
            <v>0.4</v>
          </cell>
          <cell r="E4">
            <v>120520</v>
          </cell>
          <cell r="F4">
            <v>0.4</v>
          </cell>
          <cell r="G4">
            <v>98720</v>
          </cell>
        </row>
        <row r="5">
          <cell r="A5" t="str">
            <v>11-1010</v>
          </cell>
          <cell r="B5" t="str">
            <v>Chief Executives</v>
          </cell>
          <cell r="C5">
            <v>200480</v>
          </cell>
          <cell r="D5">
            <v>1.6</v>
          </cell>
          <cell r="E5">
            <v>213020</v>
          </cell>
          <cell r="F5">
            <v>0.8</v>
          </cell>
          <cell r="G5">
            <v>179520</v>
          </cell>
        </row>
        <row r="6">
          <cell r="A6" t="str">
            <v>11-1011</v>
          </cell>
          <cell r="B6" t="str">
            <v>Chief Executives</v>
          </cell>
          <cell r="C6">
            <v>200480</v>
          </cell>
          <cell r="D6">
            <v>1.6</v>
          </cell>
          <cell r="E6">
            <v>213020</v>
          </cell>
          <cell r="F6">
            <v>0.8</v>
          </cell>
          <cell r="G6">
            <v>179520</v>
          </cell>
        </row>
        <row r="7">
          <cell r="A7" t="str">
            <v>11-1020</v>
          </cell>
          <cell r="B7" t="str">
            <v>General and Operations Managers</v>
          </cell>
          <cell r="C7">
            <v>2984920</v>
          </cell>
          <cell r="D7">
            <v>0.5</v>
          </cell>
          <cell r="E7">
            <v>115250</v>
          </cell>
          <cell r="F7">
            <v>0.4</v>
          </cell>
          <cell r="G7">
            <v>97970</v>
          </cell>
        </row>
        <row r="8">
          <cell r="A8" t="str">
            <v>11-1021</v>
          </cell>
          <cell r="B8" t="str">
            <v>General and Operations Managers</v>
          </cell>
          <cell r="C8">
            <v>2984920</v>
          </cell>
          <cell r="D8">
            <v>0.5</v>
          </cell>
          <cell r="E8">
            <v>115250</v>
          </cell>
          <cell r="F8">
            <v>0.4</v>
          </cell>
          <cell r="G8">
            <v>97970</v>
          </cell>
        </row>
        <row r="9">
          <cell r="A9" t="str">
            <v>11-1030</v>
          </cell>
          <cell r="B9" t="str">
            <v>Legislators</v>
          </cell>
          <cell r="C9">
            <v>44590</v>
          </cell>
          <cell r="D9">
            <v>2.7</v>
          </cell>
          <cell r="E9">
            <v>57110</v>
          </cell>
          <cell r="F9">
            <v>1.8</v>
          </cell>
          <cell r="G9">
            <v>37270</v>
          </cell>
        </row>
        <row r="10">
          <cell r="A10" t="str">
            <v>11-1031</v>
          </cell>
          <cell r="B10" t="str">
            <v>Legislators</v>
          </cell>
          <cell r="C10">
            <v>44590</v>
          </cell>
          <cell r="D10">
            <v>2.7</v>
          </cell>
          <cell r="E10">
            <v>57110</v>
          </cell>
          <cell r="F10">
            <v>1.8</v>
          </cell>
          <cell r="G10">
            <v>37270</v>
          </cell>
        </row>
        <row r="11">
          <cell r="A11" t="str">
            <v>11-2000</v>
          </cell>
          <cell r="B11" t="str">
            <v>Advertising, Marketing, Promotions, Public Relations, and Sales Managers</v>
          </cell>
          <cell r="C11">
            <v>838050</v>
          </cell>
          <cell r="D11">
            <v>0.8</v>
          </cell>
          <cell r="E11">
            <v>145130</v>
          </cell>
          <cell r="F11">
            <v>0.4</v>
          </cell>
          <cell r="G11">
            <v>128160</v>
          </cell>
        </row>
        <row r="12">
          <cell r="A12" t="str">
            <v>11-2010</v>
          </cell>
          <cell r="B12" t="str">
            <v>Advertising and Promotions Managers</v>
          </cell>
          <cell r="C12">
            <v>22520</v>
          </cell>
          <cell r="D12">
            <v>3.4</v>
          </cell>
          <cell r="E12">
            <v>142860</v>
          </cell>
          <cell r="F12">
            <v>1.9</v>
          </cell>
          <cell r="G12">
            <v>127150</v>
          </cell>
        </row>
        <row r="13">
          <cell r="A13" t="str">
            <v>11-2011</v>
          </cell>
          <cell r="B13" t="str">
            <v>Advertising and Promotions Managers</v>
          </cell>
          <cell r="C13">
            <v>22520</v>
          </cell>
          <cell r="D13">
            <v>3.4</v>
          </cell>
          <cell r="E13">
            <v>142860</v>
          </cell>
          <cell r="F13">
            <v>1.9</v>
          </cell>
          <cell r="G13">
            <v>127150</v>
          </cell>
        </row>
        <row r="14">
          <cell r="A14" t="str">
            <v>11-2020</v>
          </cell>
          <cell r="B14" t="str">
            <v>Marketing and Sales Managers</v>
          </cell>
          <cell r="C14">
            <v>732490</v>
          </cell>
          <cell r="D14">
            <v>0.9</v>
          </cell>
          <cell r="E14">
            <v>146600</v>
          </cell>
          <cell r="F14">
            <v>0.4</v>
          </cell>
          <cell r="G14">
            <v>129330</v>
          </cell>
        </row>
        <row r="15">
          <cell r="A15" t="str">
            <v>11-2021</v>
          </cell>
          <cell r="B15" t="str">
            <v>Marketing Managers</v>
          </cell>
          <cell r="C15">
            <v>278690</v>
          </cell>
          <cell r="D15">
            <v>1</v>
          </cell>
          <cell r="E15">
            <v>153440</v>
          </cell>
          <cell r="F15">
            <v>0.5</v>
          </cell>
          <cell r="G15">
            <v>135030</v>
          </cell>
        </row>
        <row r="16">
          <cell r="A16" t="str">
            <v>11-2022</v>
          </cell>
          <cell r="B16" t="str">
            <v>Sales Managers</v>
          </cell>
          <cell r="C16">
            <v>453800</v>
          </cell>
          <cell r="D16">
            <v>1.2</v>
          </cell>
          <cell r="E16">
            <v>142390</v>
          </cell>
          <cell r="F16">
            <v>0.4</v>
          </cell>
          <cell r="G16">
            <v>127490</v>
          </cell>
        </row>
        <row r="17">
          <cell r="A17" t="str">
            <v>11-2030</v>
          </cell>
          <cell r="B17" t="str">
            <v>Public Relations and Fundraising Managers</v>
          </cell>
          <cell r="C17">
            <v>83040</v>
          </cell>
          <cell r="D17">
            <v>1.7</v>
          </cell>
          <cell r="E17">
            <v>132800</v>
          </cell>
          <cell r="F17">
            <v>0.7</v>
          </cell>
          <cell r="G17">
            <v>119860</v>
          </cell>
        </row>
        <row r="18">
          <cell r="A18" t="str">
            <v>11-2032</v>
          </cell>
          <cell r="B18" t="str">
            <v>Public Relations Managers</v>
          </cell>
          <cell r="C18">
            <v>59850</v>
          </cell>
          <cell r="D18">
            <v>2.2000000000000002</v>
          </cell>
          <cell r="E18">
            <v>138000</v>
          </cell>
          <cell r="F18">
            <v>0.9</v>
          </cell>
          <cell r="G18">
            <v>125780</v>
          </cell>
        </row>
        <row r="19">
          <cell r="A19" t="str">
            <v>11-2033</v>
          </cell>
          <cell r="B19" t="str">
            <v>Fundraising Managers</v>
          </cell>
          <cell r="C19">
            <v>23190</v>
          </cell>
          <cell r="D19">
            <v>1.8</v>
          </cell>
          <cell r="E19">
            <v>119400</v>
          </cell>
          <cell r="F19">
            <v>0.8</v>
          </cell>
          <cell r="G19">
            <v>100810</v>
          </cell>
        </row>
        <row r="20">
          <cell r="A20" t="str">
            <v>11-3000</v>
          </cell>
          <cell r="B20" t="str">
            <v>Operations Specialties Managers</v>
          </cell>
          <cell r="C20">
            <v>2116020</v>
          </cell>
          <cell r="D20">
            <v>0.5</v>
          </cell>
          <cell r="E20">
            <v>139900</v>
          </cell>
          <cell r="F20">
            <v>0.2</v>
          </cell>
          <cell r="G20">
            <v>127140</v>
          </cell>
        </row>
        <row r="21">
          <cell r="A21" t="str">
            <v>11-3010</v>
          </cell>
          <cell r="B21" t="str">
            <v>Administrative Services and Facilities Managers</v>
          </cell>
          <cell r="C21">
            <v>325850</v>
          </cell>
          <cell r="D21">
            <v>0.7</v>
          </cell>
          <cell r="E21">
            <v>109590</v>
          </cell>
          <cell r="F21">
            <v>0.3</v>
          </cell>
          <cell r="G21">
            <v>99290</v>
          </cell>
        </row>
        <row r="22">
          <cell r="A22" t="str">
            <v>11-3012</v>
          </cell>
          <cell r="B22" t="str">
            <v>Administrative Services Managers</v>
          </cell>
          <cell r="C22">
            <v>224620</v>
          </cell>
          <cell r="D22">
            <v>0.7</v>
          </cell>
          <cell r="E22">
            <v>113030</v>
          </cell>
          <cell r="F22">
            <v>0.4</v>
          </cell>
          <cell r="G22">
            <v>100170</v>
          </cell>
        </row>
        <row r="23">
          <cell r="A23" t="str">
            <v>11-3013</v>
          </cell>
          <cell r="B23" t="str">
            <v>Facilities Managers</v>
          </cell>
          <cell r="C23">
            <v>101230</v>
          </cell>
          <cell r="D23">
            <v>1.3</v>
          </cell>
          <cell r="E23">
            <v>101970</v>
          </cell>
          <cell r="F23">
            <v>0.5</v>
          </cell>
          <cell r="G23">
            <v>97930</v>
          </cell>
        </row>
        <row r="24">
          <cell r="A24" t="str">
            <v>11-3020</v>
          </cell>
          <cell r="B24" t="str">
            <v>Computer and Information Systems Managers</v>
          </cell>
          <cell r="C24">
            <v>485190</v>
          </cell>
          <cell r="D24">
            <v>0.9</v>
          </cell>
          <cell r="E24">
            <v>162930</v>
          </cell>
          <cell r="F24">
            <v>0.3</v>
          </cell>
          <cell r="G24">
            <v>159010</v>
          </cell>
        </row>
        <row r="25">
          <cell r="A25" t="str">
            <v>11-3021</v>
          </cell>
          <cell r="B25" t="str">
            <v>Computer and Information Systems Managers</v>
          </cell>
          <cell r="C25">
            <v>485190</v>
          </cell>
          <cell r="D25">
            <v>0.9</v>
          </cell>
          <cell r="E25">
            <v>162930</v>
          </cell>
          <cell r="F25">
            <v>0.3</v>
          </cell>
          <cell r="G25">
            <v>159010</v>
          </cell>
        </row>
        <row r="26">
          <cell r="A26" t="str">
            <v>11-3030</v>
          </cell>
          <cell r="B26" t="str">
            <v>Financial Managers</v>
          </cell>
          <cell r="C26">
            <v>681070</v>
          </cell>
          <cell r="D26">
            <v>0.6</v>
          </cell>
          <cell r="E26">
            <v>153460</v>
          </cell>
          <cell r="F26">
            <v>0.3</v>
          </cell>
          <cell r="G26">
            <v>131710</v>
          </cell>
        </row>
        <row r="27">
          <cell r="A27" t="str">
            <v>11-3031</v>
          </cell>
          <cell r="B27" t="str">
            <v>Financial Managers</v>
          </cell>
          <cell r="C27">
            <v>681070</v>
          </cell>
          <cell r="D27">
            <v>0.6</v>
          </cell>
          <cell r="E27">
            <v>153460</v>
          </cell>
          <cell r="F27">
            <v>0.3</v>
          </cell>
          <cell r="G27">
            <v>131710</v>
          </cell>
        </row>
        <row r="28">
          <cell r="A28" t="str">
            <v>11-3050</v>
          </cell>
          <cell r="B28" t="str">
            <v>Industrial Production Managers</v>
          </cell>
          <cell r="C28">
            <v>192270</v>
          </cell>
          <cell r="D28">
            <v>0.6</v>
          </cell>
          <cell r="E28">
            <v>117780</v>
          </cell>
          <cell r="F28">
            <v>0.3</v>
          </cell>
          <cell r="G28">
            <v>103150</v>
          </cell>
        </row>
        <row r="29">
          <cell r="A29" t="str">
            <v>11-3051</v>
          </cell>
          <cell r="B29" t="str">
            <v>Industrial Production Managers</v>
          </cell>
          <cell r="C29">
            <v>192270</v>
          </cell>
          <cell r="D29">
            <v>0.6</v>
          </cell>
          <cell r="E29">
            <v>117780</v>
          </cell>
          <cell r="F29">
            <v>0.3</v>
          </cell>
          <cell r="G29">
            <v>103150</v>
          </cell>
        </row>
        <row r="30">
          <cell r="A30" t="str">
            <v>11-3060</v>
          </cell>
          <cell r="B30" t="str">
            <v>Purchasing Managers</v>
          </cell>
          <cell r="C30">
            <v>69310</v>
          </cell>
          <cell r="D30">
            <v>0.9</v>
          </cell>
          <cell r="E30">
            <v>134590</v>
          </cell>
          <cell r="F30">
            <v>0.5</v>
          </cell>
          <cell r="G30">
            <v>127150</v>
          </cell>
        </row>
        <row r="31">
          <cell r="A31" t="str">
            <v>11-3061</v>
          </cell>
          <cell r="B31" t="str">
            <v>Purchasing Managers</v>
          </cell>
          <cell r="C31">
            <v>69310</v>
          </cell>
          <cell r="D31">
            <v>0.9</v>
          </cell>
          <cell r="E31">
            <v>134590</v>
          </cell>
          <cell r="F31">
            <v>0.5</v>
          </cell>
          <cell r="G31">
            <v>127150</v>
          </cell>
        </row>
        <row r="32">
          <cell r="A32" t="str">
            <v>11-3070</v>
          </cell>
          <cell r="B32" t="str">
            <v>Transportation, Storage, and Distribution Managers</v>
          </cell>
          <cell r="C32">
            <v>144640</v>
          </cell>
          <cell r="D32">
            <v>1.1000000000000001</v>
          </cell>
          <cell r="E32">
            <v>105580</v>
          </cell>
          <cell r="F32">
            <v>0.6</v>
          </cell>
          <cell r="G32">
            <v>98230</v>
          </cell>
        </row>
        <row r="33">
          <cell r="A33" t="str">
            <v>11-3071</v>
          </cell>
          <cell r="B33" t="str">
            <v>Transportation, Storage, and Distribution Managers</v>
          </cell>
          <cell r="C33">
            <v>144640</v>
          </cell>
          <cell r="D33">
            <v>1.1000000000000001</v>
          </cell>
          <cell r="E33">
            <v>105580</v>
          </cell>
          <cell r="F33">
            <v>0.6</v>
          </cell>
          <cell r="G33">
            <v>98230</v>
          </cell>
        </row>
        <row r="34">
          <cell r="A34" t="str">
            <v>11-3110</v>
          </cell>
          <cell r="B34" t="str">
            <v>Compensation and Benefits Managers</v>
          </cell>
          <cell r="C34">
            <v>15330</v>
          </cell>
          <cell r="D34">
            <v>2.5</v>
          </cell>
          <cell r="E34">
            <v>139470</v>
          </cell>
          <cell r="F34">
            <v>1</v>
          </cell>
          <cell r="G34">
            <v>127530</v>
          </cell>
        </row>
        <row r="35">
          <cell r="A35" t="str">
            <v>11-3111</v>
          </cell>
          <cell r="B35" t="str">
            <v>Compensation and Benefits Managers</v>
          </cell>
          <cell r="C35">
            <v>15330</v>
          </cell>
          <cell r="D35">
            <v>2.5</v>
          </cell>
          <cell r="E35">
            <v>139470</v>
          </cell>
          <cell r="F35">
            <v>1</v>
          </cell>
          <cell r="G35">
            <v>127530</v>
          </cell>
        </row>
        <row r="36">
          <cell r="A36" t="str">
            <v>11-3120</v>
          </cell>
          <cell r="B36" t="str">
            <v>Human Resources Managers</v>
          </cell>
          <cell r="C36">
            <v>166530</v>
          </cell>
          <cell r="D36">
            <v>1.4</v>
          </cell>
          <cell r="E36">
            <v>136590</v>
          </cell>
          <cell r="F36">
            <v>0.5</v>
          </cell>
          <cell r="G36">
            <v>126230</v>
          </cell>
        </row>
        <row r="37">
          <cell r="A37" t="str">
            <v>11-3121</v>
          </cell>
          <cell r="B37" t="str">
            <v>Human Resources Managers</v>
          </cell>
          <cell r="C37">
            <v>166530</v>
          </cell>
          <cell r="D37">
            <v>1.4</v>
          </cell>
          <cell r="E37">
            <v>136590</v>
          </cell>
          <cell r="F37">
            <v>0.5</v>
          </cell>
          <cell r="G37">
            <v>126230</v>
          </cell>
        </row>
        <row r="38">
          <cell r="A38" t="str">
            <v>11-3130</v>
          </cell>
          <cell r="B38" t="str">
            <v>Training and Development Managers</v>
          </cell>
          <cell r="C38">
            <v>35830</v>
          </cell>
          <cell r="D38">
            <v>1.2</v>
          </cell>
          <cell r="E38">
            <v>128800</v>
          </cell>
          <cell r="F38">
            <v>0.7</v>
          </cell>
          <cell r="G38">
            <v>120130</v>
          </cell>
        </row>
        <row r="39">
          <cell r="A39" t="str">
            <v>11-3131</v>
          </cell>
          <cell r="B39" t="str">
            <v>Training and Development Managers</v>
          </cell>
          <cell r="C39">
            <v>35830</v>
          </cell>
          <cell r="D39">
            <v>1.2</v>
          </cell>
          <cell r="E39">
            <v>128800</v>
          </cell>
          <cell r="F39">
            <v>0.7</v>
          </cell>
          <cell r="G39">
            <v>120130</v>
          </cell>
        </row>
        <row r="40">
          <cell r="A40" t="str">
            <v>11-9000</v>
          </cell>
          <cell r="B40" t="str">
            <v>Other Management Occupations</v>
          </cell>
          <cell r="C40">
            <v>2725860</v>
          </cell>
          <cell r="D40">
            <v>0.3</v>
          </cell>
          <cell r="E40">
            <v>107230</v>
          </cell>
          <cell r="F40">
            <v>0.3</v>
          </cell>
          <cell r="G40">
            <v>97630</v>
          </cell>
        </row>
        <row r="41">
          <cell r="A41" t="str">
            <v>11-9010</v>
          </cell>
          <cell r="B41" t="str">
            <v>Farmers, Ranchers, and Other Agricultural Managers</v>
          </cell>
          <cell r="C41">
            <v>5220</v>
          </cell>
          <cell r="D41">
            <v>5.6</v>
          </cell>
          <cell r="E41">
            <v>78440</v>
          </cell>
          <cell r="F41">
            <v>2</v>
          </cell>
          <cell r="G41">
            <v>73060</v>
          </cell>
        </row>
        <row r="42">
          <cell r="A42" t="str">
            <v>11-9013</v>
          </cell>
          <cell r="B42" t="str">
            <v>Farmers, Ranchers, and Other Agricultural Managers</v>
          </cell>
          <cell r="C42">
            <v>5220</v>
          </cell>
          <cell r="D42">
            <v>5.6</v>
          </cell>
          <cell r="E42">
            <v>78440</v>
          </cell>
          <cell r="F42">
            <v>2</v>
          </cell>
          <cell r="G42">
            <v>73060</v>
          </cell>
        </row>
        <row r="43">
          <cell r="A43" t="str">
            <v>11-9020</v>
          </cell>
          <cell r="B43" t="str">
            <v>Construction Managers</v>
          </cell>
          <cell r="C43">
            <v>284750</v>
          </cell>
          <cell r="D43">
            <v>1.5</v>
          </cell>
          <cell r="E43">
            <v>108210</v>
          </cell>
          <cell r="F43">
            <v>0.8</v>
          </cell>
          <cell r="G43">
            <v>98890</v>
          </cell>
        </row>
        <row r="44">
          <cell r="A44" t="str">
            <v>11-9021</v>
          </cell>
          <cell r="B44" t="str">
            <v>Construction Managers</v>
          </cell>
          <cell r="C44">
            <v>284750</v>
          </cell>
          <cell r="D44">
            <v>1.5</v>
          </cell>
          <cell r="E44">
            <v>108210</v>
          </cell>
          <cell r="F44">
            <v>0.8</v>
          </cell>
          <cell r="G44">
            <v>98890</v>
          </cell>
        </row>
        <row r="45">
          <cell r="A45" t="str">
            <v>11-9030</v>
          </cell>
          <cell r="B45" t="str">
            <v>Education and Childcare Administrators</v>
          </cell>
          <cell r="C45">
            <v>537100</v>
          </cell>
          <cell r="D45">
            <v>0.5</v>
          </cell>
          <cell r="E45">
            <v>99280</v>
          </cell>
          <cell r="F45">
            <v>0.3</v>
          </cell>
          <cell r="G45">
            <v>95010</v>
          </cell>
        </row>
        <row r="46">
          <cell r="A46" t="str">
            <v>11-9031</v>
          </cell>
          <cell r="B46" t="str">
            <v>Education and Childcare Administrators, Preschool and Daycare</v>
          </cell>
          <cell r="C46">
            <v>56430</v>
          </cell>
          <cell r="D46">
            <v>2.7</v>
          </cell>
          <cell r="E46">
            <v>53800</v>
          </cell>
          <cell r="F46">
            <v>0.9</v>
          </cell>
          <cell r="G46">
            <v>47310</v>
          </cell>
        </row>
        <row r="47">
          <cell r="A47" t="str">
            <v>11-9032</v>
          </cell>
          <cell r="B47" t="str">
            <v>Education Administrators, Kindergarten through Secondary</v>
          </cell>
          <cell r="C47">
            <v>274710</v>
          </cell>
          <cell r="D47">
            <v>0.8</v>
          </cell>
          <cell r="E47">
            <v>102650</v>
          </cell>
          <cell r="F47">
            <v>0.3</v>
          </cell>
          <cell r="G47">
            <v>98420</v>
          </cell>
        </row>
        <row r="48">
          <cell r="A48" t="str">
            <v>11-9033</v>
          </cell>
          <cell r="B48" t="str">
            <v>Education Administrators, Postsecondary</v>
          </cell>
          <cell r="C48">
            <v>155990</v>
          </cell>
          <cell r="D48">
            <v>0.3</v>
          </cell>
          <cell r="E48">
            <v>111260</v>
          </cell>
          <cell r="F48">
            <v>0.3</v>
          </cell>
          <cell r="G48">
            <v>96910</v>
          </cell>
        </row>
        <row r="49">
          <cell r="A49" t="str">
            <v>11-9039</v>
          </cell>
          <cell r="B49" t="str">
            <v>Education Administrators, All Other</v>
          </cell>
          <cell r="C49">
            <v>49970</v>
          </cell>
          <cell r="D49">
            <v>1.7</v>
          </cell>
          <cell r="E49">
            <v>94730</v>
          </cell>
          <cell r="F49">
            <v>0.7</v>
          </cell>
          <cell r="G49">
            <v>90560</v>
          </cell>
        </row>
        <row r="50">
          <cell r="A50" t="str">
            <v>11-9040</v>
          </cell>
          <cell r="B50" t="str">
            <v>Architectural and Engineering Managers</v>
          </cell>
          <cell r="C50">
            <v>187100</v>
          </cell>
          <cell r="D50">
            <v>0.9</v>
          </cell>
          <cell r="E50">
            <v>158970</v>
          </cell>
          <cell r="F50">
            <v>0.3</v>
          </cell>
          <cell r="G50">
            <v>152350</v>
          </cell>
        </row>
        <row r="51">
          <cell r="A51" t="str">
            <v>11-9041</v>
          </cell>
          <cell r="B51" t="str">
            <v>Architectural and Engineering Managers</v>
          </cell>
          <cell r="C51">
            <v>187100</v>
          </cell>
          <cell r="D51">
            <v>0.9</v>
          </cell>
          <cell r="E51">
            <v>158970</v>
          </cell>
          <cell r="F51">
            <v>0.3</v>
          </cell>
          <cell r="G51">
            <v>152350</v>
          </cell>
        </row>
        <row r="52">
          <cell r="A52" t="str">
            <v>11-9050</v>
          </cell>
          <cell r="B52" t="str">
            <v>Food Service Managers</v>
          </cell>
          <cell r="C52">
            <v>210680</v>
          </cell>
          <cell r="D52">
            <v>1.9</v>
          </cell>
          <cell r="E52">
            <v>63970</v>
          </cell>
          <cell r="F52">
            <v>1.4</v>
          </cell>
          <cell r="G52">
            <v>59440</v>
          </cell>
        </row>
        <row r="53">
          <cell r="A53" t="str">
            <v>11-9051</v>
          </cell>
          <cell r="B53" t="str">
            <v>Food Service Managers</v>
          </cell>
          <cell r="C53">
            <v>210680</v>
          </cell>
          <cell r="D53">
            <v>1.9</v>
          </cell>
          <cell r="E53">
            <v>63970</v>
          </cell>
          <cell r="F53">
            <v>1.4</v>
          </cell>
          <cell r="G53">
            <v>59440</v>
          </cell>
        </row>
        <row r="54">
          <cell r="A54" t="str">
            <v>11-9070</v>
          </cell>
          <cell r="B54" t="str">
            <v>Entertainment and Recreation Managers</v>
          </cell>
          <cell r="C54">
            <v>21460</v>
          </cell>
          <cell r="D54">
            <v>2.8</v>
          </cell>
          <cell r="E54">
            <v>76430</v>
          </cell>
          <cell r="F54">
            <v>1.2</v>
          </cell>
          <cell r="G54">
            <v>63270</v>
          </cell>
        </row>
        <row r="55">
          <cell r="A55" t="str">
            <v>11-9071</v>
          </cell>
          <cell r="B55" t="str">
            <v>Gambling Managers</v>
          </cell>
          <cell r="C55">
            <v>3660</v>
          </cell>
          <cell r="D55">
            <v>3.5</v>
          </cell>
          <cell r="E55">
            <v>89190</v>
          </cell>
          <cell r="F55">
            <v>1.6</v>
          </cell>
          <cell r="G55">
            <v>76910</v>
          </cell>
        </row>
        <row r="56">
          <cell r="A56" t="str">
            <v>11-9072</v>
          </cell>
          <cell r="B56" t="str">
            <v>Entertainment and Recreation Managers, Except Gambling</v>
          </cell>
          <cell r="C56">
            <v>17800</v>
          </cell>
          <cell r="D56">
            <v>3.3</v>
          </cell>
          <cell r="E56">
            <v>73810</v>
          </cell>
          <cell r="F56">
            <v>1.4</v>
          </cell>
          <cell r="G56">
            <v>62000</v>
          </cell>
        </row>
        <row r="57">
          <cell r="A57" t="str">
            <v>11-9080</v>
          </cell>
          <cell r="B57" t="str">
            <v>Lodging Managers</v>
          </cell>
          <cell r="C57">
            <v>35920</v>
          </cell>
          <cell r="D57">
            <v>2.5</v>
          </cell>
          <cell r="E57">
            <v>67770</v>
          </cell>
          <cell r="F57">
            <v>1.8</v>
          </cell>
          <cell r="G57">
            <v>59430</v>
          </cell>
        </row>
        <row r="58">
          <cell r="A58" t="str">
            <v>11-9081</v>
          </cell>
          <cell r="B58" t="str">
            <v>Lodging Managers</v>
          </cell>
          <cell r="C58">
            <v>35920</v>
          </cell>
          <cell r="D58">
            <v>2.5</v>
          </cell>
          <cell r="E58">
            <v>67770</v>
          </cell>
          <cell r="F58">
            <v>1.8</v>
          </cell>
          <cell r="G58">
            <v>59430</v>
          </cell>
        </row>
        <row r="59">
          <cell r="A59" t="str">
            <v>11-9110</v>
          </cell>
          <cell r="B59" t="str">
            <v>Medical and Health Services Managers</v>
          </cell>
          <cell r="C59">
            <v>436770</v>
          </cell>
          <cell r="D59">
            <v>0.5</v>
          </cell>
          <cell r="E59">
            <v>119840</v>
          </cell>
          <cell r="F59">
            <v>0.3</v>
          </cell>
          <cell r="G59">
            <v>101340</v>
          </cell>
        </row>
        <row r="60">
          <cell r="A60" t="str">
            <v>11-9111</v>
          </cell>
          <cell r="B60" t="str">
            <v>Medical and Health Services Managers</v>
          </cell>
          <cell r="C60">
            <v>436770</v>
          </cell>
          <cell r="D60">
            <v>0.5</v>
          </cell>
          <cell r="E60">
            <v>119840</v>
          </cell>
          <cell r="F60">
            <v>0.3</v>
          </cell>
          <cell r="G60">
            <v>101340</v>
          </cell>
        </row>
        <row r="61">
          <cell r="A61" t="str">
            <v>11-9120</v>
          </cell>
          <cell r="B61" t="str">
            <v>Natural Sciences Managers</v>
          </cell>
          <cell r="C61">
            <v>74760</v>
          </cell>
          <cell r="D61">
            <v>1.6</v>
          </cell>
          <cell r="E61">
            <v>156110</v>
          </cell>
          <cell r="F61">
            <v>0.7</v>
          </cell>
          <cell r="G61">
            <v>137900</v>
          </cell>
        </row>
        <row r="62">
          <cell r="A62" t="str">
            <v>11-9121</v>
          </cell>
          <cell r="B62" t="str">
            <v>Natural Sciences Managers</v>
          </cell>
          <cell r="C62">
            <v>74760</v>
          </cell>
          <cell r="D62">
            <v>1.6</v>
          </cell>
          <cell r="E62">
            <v>156110</v>
          </cell>
          <cell r="F62">
            <v>0.7</v>
          </cell>
          <cell r="G62">
            <v>137900</v>
          </cell>
        </row>
        <row r="63">
          <cell r="A63" t="str">
            <v>11-9130</v>
          </cell>
          <cell r="B63" t="str">
            <v>Postmasters and Mail Superintendents</v>
          </cell>
          <cell r="C63">
            <v>12750</v>
          </cell>
          <cell r="D63">
            <v>0</v>
          </cell>
          <cell r="E63">
            <v>81820</v>
          </cell>
          <cell r="F63">
            <v>0</v>
          </cell>
          <cell r="G63">
            <v>80250</v>
          </cell>
        </row>
        <row r="64">
          <cell r="A64" t="str">
            <v>11-9131</v>
          </cell>
          <cell r="B64" t="str">
            <v>Postmasters and Mail Superintendents</v>
          </cell>
          <cell r="C64">
            <v>12750</v>
          </cell>
          <cell r="D64">
            <v>0</v>
          </cell>
          <cell r="E64">
            <v>81820</v>
          </cell>
          <cell r="F64">
            <v>0</v>
          </cell>
          <cell r="G64">
            <v>80250</v>
          </cell>
        </row>
        <row r="65">
          <cell r="A65" t="str">
            <v>11-9140</v>
          </cell>
          <cell r="B65" t="str">
            <v>Property, Real Estate, and Community Association Managers</v>
          </cell>
          <cell r="C65">
            <v>234680</v>
          </cell>
          <cell r="D65">
            <v>2.6</v>
          </cell>
          <cell r="E65">
            <v>70030</v>
          </cell>
          <cell r="F65">
            <v>1.4</v>
          </cell>
          <cell r="G65">
            <v>59230</v>
          </cell>
        </row>
        <row r="66">
          <cell r="A66" t="str">
            <v>11-9141</v>
          </cell>
          <cell r="B66" t="str">
            <v>Property, Real Estate, and Community Association Managers</v>
          </cell>
          <cell r="C66">
            <v>234680</v>
          </cell>
          <cell r="D66">
            <v>2.6</v>
          </cell>
          <cell r="E66">
            <v>70030</v>
          </cell>
          <cell r="F66">
            <v>1.4</v>
          </cell>
          <cell r="G66">
            <v>59230</v>
          </cell>
        </row>
        <row r="67">
          <cell r="A67" t="str">
            <v>11-9150</v>
          </cell>
          <cell r="B67" t="str">
            <v>Social and Community Service Managers</v>
          </cell>
          <cell r="C67">
            <v>156400</v>
          </cell>
          <cell r="D67">
            <v>1</v>
          </cell>
          <cell r="E67">
            <v>76790</v>
          </cell>
          <cell r="F67">
            <v>0.5</v>
          </cell>
          <cell r="G67">
            <v>74000</v>
          </cell>
        </row>
        <row r="68">
          <cell r="A68" t="str">
            <v>11-9151</v>
          </cell>
          <cell r="B68" t="str">
            <v>Social and Community Service Managers</v>
          </cell>
          <cell r="C68">
            <v>156400</v>
          </cell>
          <cell r="D68">
            <v>1</v>
          </cell>
          <cell r="E68">
            <v>76790</v>
          </cell>
          <cell r="F68">
            <v>0.5</v>
          </cell>
          <cell r="G68">
            <v>74000</v>
          </cell>
        </row>
        <row r="69">
          <cell r="A69" t="str">
            <v>11-9160</v>
          </cell>
          <cell r="B69" t="str">
            <v>Emergency Management Directors</v>
          </cell>
          <cell r="C69">
            <v>10320</v>
          </cell>
          <cell r="D69">
            <v>1.6</v>
          </cell>
          <cell r="E69">
            <v>84800</v>
          </cell>
          <cell r="F69">
            <v>0.8</v>
          </cell>
          <cell r="G69">
            <v>76730</v>
          </cell>
        </row>
        <row r="70">
          <cell r="A70" t="str">
            <v>11-9161</v>
          </cell>
          <cell r="B70" t="str">
            <v>Emergency Management Directors</v>
          </cell>
          <cell r="C70">
            <v>10320</v>
          </cell>
          <cell r="D70">
            <v>1.6</v>
          </cell>
          <cell r="E70">
            <v>84800</v>
          </cell>
          <cell r="F70">
            <v>0.8</v>
          </cell>
          <cell r="G70">
            <v>76730</v>
          </cell>
        </row>
        <row r="71">
          <cell r="A71" t="str">
            <v>11-9170</v>
          </cell>
          <cell r="B71" t="str">
            <v>Personal Service Managers</v>
          </cell>
          <cell r="C71">
            <v>20060</v>
          </cell>
          <cell r="D71">
            <v>6.5</v>
          </cell>
          <cell r="E71">
            <v>74360</v>
          </cell>
          <cell r="F71">
            <v>2.4</v>
          </cell>
          <cell r="G71">
            <v>60360</v>
          </cell>
        </row>
        <row r="72">
          <cell r="A72" t="str">
            <v>11-9171</v>
          </cell>
          <cell r="B72" t="str">
            <v>Funeral Home Managers</v>
          </cell>
          <cell r="C72">
            <v>12710</v>
          </cell>
          <cell r="D72">
            <v>3.4</v>
          </cell>
          <cell r="E72">
            <v>82900</v>
          </cell>
          <cell r="F72">
            <v>1.8</v>
          </cell>
          <cell r="G72">
            <v>74000</v>
          </cell>
        </row>
        <row r="73">
          <cell r="A73" t="str">
            <v>11-9179</v>
          </cell>
          <cell r="B73" t="str">
            <v>Personal Service Managers, All Other</v>
          </cell>
          <cell r="C73">
            <v>7350</v>
          </cell>
          <cell r="D73">
            <v>21.3</v>
          </cell>
          <cell r="E73">
            <v>59580</v>
          </cell>
          <cell r="F73">
            <v>2.1</v>
          </cell>
          <cell r="G73">
            <v>60360</v>
          </cell>
        </row>
        <row r="74">
          <cell r="A74" t="str">
            <v>11-9190</v>
          </cell>
          <cell r="B74" t="str">
            <v>Miscellaneous Managers</v>
          </cell>
          <cell r="C74">
            <v>497890</v>
          </cell>
          <cell r="D74">
            <v>0.6</v>
          </cell>
          <cell r="E74">
            <v>129710</v>
          </cell>
          <cell r="F74">
            <v>0.4</v>
          </cell>
          <cell r="G74">
            <v>124650</v>
          </cell>
        </row>
        <row r="75">
          <cell r="A75" t="str">
            <v>11-9199</v>
          </cell>
          <cell r="B75" t="str">
            <v>Managers, All Other</v>
          </cell>
          <cell r="C75">
            <v>497890</v>
          </cell>
          <cell r="D75">
            <v>0.6</v>
          </cell>
          <cell r="E75">
            <v>129710</v>
          </cell>
          <cell r="F75">
            <v>0.4</v>
          </cell>
          <cell r="G75">
            <v>124650</v>
          </cell>
        </row>
        <row r="76">
          <cell r="A76" t="str">
            <v>13-0000</v>
          </cell>
          <cell r="B76" t="str">
            <v>Business and Financial Operations Occupations</v>
          </cell>
          <cell r="C76">
            <v>9053790</v>
          </cell>
          <cell r="D76">
            <v>0.2</v>
          </cell>
          <cell r="E76">
            <v>82610</v>
          </cell>
          <cell r="F76">
            <v>0.2</v>
          </cell>
          <cell r="G76">
            <v>76570</v>
          </cell>
        </row>
        <row r="77">
          <cell r="A77" t="str">
            <v>13-1000</v>
          </cell>
          <cell r="B77" t="str">
            <v>Business Operations Specialists</v>
          </cell>
          <cell r="C77">
            <v>6152960</v>
          </cell>
          <cell r="D77">
            <v>0.2</v>
          </cell>
          <cell r="E77">
            <v>80380</v>
          </cell>
          <cell r="F77">
            <v>0.3</v>
          </cell>
          <cell r="G77">
            <v>76040</v>
          </cell>
        </row>
        <row r="78">
          <cell r="A78" t="str">
            <v>13-1010</v>
          </cell>
          <cell r="B78" t="str">
            <v>Agents and Business Managers of Artists, Performers, and Athletes</v>
          </cell>
          <cell r="C78">
            <v>12480</v>
          </cell>
          <cell r="D78">
            <v>8.5</v>
          </cell>
          <cell r="E78">
            <v>116410</v>
          </cell>
          <cell r="F78">
            <v>4</v>
          </cell>
          <cell r="G78">
            <v>78410</v>
          </cell>
        </row>
        <row r="79">
          <cell r="A79" t="str">
            <v>13-1011</v>
          </cell>
          <cell r="B79" t="str">
            <v>Agents and Business Managers of Artists, Performers, and Athletes</v>
          </cell>
          <cell r="C79">
            <v>12480</v>
          </cell>
          <cell r="D79">
            <v>8.5</v>
          </cell>
          <cell r="E79">
            <v>116410</v>
          </cell>
          <cell r="F79">
            <v>4</v>
          </cell>
          <cell r="G79">
            <v>78410</v>
          </cell>
        </row>
        <row r="80">
          <cell r="A80" t="str">
            <v>13-1020</v>
          </cell>
          <cell r="B80" t="str">
            <v>Buyers and Purchasing Agents</v>
          </cell>
          <cell r="C80">
            <v>439020</v>
          </cell>
          <cell r="D80">
            <v>0.6</v>
          </cell>
          <cell r="E80">
            <v>72540</v>
          </cell>
          <cell r="F80">
            <v>0.3</v>
          </cell>
          <cell r="G80">
            <v>63470</v>
          </cell>
        </row>
        <row r="81">
          <cell r="A81" t="str">
            <v>13-1020</v>
          </cell>
          <cell r="B81" t="str">
            <v>Buyers and Purchasing Agents</v>
          </cell>
          <cell r="C81">
            <v>439020</v>
          </cell>
          <cell r="D81">
            <v>0.6</v>
          </cell>
          <cell r="E81">
            <v>72540</v>
          </cell>
          <cell r="F81">
            <v>0.3</v>
          </cell>
          <cell r="G81">
            <v>63470</v>
          </cell>
        </row>
        <row r="82">
          <cell r="A82" t="str">
            <v>13-1030</v>
          </cell>
          <cell r="B82" t="str">
            <v>Claims Adjusters, Appraisers, Examiners, and Investigators</v>
          </cell>
          <cell r="C82">
            <v>289580</v>
          </cell>
          <cell r="D82">
            <v>1.3</v>
          </cell>
          <cell r="E82">
            <v>70850</v>
          </cell>
          <cell r="F82">
            <v>0.5</v>
          </cell>
          <cell r="G82">
            <v>64710</v>
          </cell>
        </row>
        <row r="83">
          <cell r="A83" t="str">
            <v>13-1031</v>
          </cell>
          <cell r="B83" t="str">
            <v>Claims Adjusters, Examiners, and Investigators</v>
          </cell>
          <cell r="C83">
            <v>278140</v>
          </cell>
          <cell r="D83">
            <v>1.4</v>
          </cell>
          <cell r="E83">
            <v>70960</v>
          </cell>
          <cell r="F83">
            <v>0.5</v>
          </cell>
          <cell r="G83">
            <v>65080</v>
          </cell>
        </row>
        <row r="84">
          <cell r="A84" t="str">
            <v>13-1032</v>
          </cell>
          <cell r="B84" t="str">
            <v>Insurance Appraisers, Auto Damage</v>
          </cell>
          <cell r="C84">
            <v>11430</v>
          </cell>
          <cell r="D84">
            <v>4</v>
          </cell>
          <cell r="E84">
            <v>68180</v>
          </cell>
          <cell r="F84">
            <v>1</v>
          </cell>
          <cell r="G84">
            <v>62680</v>
          </cell>
        </row>
        <row r="85">
          <cell r="A85" t="str">
            <v>13-1040</v>
          </cell>
          <cell r="B85" t="str">
            <v>Compliance Officers</v>
          </cell>
          <cell r="C85">
            <v>334340</v>
          </cell>
          <cell r="D85">
            <v>1.5</v>
          </cell>
          <cell r="E85">
            <v>75810</v>
          </cell>
          <cell r="F85">
            <v>0.5</v>
          </cell>
          <cell r="G85">
            <v>71650</v>
          </cell>
        </row>
        <row r="86">
          <cell r="A86" t="str">
            <v>13-1041</v>
          </cell>
          <cell r="B86" t="str">
            <v>Compliance Officers</v>
          </cell>
          <cell r="C86">
            <v>334340</v>
          </cell>
          <cell r="D86">
            <v>1.5</v>
          </cell>
          <cell r="E86">
            <v>75810</v>
          </cell>
          <cell r="F86">
            <v>0.5</v>
          </cell>
          <cell r="G86">
            <v>71650</v>
          </cell>
        </row>
        <row r="87">
          <cell r="A87" t="str">
            <v>13-1050</v>
          </cell>
          <cell r="B87" t="str">
            <v>Cost Estimators</v>
          </cell>
          <cell r="C87">
            <v>208950</v>
          </cell>
          <cell r="D87">
            <v>1.1000000000000001</v>
          </cell>
          <cell r="E87">
            <v>73740</v>
          </cell>
          <cell r="F87">
            <v>0.5</v>
          </cell>
          <cell r="G87">
            <v>65170</v>
          </cell>
        </row>
        <row r="88">
          <cell r="A88" t="str">
            <v>13-1051</v>
          </cell>
          <cell r="B88" t="str">
            <v>Cost Estimators</v>
          </cell>
          <cell r="C88">
            <v>208950</v>
          </cell>
          <cell r="D88">
            <v>1.1000000000000001</v>
          </cell>
          <cell r="E88">
            <v>73740</v>
          </cell>
          <cell r="F88">
            <v>0.5</v>
          </cell>
          <cell r="G88">
            <v>65170</v>
          </cell>
        </row>
        <row r="89">
          <cell r="A89" t="str">
            <v>13-1070</v>
          </cell>
          <cell r="B89" t="str">
            <v>Human Resources Workers</v>
          </cell>
          <cell r="C89">
            <v>805080</v>
          </cell>
          <cell r="D89">
            <v>0.8</v>
          </cell>
          <cell r="E89">
            <v>71210</v>
          </cell>
          <cell r="F89">
            <v>0.4</v>
          </cell>
          <cell r="G89">
            <v>62490</v>
          </cell>
        </row>
        <row r="90">
          <cell r="A90" t="str">
            <v>13-1071</v>
          </cell>
          <cell r="B90" t="str">
            <v>Human Resources Specialists</v>
          </cell>
          <cell r="C90">
            <v>740830</v>
          </cell>
          <cell r="D90">
            <v>0.8</v>
          </cell>
          <cell r="E90">
            <v>70720</v>
          </cell>
          <cell r="F90">
            <v>0.4</v>
          </cell>
          <cell r="G90">
            <v>62290</v>
          </cell>
        </row>
        <row r="91">
          <cell r="A91" t="str">
            <v>13-1074</v>
          </cell>
          <cell r="B91" t="str">
            <v>Farm Labor Contractors</v>
          </cell>
          <cell r="C91">
            <v>440</v>
          </cell>
          <cell r="D91">
            <v>24.9</v>
          </cell>
          <cell r="E91">
            <v>54400</v>
          </cell>
          <cell r="F91">
            <v>7.2</v>
          </cell>
          <cell r="G91">
            <v>47770</v>
          </cell>
        </row>
        <row r="92">
          <cell r="A92" t="str">
            <v>13-1075</v>
          </cell>
          <cell r="B92" t="str">
            <v>Labor Relations Specialists</v>
          </cell>
          <cell r="C92">
            <v>63810</v>
          </cell>
          <cell r="D92">
            <v>1.6</v>
          </cell>
          <cell r="E92">
            <v>77070</v>
          </cell>
          <cell r="F92">
            <v>1.1000000000000001</v>
          </cell>
          <cell r="G92">
            <v>77010</v>
          </cell>
        </row>
        <row r="93">
          <cell r="A93" t="str">
            <v>13-1080</v>
          </cell>
          <cell r="B93" t="str">
            <v>Logisticians and Project Management Specialists</v>
          </cell>
          <cell r="C93">
            <v>933180</v>
          </cell>
          <cell r="D93">
            <v>0.7</v>
          </cell>
          <cell r="E93">
            <v>94530</v>
          </cell>
          <cell r="F93">
            <v>0.3</v>
          </cell>
          <cell r="G93">
            <v>82010</v>
          </cell>
        </row>
        <row r="94">
          <cell r="A94" t="str">
            <v>13-1081</v>
          </cell>
          <cell r="B94" t="str">
            <v>Logisticians</v>
          </cell>
          <cell r="C94">
            <v>189320</v>
          </cell>
          <cell r="D94">
            <v>1</v>
          </cell>
          <cell r="E94">
            <v>79230</v>
          </cell>
          <cell r="F94">
            <v>0.5</v>
          </cell>
          <cell r="G94">
            <v>77030</v>
          </cell>
        </row>
        <row r="95">
          <cell r="A95" t="str">
            <v>13-1082</v>
          </cell>
          <cell r="B95" t="str">
            <v>Project Management Specialists</v>
          </cell>
          <cell r="C95">
            <v>743860</v>
          </cell>
          <cell r="D95">
            <v>0.8</v>
          </cell>
          <cell r="E95">
            <v>98420</v>
          </cell>
          <cell r="F95">
            <v>0.4</v>
          </cell>
          <cell r="G95">
            <v>94500</v>
          </cell>
        </row>
        <row r="96">
          <cell r="A96" t="str">
            <v>13-1110</v>
          </cell>
          <cell r="B96" t="str">
            <v>Management Analysts</v>
          </cell>
          <cell r="C96">
            <v>768450</v>
          </cell>
          <cell r="D96">
            <v>1</v>
          </cell>
          <cell r="E96">
            <v>100530</v>
          </cell>
          <cell r="F96">
            <v>0.5</v>
          </cell>
          <cell r="G96">
            <v>93000</v>
          </cell>
        </row>
        <row r="97">
          <cell r="A97" t="str">
            <v>13-1111</v>
          </cell>
          <cell r="B97" t="str">
            <v>Management Analysts</v>
          </cell>
          <cell r="C97">
            <v>768450</v>
          </cell>
          <cell r="D97">
            <v>1</v>
          </cell>
          <cell r="E97">
            <v>100530</v>
          </cell>
          <cell r="F97">
            <v>0.5</v>
          </cell>
          <cell r="G97">
            <v>93000</v>
          </cell>
        </row>
        <row r="98">
          <cell r="A98" t="str">
            <v>13-1120</v>
          </cell>
          <cell r="B98" t="str">
            <v>Meeting, Convention, and Event Planners</v>
          </cell>
          <cell r="C98">
            <v>98150</v>
          </cell>
          <cell r="D98">
            <v>1.9</v>
          </cell>
          <cell r="E98">
            <v>57850</v>
          </cell>
          <cell r="F98">
            <v>0.9</v>
          </cell>
          <cell r="G98">
            <v>49470</v>
          </cell>
        </row>
        <row r="99">
          <cell r="A99" t="str">
            <v>13-1121</v>
          </cell>
          <cell r="B99" t="str">
            <v>Meeting, Convention, and Event Planners</v>
          </cell>
          <cell r="C99">
            <v>98150</v>
          </cell>
          <cell r="D99">
            <v>1.9</v>
          </cell>
          <cell r="E99">
            <v>57850</v>
          </cell>
          <cell r="F99">
            <v>0.9</v>
          </cell>
          <cell r="G99">
            <v>49470</v>
          </cell>
        </row>
        <row r="100">
          <cell r="A100" t="str">
            <v>13-1130</v>
          </cell>
          <cell r="B100" t="str">
            <v>Fundraisers</v>
          </cell>
          <cell r="C100">
            <v>82080</v>
          </cell>
          <cell r="D100">
            <v>1.3</v>
          </cell>
          <cell r="E100">
            <v>64870</v>
          </cell>
          <cell r="F100">
            <v>0.6</v>
          </cell>
          <cell r="G100">
            <v>60660</v>
          </cell>
        </row>
        <row r="101">
          <cell r="A101" t="str">
            <v>13-1131</v>
          </cell>
          <cell r="B101" t="str">
            <v>Fundraisers</v>
          </cell>
          <cell r="C101">
            <v>82080</v>
          </cell>
          <cell r="D101">
            <v>1.3</v>
          </cell>
          <cell r="E101">
            <v>64870</v>
          </cell>
          <cell r="F101">
            <v>0.6</v>
          </cell>
          <cell r="G101">
            <v>60660</v>
          </cell>
        </row>
        <row r="102">
          <cell r="A102" t="str">
            <v>13-1140</v>
          </cell>
          <cell r="B102" t="str">
            <v>Compensation, Benefits, and Job Analysis Specialists</v>
          </cell>
          <cell r="C102">
            <v>87750</v>
          </cell>
          <cell r="D102">
            <v>1.6</v>
          </cell>
          <cell r="E102">
            <v>73810</v>
          </cell>
          <cell r="F102">
            <v>0.5</v>
          </cell>
          <cell r="G102">
            <v>64120</v>
          </cell>
        </row>
        <row r="103">
          <cell r="A103" t="str">
            <v>13-1141</v>
          </cell>
          <cell r="B103" t="str">
            <v>Compensation, Benefits, and Job Analysis Specialists</v>
          </cell>
          <cell r="C103">
            <v>87750</v>
          </cell>
          <cell r="D103">
            <v>1.6</v>
          </cell>
          <cell r="E103">
            <v>73810</v>
          </cell>
          <cell r="F103">
            <v>0.5</v>
          </cell>
          <cell r="G103">
            <v>64120</v>
          </cell>
        </row>
        <row r="104">
          <cell r="A104" t="str">
            <v>13-1150</v>
          </cell>
          <cell r="B104" t="str">
            <v>Training and Development Specialists</v>
          </cell>
          <cell r="C104">
            <v>336030</v>
          </cell>
          <cell r="D104">
            <v>1</v>
          </cell>
          <cell r="E104">
            <v>67620</v>
          </cell>
          <cell r="F104">
            <v>0.6</v>
          </cell>
          <cell r="G104">
            <v>61570</v>
          </cell>
        </row>
        <row r="105">
          <cell r="A105" t="str">
            <v>13-1151</v>
          </cell>
          <cell r="B105" t="str">
            <v>Training and Development Specialists</v>
          </cell>
          <cell r="C105">
            <v>336030</v>
          </cell>
          <cell r="D105">
            <v>1</v>
          </cell>
          <cell r="E105">
            <v>67620</v>
          </cell>
          <cell r="F105">
            <v>0.6</v>
          </cell>
          <cell r="G105">
            <v>61570</v>
          </cell>
        </row>
        <row r="106">
          <cell r="A106" t="str">
            <v>13-1160</v>
          </cell>
          <cell r="B106" t="str">
            <v>Market Research Analysts and Marketing Specialists</v>
          </cell>
          <cell r="C106">
            <v>727540</v>
          </cell>
          <cell r="D106">
            <v>1</v>
          </cell>
          <cell r="E106">
            <v>76080</v>
          </cell>
          <cell r="F106">
            <v>0.4</v>
          </cell>
          <cell r="G106">
            <v>63920</v>
          </cell>
        </row>
        <row r="107">
          <cell r="A107" t="str">
            <v>13-1161</v>
          </cell>
          <cell r="B107" t="str">
            <v>Market Research Analysts and Marketing Specialists</v>
          </cell>
          <cell r="C107">
            <v>727540</v>
          </cell>
          <cell r="D107">
            <v>1</v>
          </cell>
          <cell r="E107">
            <v>76080</v>
          </cell>
          <cell r="F107">
            <v>0.4</v>
          </cell>
          <cell r="G107">
            <v>63920</v>
          </cell>
        </row>
        <row r="108">
          <cell r="A108" t="str">
            <v>13-1190</v>
          </cell>
          <cell r="B108" t="str">
            <v>Miscellaneous Business Operations Specialists</v>
          </cell>
          <cell r="C108">
            <v>1030330</v>
          </cell>
          <cell r="D108">
            <v>0.6</v>
          </cell>
          <cell r="E108">
            <v>79240</v>
          </cell>
          <cell r="F108">
            <v>0.4</v>
          </cell>
          <cell r="G108">
            <v>74670</v>
          </cell>
        </row>
        <row r="109">
          <cell r="A109" t="str">
            <v>13-1199</v>
          </cell>
          <cell r="B109" t="str">
            <v>Business Operations Specialists, All Other</v>
          </cell>
          <cell r="C109">
            <v>1030330</v>
          </cell>
          <cell r="D109">
            <v>0.6</v>
          </cell>
          <cell r="E109">
            <v>79240</v>
          </cell>
          <cell r="F109">
            <v>0.4</v>
          </cell>
          <cell r="G109">
            <v>74670</v>
          </cell>
        </row>
        <row r="110">
          <cell r="A110" t="str">
            <v>13-2000</v>
          </cell>
          <cell r="B110" t="str">
            <v>Financial Specialists</v>
          </cell>
          <cell r="C110">
            <v>2900840</v>
          </cell>
          <cell r="D110">
            <v>0.5</v>
          </cell>
          <cell r="E110">
            <v>87350</v>
          </cell>
          <cell r="F110">
            <v>0.3</v>
          </cell>
          <cell r="G110">
            <v>77300</v>
          </cell>
        </row>
        <row r="111">
          <cell r="A111" t="str">
            <v>13-2010</v>
          </cell>
          <cell r="B111" t="str">
            <v>Accountants and Auditors</v>
          </cell>
          <cell r="C111">
            <v>1318550</v>
          </cell>
          <cell r="D111">
            <v>0.6</v>
          </cell>
          <cell r="E111">
            <v>83980</v>
          </cell>
          <cell r="F111">
            <v>0.4</v>
          </cell>
          <cell r="G111">
            <v>77250</v>
          </cell>
        </row>
        <row r="112">
          <cell r="A112" t="str">
            <v>13-2011</v>
          </cell>
          <cell r="B112" t="str">
            <v>Accountants and Auditors</v>
          </cell>
          <cell r="C112">
            <v>1318550</v>
          </cell>
          <cell r="D112">
            <v>0.6</v>
          </cell>
          <cell r="E112">
            <v>83980</v>
          </cell>
          <cell r="F112">
            <v>0.4</v>
          </cell>
          <cell r="G112">
            <v>77250</v>
          </cell>
        </row>
        <row r="113">
          <cell r="A113" t="str">
            <v>13-2020</v>
          </cell>
          <cell r="B113" t="str">
            <v>Property Appraisers and Assessors</v>
          </cell>
          <cell r="C113">
            <v>58340</v>
          </cell>
          <cell r="D113">
            <v>2.2000000000000002</v>
          </cell>
          <cell r="E113">
            <v>70050</v>
          </cell>
          <cell r="F113">
            <v>1.4</v>
          </cell>
          <cell r="G113">
            <v>61340</v>
          </cell>
        </row>
        <row r="114">
          <cell r="A114" t="str">
            <v>13-2020</v>
          </cell>
          <cell r="B114" t="str">
            <v>Property Appraisers and Assessors</v>
          </cell>
          <cell r="C114">
            <v>58340</v>
          </cell>
          <cell r="D114">
            <v>2.2000000000000002</v>
          </cell>
          <cell r="E114">
            <v>70050</v>
          </cell>
          <cell r="F114">
            <v>1.4</v>
          </cell>
          <cell r="G114">
            <v>61340</v>
          </cell>
        </row>
        <row r="115">
          <cell r="A115" t="str">
            <v>13-2030</v>
          </cell>
          <cell r="B115" t="str">
            <v>Budget Analysts</v>
          </cell>
          <cell r="C115">
            <v>47440</v>
          </cell>
          <cell r="D115">
            <v>1.2</v>
          </cell>
          <cell r="E115">
            <v>84240</v>
          </cell>
          <cell r="F115">
            <v>0.4</v>
          </cell>
          <cell r="G115">
            <v>79940</v>
          </cell>
        </row>
        <row r="116">
          <cell r="A116" t="str">
            <v>13-2031</v>
          </cell>
          <cell r="B116" t="str">
            <v>Budget Analysts</v>
          </cell>
          <cell r="C116">
            <v>47440</v>
          </cell>
          <cell r="D116">
            <v>1.2</v>
          </cell>
          <cell r="E116">
            <v>84240</v>
          </cell>
          <cell r="F116">
            <v>0.4</v>
          </cell>
          <cell r="G116">
            <v>79940</v>
          </cell>
        </row>
        <row r="117">
          <cell r="A117" t="str">
            <v>13-2040</v>
          </cell>
          <cell r="B117" t="str">
            <v>Credit Analysts</v>
          </cell>
          <cell r="C117">
            <v>68770</v>
          </cell>
          <cell r="D117">
            <v>1.5</v>
          </cell>
          <cell r="E117">
            <v>88030</v>
          </cell>
          <cell r="F117">
            <v>0.8</v>
          </cell>
          <cell r="G117">
            <v>77440</v>
          </cell>
        </row>
        <row r="118">
          <cell r="A118" t="str">
            <v>13-2041</v>
          </cell>
          <cell r="B118" t="str">
            <v>Credit Analysts</v>
          </cell>
          <cell r="C118">
            <v>68770</v>
          </cell>
          <cell r="D118">
            <v>1.5</v>
          </cell>
          <cell r="E118">
            <v>88030</v>
          </cell>
          <cell r="F118">
            <v>0.8</v>
          </cell>
          <cell r="G118">
            <v>77440</v>
          </cell>
        </row>
        <row r="119">
          <cell r="A119" t="str">
            <v>13-2050</v>
          </cell>
          <cell r="B119" t="str">
            <v>Financial Analysts and Advisors</v>
          </cell>
          <cell r="C119">
            <v>716930</v>
          </cell>
          <cell r="D119">
            <v>0.8</v>
          </cell>
          <cell r="E119">
            <v>106340</v>
          </cell>
          <cell r="F119">
            <v>0.5</v>
          </cell>
          <cell r="G119">
            <v>81730</v>
          </cell>
        </row>
        <row r="120">
          <cell r="A120" t="str">
            <v>13-2051</v>
          </cell>
          <cell r="B120" t="str">
            <v>Financial and Investment Analysts</v>
          </cell>
          <cell r="C120">
            <v>291880</v>
          </cell>
          <cell r="D120">
            <v>1.5</v>
          </cell>
          <cell r="E120">
            <v>103020</v>
          </cell>
          <cell r="F120">
            <v>0.9</v>
          </cell>
          <cell r="G120">
            <v>91580</v>
          </cell>
        </row>
        <row r="121">
          <cell r="A121" t="str">
            <v>13-2052</v>
          </cell>
          <cell r="B121" t="str">
            <v>Personal Financial Advisors</v>
          </cell>
          <cell r="C121">
            <v>263030</v>
          </cell>
          <cell r="D121">
            <v>1.6</v>
          </cell>
          <cell r="E121">
            <v>119960</v>
          </cell>
          <cell r="F121">
            <v>1</v>
          </cell>
          <cell r="G121">
            <v>94170</v>
          </cell>
        </row>
        <row r="122">
          <cell r="A122" t="str">
            <v>13-2053</v>
          </cell>
          <cell r="B122" t="str">
            <v>Insurance Underwriters</v>
          </cell>
          <cell r="C122">
            <v>107690</v>
          </cell>
          <cell r="D122">
            <v>2.8</v>
          </cell>
          <cell r="E122">
            <v>79940</v>
          </cell>
          <cell r="F122">
            <v>0.9</v>
          </cell>
          <cell r="G122">
            <v>76390</v>
          </cell>
        </row>
        <row r="123">
          <cell r="A123" t="str">
            <v>13-2054</v>
          </cell>
          <cell r="B123" t="str">
            <v>Financial Risk Specialists</v>
          </cell>
          <cell r="C123">
            <v>54320</v>
          </cell>
          <cell r="D123">
            <v>2.1</v>
          </cell>
          <cell r="E123">
            <v>110610</v>
          </cell>
          <cell r="F123">
            <v>0.9</v>
          </cell>
          <cell r="G123">
            <v>100000</v>
          </cell>
        </row>
        <row r="124">
          <cell r="A124" t="str">
            <v>13-2060</v>
          </cell>
          <cell r="B124" t="str">
            <v>Financial Examiners</v>
          </cell>
          <cell r="C124">
            <v>60750</v>
          </cell>
          <cell r="D124">
            <v>1.4</v>
          </cell>
          <cell r="E124">
            <v>96180</v>
          </cell>
          <cell r="F124">
            <v>0.6</v>
          </cell>
          <cell r="G124">
            <v>81410</v>
          </cell>
        </row>
        <row r="125">
          <cell r="A125" t="str">
            <v>13-2061</v>
          </cell>
          <cell r="B125" t="str">
            <v>Financial Examiners</v>
          </cell>
          <cell r="C125">
            <v>60750</v>
          </cell>
          <cell r="D125">
            <v>1.4</v>
          </cell>
          <cell r="E125">
            <v>96180</v>
          </cell>
          <cell r="F125">
            <v>0.6</v>
          </cell>
          <cell r="G125">
            <v>81410</v>
          </cell>
        </row>
        <row r="126">
          <cell r="A126" t="str">
            <v>13-2070</v>
          </cell>
          <cell r="B126" t="str">
            <v>Credit Counselors and Loan Officers</v>
          </cell>
          <cell r="C126">
            <v>371400</v>
          </cell>
          <cell r="D126">
            <v>1.1000000000000001</v>
          </cell>
          <cell r="E126">
            <v>78040</v>
          </cell>
          <cell r="F126">
            <v>0.8</v>
          </cell>
          <cell r="G126">
            <v>62030</v>
          </cell>
        </row>
        <row r="127">
          <cell r="A127" t="str">
            <v>13-2071</v>
          </cell>
          <cell r="B127" t="str">
            <v>Credit Counselors</v>
          </cell>
          <cell r="C127">
            <v>31230</v>
          </cell>
          <cell r="D127">
            <v>3.6</v>
          </cell>
          <cell r="E127">
            <v>50430</v>
          </cell>
          <cell r="F127">
            <v>1</v>
          </cell>
          <cell r="G127">
            <v>47580</v>
          </cell>
        </row>
        <row r="128">
          <cell r="A128" t="str">
            <v>13-2072</v>
          </cell>
          <cell r="B128" t="str">
            <v>Loan Officers</v>
          </cell>
          <cell r="C128">
            <v>340170</v>
          </cell>
          <cell r="D128">
            <v>1.1000000000000001</v>
          </cell>
          <cell r="E128">
            <v>80570</v>
          </cell>
          <cell r="F128">
            <v>0.8</v>
          </cell>
          <cell r="G128">
            <v>63380</v>
          </cell>
        </row>
        <row r="129">
          <cell r="A129" t="str">
            <v>13-2080</v>
          </cell>
          <cell r="B129" t="str">
            <v>Tax Examiners, Collectors and Preparers, and Revenue Agents</v>
          </cell>
          <cell r="C129">
            <v>135460</v>
          </cell>
          <cell r="D129">
            <v>1.8</v>
          </cell>
          <cell r="E129">
            <v>55750</v>
          </cell>
          <cell r="F129">
            <v>0.8</v>
          </cell>
          <cell r="G129">
            <v>48900</v>
          </cell>
        </row>
        <row r="130">
          <cell r="A130" t="str">
            <v>13-2081</v>
          </cell>
          <cell r="B130" t="str">
            <v>Tax Examiners and Collectors, and Revenue Agents</v>
          </cell>
          <cell r="C130">
            <v>52270</v>
          </cell>
          <cell r="D130">
            <v>0.8</v>
          </cell>
          <cell r="E130">
            <v>63200</v>
          </cell>
          <cell r="F130">
            <v>0.3</v>
          </cell>
          <cell r="G130">
            <v>56780</v>
          </cell>
        </row>
        <row r="131">
          <cell r="A131" t="str">
            <v>13-2082</v>
          </cell>
          <cell r="B131" t="str">
            <v>Tax Preparers</v>
          </cell>
          <cell r="C131">
            <v>83190</v>
          </cell>
          <cell r="D131">
            <v>2.8</v>
          </cell>
          <cell r="E131">
            <v>51080</v>
          </cell>
          <cell r="F131">
            <v>1.4</v>
          </cell>
          <cell r="G131">
            <v>46290</v>
          </cell>
        </row>
        <row r="132">
          <cell r="A132" t="str">
            <v>13-2090</v>
          </cell>
          <cell r="B132" t="str">
            <v>Miscellaneous Financial Specialists</v>
          </cell>
          <cell r="C132">
            <v>123200</v>
          </cell>
          <cell r="D132">
            <v>1.8</v>
          </cell>
          <cell r="E132">
            <v>80370</v>
          </cell>
          <cell r="F132">
            <v>1.5</v>
          </cell>
          <cell r="G132">
            <v>73240</v>
          </cell>
        </row>
        <row r="133">
          <cell r="A133" t="str">
            <v>13-2099</v>
          </cell>
          <cell r="B133" t="str">
            <v>Financial Specialists, All Other</v>
          </cell>
          <cell r="C133">
            <v>123200</v>
          </cell>
          <cell r="D133">
            <v>1.8</v>
          </cell>
          <cell r="E133">
            <v>80370</v>
          </cell>
          <cell r="F133">
            <v>1.5</v>
          </cell>
          <cell r="G133">
            <v>73240</v>
          </cell>
        </row>
        <row r="134">
          <cell r="A134" t="str">
            <v>15-0000</v>
          </cell>
          <cell r="B134" t="str">
            <v>Computer and Mathematical Occupations</v>
          </cell>
          <cell r="C134">
            <v>4654750</v>
          </cell>
          <cell r="D134">
            <v>0.4</v>
          </cell>
          <cell r="E134">
            <v>99860</v>
          </cell>
          <cell r="F134">
            <v>0.3</v>
          </cell>
          <cell r="G134">
            <v>97540</v>
          </cell>
        </row>
        <row r="135">
          <cell r="A135" t="str">
            <v>15-1200</v>
          </cell>
          <cell r="B135" t="str">
            <v>Computer Occupations</v>
          </cell>
          <cell r="C135">
            <v>4389910</v>
          </cell>
          <cell r="D135">
            <v>0.4</v>
          </cell>
          <cell r="E135">
            <v>99620</v>
          </cell>
          <cell r="F135">
            <v>0.3</v>
          </cell>
          <cell r="G135">
            <v>97430</v>
          </cell>
        </row>
        <row r="136">
          <cell r="A136" t="str">
            <v>15-1210</v>
          </cell>
          <cell r="B136" t="str">
            <v>Computer and Information Analysts</v>
          </cell>
          <cell r="C136">
            <v>662370</v>
          </cell>
          <cell r="D136">
            <v>0.9</v>
          </cell>
          <cell r="E136">
            <v>104840</v>
          </cell>
          <cell r="F136">
            <v>0.4</v>
          </cell>
          <cell r="G136">
            <v>99680</v>
          </cell>
        </row>
        <row r="137">
          <cell r="A137" t="str">
            <v>15-1211</v>
          </cell>
          <cell r="B137" t="str">
            <v>Computer Systems Analysts</v>
          </cell>
          <cell r="C137">
            <v>505150</v>
          </cell>
          <cell r="D137">
            <v>1</v>
          </cell>
          <cell r="E137">
            <v>102210</v>
          </cell>
          <cell r="F137">
            <v>0.5</v>
          </cell>
          <cell r="G137">
            <v>99270</v>
          </cell>
        </row>
        <row r="138">
          <cell r="A138" t="str">
            <v>15-1212</v>
          </cell>
          <cell r="B138" t="str">
            <v>Information Security Analysts</v>
          </cell>
          <cell r="C138">
            <v>157220</v>
          </cell>
          <cell r="D138">
            <v>2</v>
          </cell>
          <cell r="E138">
            <v>113270</v>
          </cell>
          <cell r="F138">
            <v>0.6</v>
          </cell>
          <cell r="G138">
            <v>102600</v>
          </cell>
        </row>
        <row r="139">
          <cell r="A139" t="str">
            <v>15-1220</v>
          </cell>
          <cell r="B139" t="str">
            <v>Computer and Information Research Scientists</v>
          </cell>
          <cell r="C139">
            <v>30840</v>
          </cell>
          <cell r="D139">
            <v>3.8</v>
          </cell>
          <cell r="E139">
            <v>142650</v>
          </cell>
          <cell r="F139">
            <v>1.7</v>
          </cell>
          <cell r="G139">
            <v>131490</v>
          </cell>
        </row>
        <row r="140">
          <cell r="A140" t="str">
            <v>15-1221</v>
          </cell>
          <cell r="B140" t="str">
            <v>Computer and Information Research Scientists</v>
          </cell>
          <cell r="C140">
            <v>30840</v>
          </cell>
          <cell r="D140">
            <v>3.8</v>
          </cell>
          <cell r="E140">
            <v>142650</v>
          </cell>
          <cell r="F140">
            <v>1.7</v>
          </cell>
          <cell r="G140">
            <v>131490</v>
          </cell>
        </row>
        <row r="141">
          <cell r="A141" t="str">
            <v>15-1230</v>
          </cell>
          <cell r="B141" t="str">
            <v>Computer Support Specialists</v>
          </cell>
          <cell r="C141">
            <v>830510</v>
          </cell>
          <cell r="D141">
            <v>0.8</v>
          </cell>
          <cell r="E141">
            <v>60550</v>
          </cell>
          <cell r="F141">
            <v>0.4</v>
          </cell>
          <cell r="G141">
            <v>57910</v>
          </cell>
        </row>
        <row r="142">
          <cell r="A142" t="str">
            <v>15-1231</v>
          </cell>
          <cell r="B142" t="str">
            <v>Computer Network Support Specialists</v>
          </cell>
          <cell r="C142">
            <v>176200</v>
          </cell>
          <cell r="D142">
            <v>1.8</v>
          </cell>
          <cell r="E142">
            <v>71350</v>
          </cell>
          <cell r="F142">
            <v>0.7</v>
          </cell>
          <cell r="G142">
            <v>62760</v>
          </cell>
        </row>
        <row r="143">
          <cell r="A143" t="str">
            <v>15-1232</v>
          </cell>
          <cell r="B143" t="str">
            <v>Computer User Support Specialists</v>
          </cell>
          <cell r="C143">
            <v>654310</v>
          </cell>
          <cell r="D143">
            <v>0.8</v>
          </cell>
          <cell r="E143">
            <v>57650</v>
          </cell>
          <cell r="F143">
            <v>0.4</v>
          </cell>
          <cell r="G143">
            <v>49770</v>
          </cell>
        </row>
        <row r="144">
          <cell r="A144" t="str">
            <v>15-1240</v>
          </cell>
          <cell r="B144" t="str">
            <v>Database and Network Administrators and Architects</v>
          </cell>
          <cell r="C144">
            <v>621900</v>
          </cell>
          <cell r="D144">
            <v>1.1000000000000001</v>
          </cell>
          <cell r="E144">
            <v>102440</v>
          </cell>
          <cell r="F144">
            <v>0.8</v>
          </cell>
          <cell r="G144">
            <v>98680</v>
          </cell>
        </row>
        <row r="145">
          <cell r="A145" t="str">
            <v>15-1241</v>
          </cell>
          <cell r="B145" t="str">
            <v>Computer Network Architects</v>
          </cell>
          <cell r="C145">
            <v>168830</v>
          </cell>
          <cell r="D145">
            <v>1.4</v>
          </cell>
          <cell r="E145">
            <v>120650</v>
          </cell>
          <cell r="F145">
            <v>0.7</v>
          </cell>
          <cell r="G145">
            <v>120520</v>
          </cell>
        </row>
        <row r="146">
          <cell r="A146" t="str">
            <v>15-1242</v>
          </cell>
          <cell r="B146" t="str">
            <v>Database Administrators</v>
          </cell>
          <cell r="C146">
            <v>85870</v>
          </cell>
          <cell r="D146">
            <v>1.5</v>
          </cell>
          <cell r="E146">
            <v>96550</v>
          </cell>
          <cell r="F146">
            <v>0.9</v>
          </cell>
          <cell r="G146">
            <v>96710</v>
          </cell>
        </row>
        <row r="147">
          <cell r="A147" t="str">
            <v>15-1243</v>
          </cell>
          <cell r="B147" t="str">
            <v>Database Architects</v>
          </cell>
          <cell r="C147">
            <v>50440</v>
          </cell>
          <cell r="D147">
            <v>5.5</v>
          </cell>
          <cell r="E147">
            <v>121840</v>
          </cell>
          <cell r="F147">
            <v>2.5</v>
          </cell>
          <cell r="G147">
            <v>123430</v>
          </cell>
        </row>
        <row r="148">
          <cell r="A148" t="str">
            <v>15-1244</v>
          </cell>
          <cell r="B148" t="str">
            <v>Network and Computer Systems Administrators</v>
          </cell>
          <cell r="C148">
            <v>316760</v>
          </cell>
          <cell r="D148">
            <v>1.1000000000000001</v>
          </cell>
          <cell r="E148">
            <v>91250</v>
          </cell>
          <cell r="F148">
            <v>0.8</v>
          </cell>
          <cell r="G148">
            <v>80600</v>
          </cell>
        </row>
        <row r="149">
          <cell r="A149" t="str">
            <v>15-1250</v>
          </cell>
          <cell r="B149" t="str">
            <v>Software and Web Developers, Programmers, and Testers</v>
          </cell>
          <cell r="C149">
            <v>1874100</v>
          </cell>
          <cell r="D149">
            <v>0.6</v>
          </cell>
          <cell r="E149">
            <v>113720</v>
          </cell>
          <cell r="F149">
            <v>0.4</v>
          </cell>
          <cell r="G149">
            <v>102930</v>
          </cell>
        </row>
        <row r="150">
          <cell r="A150" t="str">
            <v>15-1251</v>
          </cell>
          <cell r="B150" t="str">
            <v>Computer Programmers</v>
          </cell>
          <cell r="C150">
            <v>152610</v>
          </cell>
          <cell r="D150">
            <v>2</v>
          </cell>
          <cell r="E150">
            <v>96650</v>
          </cell>
          <cell r="F150">
            <v>1.1000000000000001</v>
          </cell>
          <cell r="G150">
            <v>93000</v>
          </cell>
        </row>
        <row r="151">
          <cell r="A151" t="str">
            <v>15-1252</v>
          </cell>
          <cell r="B151" t="str">
            <v>Software Developers</v>
          </cell>
          <cell r="C151">
            <v>1364180</v>
          </cell>
          <cell r="D151">
            <v>0.7</v>
          </cell>
          <cell r="E151">
            <v>120990</v>
          </cell>
          <cell r="F151">
            <v>0.4</v>
          </cell>
          <cell r="G151">
            <v>120730</v>
          </cell>
        </row>
        <row r="152">
          <cell r="A152" t="str">
            <v>15-1253</v>
          </cell>
          <cell r="B152" t="str">
            <v>Software Quality Assurance Analysts and Testers</v>
          </cell>
          <cell r="C152">
            <v>190120</v>
          </cell>
          <cell r="D152">
            <v>1.7</v>
          </cell>
          <cell r="E152">
            <v>97710</v>
          </cell>
          <cell r="F152">
            <v>0.7</v>
          </cell>
          <cell r="G152">
            <v>98220</v>
          </cell>
        </row>
        <row r="153">
          <cell r="A153" t="str">
            <v>15-1254</v>
          </cell>
          <cell r="B153" t="str">
            <v>Web Developers</v>
          </cell>
          <cell r="C153">
            <v>84820</v>
          </cell>
          <cell r="D153">
            <v>2.7</v>
          </cell>
          <cell r="E153">
            <v>81320</v>
          </cell>
          <cell r="F153">
            <v>1.1000000000000001</v>
          </cell>
          <cell r="G153">
            <v>77030</v>
          </cell>
        </row>
        <row r="154">
          <cell r="A154" t="str">
            <v>15-1255</v>
          </cell>
          <cell r="B154" t="str">
            <v>Web and Digital Interface Designers</v>
          </cell>
          <cell r="C154">
            <v>82380</v>
          </cell>
          <cell r="D154">
            <v>2.8</v>
          </cell>
          <cell r="E154">
            <v>95460</v>
          </cell>
          <cell r="F154">
            <v>2.2999999999999998</v>
          </cell>
          <cell r="G154">
            <v>79890</v>
          </cell>
        </row>
        <row r="155">
          <cell r="A155" t="str">
            <v>15-1290</v>
          </cell>
          <cell r="B155" t="str">
            <v>Miscellaneous Computer Occupations</v>
          </cell>
          <cell r="C155">
            <v>370190</v>
          </cell>
          <cell r="D155">
            <v>1.2</v>
          </cell>
          <cell r="E155">
            <v>98180</v>
          </cell>
          <cell r="F155">
            <v>0.7</v>
          </cell>
          <cell r="G155">
            <v>95270</v>
          </cell>
        </row>
        <row r="156">
          <cell r="A156" t="str">
            <v>15-1299</v>
          </cell>
          <cell r="B156" t="str">
            <v>Computer Occupations, All Other</v>
          </cell>
          <cell r="C156">
            <v>370190</v>
          </cell>
          <cell r="D156">
            <v>1.2</v>
          </cell>
          <cell r="E156">
            <v>98180</v>
          </cell>
          <cell r="F156">
            <v>0.7</v>
          </cell>
          <cell r="G156">
            <v>95270</v>
          </cell>
        </row>
        <row r="157">
          <cell r="A157" t="str">
            <v>15-2000</v>
          </cell>
          <cell r="B157" t="str">
            <v>Mathematical Science Occupations</v>
          </cell>
          <cell r="C157">
            <v>264840</v>
          </cell>
          <cell r="D157">
            <v>1.8</v>
          </cell>
          <cell r="E157">
            <v>103800</v>
          </cell>
          <cell r="F157">
            <v>0.9</v>
          </cell>
          <cell r="G157">
            <v>98680</v>
          </cell>
        </row>
        <row r="158">
          <cell r="A158" t="str">
            <v>15-2010</v>
          </cell>
          <cell r="B158" t="str">
            <v>Actuaries</v>
          </cell>
          <cell r="C158">
            <v>23040</v>
          </cell>
          <cell r="D158">
            <v>4.0999999999999996</v>
          </cell>
          <cell r="E158">
            <v>125300</v>
          </cell>
          <cell r="F158">
            <v>2.4</v>
          </cell>
          <cell r="G158">
            <v>105900</v>
          </cell>
        </row>
        <row r="159">
          <cell r="A159" t="str">
            <v>15-2011</v>
          </cell>
          <cell r="B159" t="str">
            <v>Actuaries</v>
          </cell>
          <cell r="C159">
            <v>23040</v>
          </cell>
          <cell r="D159">
            <v>4.0999999999999996</v>
          </cell>
          <cell r="E159">
            <v>125300</v>
          </cell>
          <cell r="F159">
            <v>2.4</v>
          </cell>
          <cell r="G159">
            <v>105900</v>
          </cell>
        </row>
        <row r="160">
          <cell r="A160" t="str">
            <v>15-2020</v>
          </cell>
          <cell r="B160" t="str">
            <v>Mathematicians</v>
          </cell>
          <cell r="C160">
            <v>1770</v>
          </cell>
          <cell r="D160">
            <v>2.8</v>
          </cell>
          <cell r="E160">
            <v>112430</v>
          </cell>
          <cell r="F160">
            <v>1.1000000000000001</v>
          </cell>
          <cell r="G160">
            <v>108100</v>
          </cell>
        </row>
        <row r="161">
          <cell r="A161" t="str">
            <v>15-2021</v>
          </cell>
          <cell r="B161" t="str">
            <v>Mathematicians</v>
          </cell>
          <cell r="C161">
            <v>1770</v>
          </cell>
          <cell r="D161">
            <v>2.8</v>
          </cell>
          <cell r="E161">
            <v>112430</v>
          </cell>
          <cell r="F161">
            <v>1.1000000000000001</v>
          </cell>
          <cell r="G161">
            <v>108100</v>
          </cell>
        </row>
        <row r="162">
          <cell r="A162" t="str">
            <v>15-2030</v>
          </cell>
          <cell r="B162" t="str">
            <v>Operations Research Analysts</v>
          </cell>
          <cell r="C162">
            <v>98700</v>
          </cell>
          <cell r="D162">
            <v>3.2</v>
          </cell>
          <cell r="E162">
            <v>95830</v>
          </cell>
          <cell r="F162">
            <v>2.1</v>
          </cell>
          <cell r="G162">
            <v>82360</v>
          </cell>
        </row>
        <row r="163">
          <cell r="A163" t="str">
            <v>15-2031</v>
          </cell>
          <cell r="B163" t="str">
            <v>Operations Research Analysts</v>
          </cell>
          <cell r="C163">
            <v>98700</v>
          </cell>
          <cell r="D163">
            <v>3.2</v>
          </cell>
          <cell r="E163">
            <v>95830</v>
          </cell>
          <cell r="F163">
            <v>2.1</v>
          </cell>
          <cell r="G163">
            <v>82360</v>
          </cell>
        </row>
        <row r="164">
          <cell r="A164" t="str">
            <v>15-2040</v>
          </cell>
          <cell r="B164" t="str">
            <v>Statisticians</v>
          </cell>
          <cell r="C164">
            <v>31370</v>
          </cell>
          <cell r="D164">
            <v>3</v>
          </cell>
          <cell r="E164">
            <v>99450</v>
          </cell>
          <cell r="F164">
            <v>1.1000000000000001</v>
          </cell>
          <cell r="G164">
            <v>95570</v>
          </cell>
        </row>
        <row r="165">
          <cell r="A165" t="str">
            <v>15-2041</v>
          </cell>
          <cell r="B165" t="str">
            <v>Statisticians</v>
          </cell>
          <cell r="C165">
            <v>31370</v>
          </cell>
          <cell r="D165">
            <v>3</v>
          </cell>
          <cell r="E165">
            <v>99450</v>
          </cell>
          <cell r="F165">
            <v>1.1000000000000001</v>
          </cell>
          <cell r="G165">
            <v>95570</v>
          </cell>
        </row>
        <row r="166">
          <cell r="A166" t="str">
            <v>15-2050</v>
          </cell>
          <cell r="B166" t="str">
            <v>Data Scientists</v>
          </cell>
          <cell r="C166">
            <v>105980</v>
          </cell>
          <cell r="D166">
            <v>2.4</v>
          </cell>
          <cell r="E166">
            <v>108660</v>
          </cell>
          <cell r="F166">
            <v>1.1000000000000001</v>
          </cell>
          <cell r="G166">
            <v>100910</v>
          </cell>
        </row>
        <row r="167">
          <cell r="A167" t="str">
            <v>15-2051</v>
          </cell>
          <cell r="B167" t="str">
            <v>Data Scientists</v>
          </cell>
          <cell r="C167">
            <v>105980</v>
          </cell>
          <cell r="D167">
            <v>2.4</v>
          </cell>
          <cell r="E167">
            <v>108660</v>
          </cell>
          <cell r="F167">
            <v>1.1000000000000001</v>
          </cell>
          <cell r="G167">
            <v>100910</v>
          </cell>
        </row>
        <row r="168">
          <cell r="A168" t="str">
            <v>15-2090</v>
          </cell>
          <cell r="B168" t="str">
            <v>Miscellaneous Mathematical Science Occupations</v>
          </cell>
          <cell r="C168">
            <v>3970</v>
          </cell>
          <cell r="D168">
            <v>6.1</v>
          </cell>
          <cell r="E168">
            <v>77960</v>
          </cell>
          <cell r="F168">
            <v>2.2999999999999998</v>
          </cell>
          <cell r="G168">
            <v>62460</v>
          </cell>
        </row>
        <row r="169">
          <cell r="A169" t="str">
            <v>15-2099</v>
          </cell>
          <cell r="B169" t="str">
            <v>Mathematical Science Occupations, All Other</v>
          </cell>
          <cell r="C169">
            <v>3970</v>
          </cell>
          <cell r="D169">
            <v>6.1</v>
          </cell>
          <cell r="E169">
            <v>77960</v>
          </cell>
          <cell r="F169">
            <v>2.2999999999999998</v>
          </cell>
          <cell r="G169">
            <v>62460</v>
          </cell>
        </row>
        <row r="170">
          <cell r="A170" t="str">
            <v>17-0000</v>
          </cell>
          <cell r="B170" t="str">
            <v>Architecture and Engineering Occupations</v>
          </cell>
          <cell r="C170">
            <v>2436520</v>
          </cell>
          <cell r="D170">
            <v>0.3</v>
          </cell>
          <cell r="E170">
            <v>91740</v>
          </cell>
          <cell r="F170">
            <v>0.3</v>
          </cell>
          <cell r="G170">
            <v>79840</v>
          </cell>
        </row>
        <row r="171">
          <cell r="A171" t="str">
            <v>17-1000</v>
          </cell>
          <cell r="B171" t="str">
            <v>Architects, Surveyors, and Cartographers</v>
          </cell>
          <cell r="C171">
            <v>176840</v>
          </cell>
          <cell r="D171">
            <v>1.2</v>
          </cell>
          <cell r="E171">
            <v>82880</v>
          </cell>
          <cell r="F171">
            <v>0.7</v>
          </cell>
          <cell r="G171">
            <v>77670</v>
          </cell>
        </row>
        <row r="172">
          <cell r="A172" t="str">
            <v>17-1010</v>
          </cell>
          <cell r="B172" t="str">
            <v>Architects, Except Naval</v>
          </cell>
          <cell r="C172">
            <v>117830</v>
          </cell>
          <cell r="D172">
            <v>1.3</v>
          </cell>
          <cell r="E172">
            <v>89400</v>
          </cell>
          <cell r="F172">
            <v>0.8</v>
          </cell>
          <cell r="G172">
            <v>79380</v>
          </cell>
        </row>
        <row r="173">
          <cell r="A173" t="str">
            <v>17-1011</v>
          </cell>
          <cell r="B173" t="str">
            <v>Architects, Except Landscape and Naval</v>
          </cell>
          <cell r="C173">
            <v>100400</v>
          </cell>
          <cell r="D173">
            <v>1.5</v>
          </cell>
          <cell r="E173">
            <v>91900</v>
          </cell>
          <cell r="F173">
            <v>0.9</v>
          </cell>
          <cell r="G173">
            <v>80180</v>
          </cell>
        </row>
        <row r="174">
          <cell r="A174" t="str">
            <v>17-1012</v>
          </cell>
          <cell r="B174" t="str">
            <v>Landscape Architects</v>
          </cell>
          <cell r="C174">
            <v>17430</v>
          </cell>
          <cell r="D174">
            <v>4</v>
          </cell>
          <cell r="E174">
            <v>74980</v>
          </cell>
          <cell r="F174">
            <v>1.3</v>
          </cell>
          <cell r="G174">
            <v>67950</v>
          </cell>
        </row>
        <row r="175">
          <cell r="A175" t="str">
            <v>17-1020</v>
          </cell>
          <cell r="B175" t="str">
            <v>Surveyors, Cartographers, and Photogrammetrists</v>
          </cell>
          <cell r="C175">
            <v>59000</v>
          </cell>
          <cell r="D175">
            <v>2.2000000000000002</v>
          </cell>
          <cell r="E175">
            <v>69870</v>
          </cell>
          <cell r="F175">
            <v>1</v>
          </cell>
          <cell r="G175">
            <v>61950</v>
          </cell>
        </row>
        <row r="176">
          <cell r="A176" t="str">
            <v>17-1021</v>
          </cell>
          <cell r="B176" t="str">
            <v>Cartographers and Photogrammetrists</v>
          </cell>
          <cell r="C176">
            <v>12610</v>
          </cell>
          <cell r="D176">
            <v>3</v>
          </cell>
          <cell r="E176">
            <v>73510</v>
          </cell>
          <cell r="F176">
            <v>1.1000000000000001</v>
          </cell>
          <cell r="G176">
            <v>68900</v>
          </cell>
        </row>
        <row r="177">
          <cell r="A177" t="str">
            <v>17-1022</v>
          </cell>
          <cell r="B177" t="str">
            <v>Surveyors</v>
          </cell>
          <cell r="C177">
            <v>46390</v>
          </cell>
          <cell r="D177">
            <v>2.8</v>
          </cell>
          <cell r="E177">
            <v>68880</v>
          </cell>
          <cell r="F177">
            <v>1.3</v>
          </cell>
          <cell r="G177">
            <v>61600</v>
          </cell>
        </row>
        <row r="178">
          <cell r="A178" t="str">
            <v>17-2000</v>
          </cell>
          <cell r="B178" t="str">
            <v>Engineers</v>
          </cell>
          <cell r="C178">
            <v>1631080</v>
          </cell>
          <cell r="D178">
            <v>0.5</v>
          </cell>
          <cell r="E178">
            <v>104000</v>
          </cell>
          <cell r="F178">
            <v>0.3</v>
          </cell>
          <cell r="G178">
            <v>99040</v>
          </cell>
        </row>
        <row r="179">
          <cell r="A179" t="str">
            <v>17-2010</v>
          </cell>
          <cell r="B179" t="str">
            <v>Aerospace Engineers</v>
          </cell>
          <cell r="C179">
            <v>56640</v>
          </cell>
          <cell r="D179">
            <v>2.6</v>
          </cell>
          <cell r="E179">
            <v>122970</v>
          </cell>
          <cell r="F179">
            <v>0.7</v>
          </cell>
          <cell r="G179">
            <v>122270</v>
          </cell>
        </row>
        <row r="180">
          <cell r="A180" t="str">
            <v>17-2011</v>
          </cell>
          <cell r="B180" t="str">
            <v>Aerospace Engineers</v>
          </cell>
          <cell r="C180">
            <v>56640</v>
          </cell>
          <cell r="D180">
            <v>2.6</v>
          </cell>
          <cell r="E180">
            <v>122970</v>
          </cell>
          <cell r="F180">
            <v>0.7</v>
          </cell>
          <cell r="G180">
            <v>122270</v>
          </cell>
        </row>
        <row r="181">
          <cell r="A181" t="str">
            <v>17-2020</v>
          </cell>
          <cell r="B181" t="str">
            <v>Agricultural Engineers</v>
          </cell>
          <cell r="C181">
            <v>1120</v>
          </cell>
          <cell r="D181">
            <v>6.8</v>
          </cell>
          <cell r="E181">
            <v>87350</v>
          </cell>
          <cell r="F181">
            <v>2.2999999999999998</v>
          </cell>
          <cell r="G181">
            <v>82640</v>
          </cell>
        </row>
        <row r="182">
          <cell r="A182" t="str">
            <v>17-2021</v>
          </cell>
          <cell r="B182" t="str">
            <v>Agricultural Engineers</v>
          </cell>
          <cell r="C182">
            <v>1120</v>
          </cell>
          <cell r="D182">
            <v>6.8</v>
          </cell>
          <cell r="E182">
            <v>87350</v>
          </cell>
          <cell r="F182">
            <v>2.2999999999999998</v>
          </cell>
          <cell r="G182">
            <v>82640</v>
          </cell>
        </row>
        <row r="183">
          <cell r="A183" t="str">
            <v>17-2030</v>
          </cell>
          <cell r="B183" t="str">
            <v>Bioengineers and Biomedical Engineers</v>
          </cell>
          <cell r="C183">
            <v>17190</v>
          </cell>
          <cell r="D183">
            <v>4.8</v>
          </cell>
          <cell r="E183">
            <v>101020</v>
          </cell>
          <cell r="F183">
            <v>4.3</v>
          </cell>
          <cell r="G183">
            <v>97410</v>
          </cell>
        </row>
        <row r="184">
          <cell r="A184" t="str">
            <v>17-2031</v>
          </cell>
          <cell r="B184" t="str">
            <v>Bioengineers and Biomedical Engineers</v>
          </cell>
          <cell r="C184">
            <v>17190</v>
          </cell>
          <cell r="D184">
            <v>4.8</v>
          </cell>
          <cell r="E184">
            <v>101020</v>
          </cell>
          <cell r="F184">
            <v>4.3</v>
          </cell>
          <cell r="G184">
            <v>97410</v>
          </cell>
        </row>
        <row r="185">
          <cell r="A185" t="str">
            <v>17-2040</v>
          </cell>
          <cell r="B185" t="str">
            <v>Chemical Engineers</v>
          </cell>
          <cell r="C185">
            <v>24180</v>
          </cell>
          <cell r="D185">
            <v>3.3</v>
          </cell>
          <cell r="E185">
            <v>121840</v>
          </cell>
          <cell r="F185">
            <v>3.6</v>
          </cell>
          <cell r="G185">
            <v>105550</v>
          </cell>
        </row>
        <row r="186">
          <cell r="A186" t="str">
            <v>17-2041</v>
          </cell>
          <cell r="B186" t="str">
            <v>Chemical Engineers</v>
          </cell>
          <cell r="C186">
            <v>24180</v>
          </cell>
          <cell r="D186">
            <v>3.3</v>
          </cell>
          <cell r="E186">
            <v>121840</v>
          </cell>
          <cell r="F186">
            <v>3.6</v>
          </cell>
          <cell r="G186">
            <v>105550</v>
          </cell>
        </row>
        <row r="187">
          <cell r="A187" t="str">
            <v>17-2050</v>
          </cell>
          <cell r="B187" t="str">
            <v>Civil Engineers</v>
          </cell>
          <cell r="C187">
            <v>304310</v>
          </cell>
          <cell r="D187">
            <v>1.3</v>
          </cell>
          <cell r="E187">
            <v>95490</v>
          </cell>
          <cell r="F187">
            <v>0.5</v>
          </cell>
          <cell r="G187">
            <v>88050</v>
          </cell>
        </row>
        <row r="188">
          <cell r="A188" t="str">
            <v>17-2051</v>
          </cell>
          <cell r="B188" t="str">
            <v>Civil Engineers</v>
          </cell>
          <cell r="C188">
            <v>304310</v>
          </cell>
          <cell r="D188">
            <v>1.3</v>
          </cell>
          <cell r="E188">
            <v>95490</v>
          </cell>
          <cell r="F188">
            <v>0.5</v>
          </cell>
          <cell r="G188">
            <v>88050</v>
          </cell>
        </row>
        <row r="189">
          <cell r="A189" t="str">
            <v>17-2060</v>
          </cell>
          <cell r="B189" t="str">
            <v>Computer Hardware Engineers</v>
          </cell>
          <cell r="C189">
            <v>73750</v>
          </cell>
          <cell r="D189">
            <v>2</v>
          </cell>
          <cell r="E189">
            <v>136230</v>
          </cell>
          <cell r="F189">
            <v>0.9</v>
          </cell>
          <cell r="G189">
            <v>128170</v>
          </cell>
        </row>
        <row r="190">
          <cell r="A190" t="str">
            <v>17-2061</v>
          </cell>
          <cell r="B190" t="str">
            <v>Computer Hardware Engineers</v>
          </cell>
          <cell r="C190">
            <v>73750</v>
          </cell>
          <cell r="D190">
            <v>2</v>
          </cell>
          <cell r="E190">
            <v>136230</v>
          </cell>
          <cell r="F190">
            <v>0.9</v>
          </cell>
          <cell r="G190">
            <v>128170</v>
          </cell>
        </row>
        <row r="191">
          <cell r="A191" t="str">
            <v>17-2070</v>
          </cell>
          <cell r="B191" t="str">
            <v>Electrical and Electronics Engineers</v>
          </cell>
          <cell r="C191">
            <v>293190</v>
          </cell>
          <cell r="D191">
            <v>1.1000000000000001</v>
          </cell>
          <cell r="E191">
            <v>110670</v>
          </cell>
          <cell r="F191">
            <v>0.4</v>
          </cell>
          <cell r="G191">
            <v>101780</v>
          </cell>
        </row>
        <row r="192">
          <cell r="A192" t="str">
            <v>17-2071</v>
          </cell>
          <cell r="B192" t="str">
            <v>Electrical Engineers</v>
          </cell>
          <cell r="C192">
            <v>186020</v>
          </cell>
          <cell r="D192">
            <v>1.4</v>
          </cell>
          <cell r="E192">
            <v>107890</v>
          </cell>
          <cell r="F192">
            <v>0.5</v>
          </cell>
          <cell r="G192">
            <v>100420</v>
          </cell>
        </row>
        <row r="193">
          <cell r="A193" t="str">
            <v>17-2072</v>
          </cell>
          <cell r="B193" t="str">
            <v>Electronics Engineers, Except Computer</v>
          </cell>
          <cell r="C193">
            <v>107170</v>
          </cell>
          <cell r="D193">
            <v>1.4</v>
          </cell>
          <cell r="E193">
            <v>115490</v>
          </cell>
          <cell r="F193">
            <v>0.5</v>
          </cell>
          <cell r="G193">
            <v>104820</v>
          </cell>
        </row>
        <row r="194">
          <cell r="A194" t="str">
            <v>17-2080</v>
          </cell>
          <cell r="B194" t="str">
            <v>Environmental Engineers</v>
          </cell>
          <cell r="C194">
            <v>42660</v>
          </cell>
          <cell r="D194">
            <v>2.6</v>
          </cell>
          <cell r="E194">
            <v>100220</v>
          </cell>
          <cell r="F194">
            <v>1.2</v>
          </cell>
          <cell r="G194">
            <v>96820</v>
          </cell>
        </row>
        <row r="195">
          <cell r="A195" t="str">
            <v>17-2081</v>
          </cell>
          <cell r="B195" t="str">
            <v>Environmental Engineers</v>
          </cell>
          <cell r="C195">
            <v>42660</v>
          </cell>
          <cell r="D195">
            <v>2.6</v>
          </cell>
          <cell r="E195">
            <v>100220</v>
          </cell>
          <cell r="F195">
            <v>1.2</v>
          </cell>
          <cell r="G195">
            <v>96820</v>
          </cell>
        </row>
        <row r="196">
          <cell r="A196" t="str">
            <v>17-2110</v>
          </cell>
          <cell r="B196" t="str">
            <v>Industrial Engineers, Including Health and Safety</v>
          </cell>
          <cell r="C196">
            <v>316820</v>
          </cell>
          <cell r="D196">
            <v>0.9</v>
          </cell>
          <cell r="E196">
            <v>95520</v>
          </cell>
          <cell r="F196">
            <v>0.4</v>
          </cell>
          <cell r="G196">
            <v>95300</v>
          </cell>
        </row>
        <row r="197">
          <cell r="A197" t="str">
            <v>17-2111</v>
          </cell>
          <cell r="B197" t="str">
            <v>Health and Safety Engineers, Except Mining Safety Engineers and Inspectors</v>
          </cell>
          <cell r="C197">
            <v>22870</v>
          </cell>
          <cell r="D197">
            <v>4</v>
          </cell>
          <cell r="E197">
            <v>99700</v>
          </cell>
          <cell r="F197">
            <v>0.9</v>
          </cell>
          <cell r="G197">
            <v>99040</v>
          </cell>
        </row>
        <row r="198">
          <cell r="A198" t="str">
            <v>17-2112</v>
          </cell>
          <cell r="B198" t="str">
            <v>Industrial Engineers</v>
          </cell>
          <cell r="C198">
            <v>293950</v>
          </cell>
          <cell r="D198">
            <v>0.9</v>
          </cell>
          <cell r="E198">
            <v>95200</v>
          </cell>
          <cell r="F198">
            <v>0.4</v>
          </cell>
          <cell r="G198">
            <v>95300</v>
          </cell>
        </row>
        <row r="199">
          <cell r="A199" t="str">
            <v>17-2120</v>
          </cell>
          <cell r="B199" t="str">
            <v>Marine Engineers and Naval Architects</v>
          </cell>
          <cell r="C199">
            <v>7380</v>
          </cell>
          <cell r="D199">
            <v>8.9</v>
          </cell>
          <cell r="E199">
            <v>97820</v>
          </cell>
          <cell r="F199">
            <v>3.9</v>
          </cell>
          <cell r="G199">
            <v>93370</v>
          </cell>
        </row>
        <row r="200">
          <cell r="A200" t="str">
            <v>17-2121</v>
          </cell>
          <cell r="B200" t="str">
            <v>Marine Engineers and Naval Architects</v>
          </cell>
          <cell r="C200">
            <v>7380</v>
          </cell>
          <cell r="D200">
            <v>8.9</v>
          </cell>
          <cell r="E200">
            <v>97820</v>
          </cell>
          <cell r="F200">
            <v>3.9</v>
          </cell>
          <cell r="G200">
            <v>93370</v>
          </cell>
        </row>
        <row r="201">
          <cell r="A201" t="str">
            <v>17-2130</v>
          </cell>
          <cell r="B201" t="str">
            <v>Materials Engineers</v>
          </cell>
          <cell r="C201">
            <v>21530</v>
          </cell>
          <cell r="D201">
            <v>2.7</v>
          </cell>
          <cell r="E201">
            <v>101950</v>
          </cell>
          <cell r="F201">
            <v>0.8</v>
          </cell>
          <cell r="G201">
            <v>98300</v>
          </cell>
        </row>
        <row r="202">
          <cell r="A202" t="str">
            <v>17-2131</v>
          </cell>
          <cell r="B202" t="str">
            <v>Materials Engineers</v>
          </cell>
          <cell r="C202">
            <v>21530</v>
          </cell>
          <cell r="D202">
            <v>2.7</v>
          </cell>
          <cell r="E202">
            <v>101950</v>
          </cell>
          <cell r="F202">
            <v>0.8</v>
          </cell>
          <cell r="G202">
            <v>98300</v>
          </cell>
        </row>
        <row r="203">
          <cell r="A203" t="str">
            <v>17-2140</v>
          </cell>
          <cell r="B203" t="str">
            <v>Mechanical Engineers</v>
          </cell>
          <cell r="C203">
            <v>278240</v>
          </cell>
          <cell r="D203">
            <v>1</v>
          </cell>
          <cell r="E203">
            <v>97000</v>
          </cell>
          <cell r="F203">
            <v>0.6</v>
          </cell>
          <cell r="G203">
            <v>95300</v>
          </cell>
        </row>
        <row r="204">
          <cell r="A204" t="str">
            <v>17-2141</v>
          </cell>
          <cell r="B204" t="str">
            <v>Mechanical Engineers</v>
          </cell>
          <cell r="C204">
            <v>278240</v>
          </cell>
          <cell r="D204">
            <v>1</v>
          </cell>
          <cell r="E204">
            <v>97000</v>
          </cell>
          <cell r="F204">
            <v>0.6</v>
          </cell>
          <cell r="G204">
            <v>95300</v>
          </cell>
        </row>
        <row r="205">
          <cell r="A205" t="str">
            <v>17-2150</v>
          </cell>
          <cell r="B205" t="str">
            <v>Mining and Geological Engineers, Including Mining Safety Engineers</v>
          </cell>
          <cell r="C205">
            <v>7370</v>
          </cell>
          <cell r="D205">
            <v>3.7</v>
          </cell>
          <cell r="E205">
            <v>100450</v>
          </cell>
          <cell r="F205">
            <v>1.1000000000000001</v>
          </cell>
          <cell r="G205">
            <v>97090</v>
          </cell>
        </row>
        <row r="206">
          <cell r="A206" t="str">
            <v>17-2151</v>
          </cell>
          <cell r="B206" t="str">
            <v>Mining and Geological Engineers, Including Mining Safety Engineers</v>
          </cell>
          <cell r="C206">
            <v>7370</v>
          </cell>
          <cell r="D206">
            <v>3.7</v>
          </cell>
          <cell r="E206">
            <v>100450</v>
          </cell>
          <cell r="F206">
            <v>1.1000000000000001</v>
          </cell>
          <cell r="G206">
            <v>97090</v>
          </cell>
        </row>
        <row r="207">
          <cell r="A207" t="str">
            <v>17-2160</v>
          </cell>
          <cell r="B207" t="str">
            <v>Nuclear Engineers</v>
          </cell>
          <cell r="C207">
            <v>12670</v>
          </cell>
          <cell r="D207">
            <v>5.0999999999999996</v>
          </cell>
          <cell r="E207">
            <v>121760</v>
          </cell>
          <cell r="F207">
            <v>2.2999999999999998</v>
          </cell>
          <cell r="G207">
            <v>120380</v>
          </cell>
        </row>
        <row r="208">
          <cell r="A208" t="str">
            <v>17-2161</v>
          </cell>
          <cell r="B208" t="str">
            <v>Nuclear Engineers</v>
          </cell>
          <cell r="C208">
            <v>12670</v>
          </cell>
          <cell r="D208">
            <v>5.0999999999999996</v>
          </cell>
          <cell r="E208">
            <v>121760</v>
          </cell>
          <cell r="F208">
            <v>2.2999999999999998</v>
          </cell>
          <cell r="G208">
            <v>120380</v>
          </cell>
        </row>
        <row r="209">
          <cell r="A209" t="str">
            <v>17-2170</v>
          </cell>
          <cell r="B209" t="str">
            <v>Petroleum Engineers</v>
          </cell>
          <cell r="C209">
            <v>22100</v>
          </cell>
          <cell r="D209">
            <v>4.2</v>
          </cell>
          <cell r="E209">
            <v>145720</v>
          </cell>
          <cell r="F209">
            <v>1.3</v>
          </cell>
          <cell r="G209">
            <v>130850</v>
          </cell>
        </row>
        <row r="210">
          <cell r="A210" t="str">
            <v>17-2171</v>
          </cell>
          <cell r="B210" t="str">
            <v>Petroleum Engineers</v>
          </cell>
          <cell r="C210">
            <v>22100</v>
          </cell>
          <cell r="D210">
            <v>4.2</v>
          </cell>
          <cell r="E210">
            <v>145720</v>
          </cell>
          <cell r="F210">
            <v>1.3</v>
          </cell>
          <cell r="G210">
            <v>130850</v>
          </cell>
        </row>
        <row r="211">
          <cell r="A211" t="str">
            <v>17-2190</v>
          </cell>
          <cell r="B211" t="str">
            <v>Miscellaneous Engineers</v>
          </cell>
          <cell r="C211">
            <v>151940</v>
          </cell>
          <cell r="D211">
            <v>1.6</v>
          </cell>
          <cell r="E211">
            <v>107800</v>
          </cell>
          <cell r="F211">
            <v>0.6</v>
          </cell>
          <cell r="G211">
            <v>100640</v>
          </cell>
        </row>
        <row r="212">
          <cell r="A212" t="str">
            <v>17-2199</v>
          </cell>
          <cell r="B212" t="str">
            <v>Engineers, All Other</v>
          </cell>
          <cell r="C212">
            <v>151940</v>
          </cell>
          <cell r="D212">
            <v>1.6</v>
          </cell>
          <cell r="E212">
            <v>107800</v>
          </cell>
          <cell r="F212">
            <v>0.6</v>
          </cell>
          <cell r="G212">
            <v>100640</v>
          </cell>
        </row>
        <row r="213">
          <cell r="A213" t="str">
            <v>17-3000</v>
          </cell>
          <cell r="B213" t="str">
            <v>Drafters, Engineering Technicians, and Mapping Technicians</v>
          </cell>
          <cell r="C213">
            <v>628600</v>
          </cell>
          <cell r="D213">
            <v>0.7</v>
          </cell>
          <cell r="E213">
            <v>62420</v>
          </cell>
          <cell r="F213">
            <v>0.3</v>
          </cell>
          <cell r="G213">
            <v>60290</v>
          </cell>
        </row>
        <row r="214">
          <cell r="A214" t="str">
            <v>17-3010</v>
          </cell>
          <cell r="B214" t="str">
            <v>Drafters</v>
          </cell>
          <cell r="C214">
            <v>185200</v>
          </cell>
          <cell r="D214">
            <v>1.2</v>
          </cell>
          <cell r="E214">
            <v>61680</v>
          </cell>
          <cell r="F214">
            <v>0.4</v>
          </cell>
          <cell r="G214">
            <v>60290</v>
          </cell>
        </row>
        <row r="215">
          <cell r="A215" t="str">
            <v>17-3011</v>
          </cell>
          <cell r="B215" t="str">
            <v>Architectural and Civil Drafters</v>
          </cell>
          <cell r="C215">
            <v>101310</v>
          </cell>
          <cell r="D215">
            <v>1.7</v>
          </cell>
          <cell r="E215">
            <v>60620</v>
          </cell>
          <cell r="F215">
            <v>0.6</v>
          </cell>
          <cell r="G215">
            <v>60340</v>
          </cell>
        </row>
        <row r="216">
          <cell r="A216" t="str">
            <v>17-3012</v>
          </cell>
          <cell r="B216" t="str">
            <v>Electrical and Electronics Drafters</v>
          </cell>
          <cell r="C216">
            <v>20830</v>
          </cell>
          <cell r="D216">
            <v>3.7</v>
          </cell>
          <cell r="E216">
            <v>67090</v>
          </cell>
          <cell r="F216">
            <v>1.2</v>
          </cell>
          <cell r="G216">
            <v>61510</v>
          </cell>
        </row>
        <row r="217">
          <cell r="A217" t="str">
            <v>17-3013</v>
          </cell>
          <cell r="B217" t="str">
            <v>Mechanical Drafters</v>
          </cell>
          <cell r="C217">
            <v>47760</v>
          </cell>
          <cell r="D217">
            <v>1.9</v>
          </cell>
          <cell r="E217">
            <v>62650</v>
          </cell>
          <cell r="F217">
            <v>0.7</v>
          </cell>
          <cell r="G217">
            <v>60200</v>
          </cell>
        </row>
        <row r="218">
          <cell r="A218" t="str">
            <v>17-3019</v>
          </cell>
          <cell r="B218" t="str">
            <v>Drafters, All Other</v>
          </cell>
          <cell r="C218">
            <v>15300</v>
          </cell>
          <cell r="D218">
            <v>3.7</v>
          </cell>
          <cell r="E218">
            <v>58330</v>
          </cell>
          <cell r="F218">
            <v>1.2</v>
          </cell>
          <cell r="G218">
            <v>54240</v>
          </cell>
        </row>
        <row r="219">
          <cell r="A219" t="str">
            <v>17-3020</v>
          </cell>
          <cell r="B219" t="str">
            <v>Engineering Technologists and Technicians, Except Drafters</v>
          </cell>
          <cell r="C219">
            <v>387330</v>
          </cell>
          <cell r="D219">
            <v>0.8</v>
          </cell>
          <cell r="E219">
            <v>64600</v>
          </cell>
          <cell r="F219">
            <v>0.4</v>
          </cell>
          <cell r="G219">
            <v>60690</v>
          </cell>
        </row>
        <row r="220">
          <cell r="A220" t="str">
            <v>17-3021</v>
          </cell>
          <cell r="B220" t="str">
            <v>Aerospace Engineering and Operations Technologists and Technicians</v>
          </cell>
          <cell r="C220">
            <v>10900</v>
          </cell>
          <cell r="D220">
            <v>5.0999999999999996</v>
          </cell>
          <cell r="E220">
            <v>73510</v>
          </cell>
          <cell r="F220">
            <v>1.7</v>
          </cell>
          <cell r="G220">
            <v>73580</v>
          </cell>
        </row>
        <row r="221">
          <cell r="A221" t="str">
            <v>17-3022</v>
          </cell>
          <cell r="B221" t="str">
            <v>Civil Engineering Technologists and Technicians</v>
          </cell>
          <cell r="C221">
            <v>64170</v>
          </cell>
          <cell r="D221">
            <v>1.9</v>
          </cell>
          <cell r="E221">
            <v>58000</v>
          </cell>
          <cell r="F221">
            <v>0.8</v>
          </cell>
          <cell r="G221">
            <v>58320</v>
          </cell>
        </row>
        <row r="222">
          <cell r="A222" t="str">
            <v>17-3023</v>
          </cell>
          <cell r="B222" t="str">
            <v>Electrical and Electronic Engineering Technologists and Technicians</v>
          </cell>
          <cell r="C222">
            <v>101450</v>
          </cell>
          <cell r="D222">
            <v>1.4</v>
          </cell>
          <cell r="E222">
            <v>69070</v>
          </cell>
          <cell r="F222">
            <v>0.5</v>
          </cell>
          <cell r="G222">
            <v>63640</v>
          </cell>
        </row>
        <row r="223">
          <cell r="A223" t="str">
            <v>17-3024</v>
          </cell>
          <cell r="B223" t="str">
            <v>Electro-Mechanical and Mechatronics Technologists and Technicians</v>
          </cell>
          <cell r="C223">
            <v>11590</v>
          </cell>
          <cell r="D223">
            <v>4.5999999999999996</v>
          </cell>
          <cell r="E223">
            <v>63880</v>
          </cell>
          <cell r="F223">
            <v>1.4</v>
          </cell>
          <cell r="G223">
            <v>60360</v>
          </cell>
        </row>
        <row r="224">
          <cell r="A224" t="str">
            <v>17-3025</v>
          </cell>
          <cell r="B224" t="str">
            <v>Environmental Engineering Technologists and Technicians</v>
          </cell>
          <cell r="C224">
            <v>14910</v>
          </cell>
          <cell r="D224">
            <v>5.5</v>
          </cell>
          <cell r="E224">
            <v>56590</v>
          </cell>
          <cell r="F224">
            <v>1.5</v>
          </cell>
          <cell r="G224">
            <v>48390</v>
          </cell>
        </row>
        <row r="225">
          <cell r="A225" t="str">
            <v>17-3026</v>
          </cell>
          <cell r="B225" t="str">
            <v>Industrial Engineering Technologists and Technicians</v>
          </cell>
          <cell r="C225">
            <v>62030</v>
          </cell>
          <cell r="D225">
            <v>2</v>
          </cell>
          <cell r="E225">
            <v>61230</v>
          </cell>
          <cell r="F225">
            <v>0.5</v>
          </cell>
          <cell r="G225">
            <v>60220</v>
          </cell>
        </row>
        <row r="226">
          <cell r="A226" t="str">
            <v>17-3027</v>
          </cell>
          <cell r="B226" t="str">
            <v>Mechanical Engineering Technologists and Technicians</v>
          </cell>
          <cell r="C226">
            <v>40180</v>
          </cell>
          <cell r="D226">
            <v>2.2000000000000002</v>
          </cell>
          <cell r="E226">
            <v>63390</v>
          </cell>
          <cell r="F226">
            <v>0.6</v>
          </cell>
          <cell r="G226">
            <v>60460</v>
          </cell>
        </row>
        <row r="227">
          <cell r="A227" t="str">
            <v>17-3028</v>
          </cell>
          <cell r="B227" t="str">
            <v>Calibration Technologists and Technicians</v>
          </cell>
          <cell r="C227">
            <v>8500</v>
          </cell>
          <cell r="D227">
            <v>4.9000000000000004</v>
          </cell>
          <cell r="E227">
            <v>62800</v>
          </cell>
          <cell r="F227">
            <v>1.4</v>
          </cell>
          <cell r="G227">
            <v>60340</v>
          </cell>
        </row>
        <row r="228">
          <cell r="A228" t="str">
            <v>17-3029</v>
          </cell>
          <cell r="B228" t="str">
            <v>Engineering Technologists and Technicians, Except Drafters, All Other</v>
          </cell>
          <cell r="C228">
            <v>73600</v>
          </cell>
          <cell r="D228">
            <v>1.8</v>
          </cell>
          <cell r="E228">
            <v>68290</v>
          </cell>
          <cell r="F228">
            <v>0.6</v>
          </cell>
          <cell r="G228">
            <v>61950</v>
          </cell>
        </row>
        <row r="229">
          <cell r="A229" t="str">
            <v>17-3030</v>
          </cell>
          <cell r="B229" t="str">
            <v>Surveying and Mapping Technicians</v>
          </cell>
          <cell r="C229">
            <v>56070</v>
          </cell>
          <cell r="D229">
            <v>2.7</v>
          </cell>
          <cell r="E229">
            <v>49810</v>
          </cell>
          <cell r="F229">
            <v>0.9</v>
          </cell>
          <cell r="G229">
            <v>46910</v>
          </cell>
        </row>
        <row r="230">
          <cell r="A230" t="str">
            <v>17-3031</v>
          </cell>
          <cell r="B230" t="str">
            <v>Surveying and Mapping Technicians</v>
          </cell>
          <cell r="C230">
            <v>56070</v>
          </cell>
          <cell r="D230">
            <v>2.7</v>
          </cell>
          <cell r="E230">
            <v>49810</v>
          </cell>
          <cell r="F230">
            <v>0.9</v>
          </cell>
          <cell r="G230">
            <v>46910</v>
          </cell>
        </row>
        <row r="231">
          <cell r="A231" t="str">
            <v>19-0000</v>
          </cell>
          <cell r="B231" t="str">
            <v>Life, Physical, and Social Science Occupations</v>
          </cell>
          <cell r="C231">
            <v>1273640</v>
          </cell>
          <cell r="D231">
            <v>0.5</v>
          </cell>
          <cell r="E231">
            <v>80730</v>
          </cell>
          <cell r="F231">
            <v>0.5</v>
          </cell>
          <cell r="G231">
            <v>72740</v>
          </cell>
        </row>
        <row r="232">
          <cell r="A232" t="str">
            <v>19-1000</v>
          </cell>
          <cell r="B232" t="str">
            <v>Life Scientists</v>
          </cell>
          <cell r="C232">
            <v>304980</v>
          </cell>
          <cell r="D232">
            <v>1.2</v>
          </cell>
          <cell r="E232">
            <v>93190</v>
          </cell>
          <cell r="F232">
            <v>0.7</v>
          </cell>
          <cell r="G232">
            <v>80140</v>
          </cell>
        </row>
        <row r="233">
          <cell r="A233" t="str">
            <v>19-1010</v>
          </cell>
          <cell r="B233" t="str">
            <v>Agricultural and Food Scientists</v>
          </cell>
          <cell r="C233">
            <v>31920</v>
          </cell>
          <cell r="D233">
            <v>3</v>
          </cell>
          <cell r="E233">
            <v>79970</v>
          </cell>
          <cell r="F233">
            <v>1.4</v>
          </cell>
          <cell r="G233">
            <v>74160</v>
          </cell>
        </row>
        <row r="234">
          <cell r="A234" t="str">
            <v>19-1011</v>
          </cell>
          <cell r="B234" t="str">
            <v>Animal Scientists</v>
          </cell>
          <cell r="C234">
            <v>2790</v>
          </cell>
          <cell r="D234">
            <v>7.1</v>
          </cell>
          <cell r="E234">
            <v>80390</v>
          </cell>
          <cell r="F234">
            <v>7.2</v>
          </cell>
          <cell r="G234">
            <v>65090</v>
          </cell>
        </row>
        <row r="235">
          <cell r="A235" t="str">
            <v>19-1012</v>
          </cell>
          <cell r="B235" t="str">
            <v>Food Scientists and Technologists</v>
          </cell>
          <cell r="C235">
            <v>13510</v>
          </cell>
          <cell r="D235">
            <v>4.8</v>
          </cell>
          <cell r="E235">
            <v>84150</v>
          </cell>
          <cell r="F235">
            <v>2</v>
          </cell>
          <cell r="G235">
            <v>78340</v>
          </cell>
        </row>
        <row r="236">
          <cell r="A236" t="str">
            <v>19-1013</v>
          </cell>
          <cell r="B236" t="str">
            <v>Soil and Plant Scientists</v>
          </cell>
          <cell r="C236">
            <v>15610</v>
          </cell>
          <cell r="D236">
            <v>4.8</v>
          </cell>
          <cell r="E236">
            <v>76290</v>
          </cell>
          <cell r="F236">
            <v>2</v>
          </cell>
          <cell r="G236">
            <v>66750</v>
          </cell>
        </row>
        <row r="237">
          <cell r="A237" t="str">
            <v>19-1020</v>
          </cell>
          <cell r="B237" t="str">
            <v>Biological Scientists</v>
          </cell>
          <cell r="C237">
            <v>117460</v>
          </cell>
          <cell r="D237">
            <v>2.6</v>
          </cell>
          <cell r="E237">
            <v>93970</v>
          </cell>
          <cell r="F237">
            <v>1.1000000000000001</v>
          </cell>
          <cell r="G237">
            <v>82680</v>
          </cell>
        </row>
        <row r="238">
          <cell r="A238" t="str">
            <v>19-1021</v>
          </cell>
          <cell r="B238" t="str">
            <v>Biochemists and Biophysicists</v>
          </cell>
          <cell r="C238">
            <v>35050</v>
          </cell>
          <cell r="D238">
            <v>6.7</v>
          </cell>
          <cell r="E238">
            <v>113460</v>
          </cell>
          <cell r="F238">
            <v>2.2000000000000002</v>
          </cell>
          <cell r="G238">
            <v>102270</v>
          </cell>
        </row>
        <row r="239">
          <cell r="A239" t="str">
            <v>19-1022</v>
          </cell>
          <cell r="B239" t="str">
            <v>Microbiologists</v>
          </cell>
          <cell r="C239">
            <v>19430</v>
          </cell>
          <cell r="D239">
            <v>3.9</v>
          </cell>
          <cell r="E239">
            <v>87820</v>
          </cell>
          <cell r="F239">
            <v>1.4</v>
          </cell>
          <cell r="G239">
            <v>79260</v>
          </cell>
        </row>
        <row r="240">
          <cell r="A240" t="str">
            <v>19-1023</v>
          </cell>
          <cell r="B240" t="str">
            <v>Zoologists and Wildlife Biologists</v>
          </cell>
          <cell r="C240">
            <v>15930</v>
          </cell>
          <cell r="D240">
            <v>3.1</v>
          </cell>
          <cell r="E240">
            <v>70300</v>
          </cell>
          <cell r="F240">
            <v>0.6</v>
          </cell>
          <cell r="G240">
            <v>64650</v>
          </cell>
        </row>
        <row r="241">
          <cell r="A241" t="str">
            <v>19-1029</v>
          </cell>
          <cell r="B241" t="str">
            <v>Biological Scientists, All Other</v>
          </cell>
          <cell r="C241">
            <v>47050</v>
          </cell>
          <cell r="D241">
            <v>3</v>
          </cell>
          <cell r="E241">
            <v>90010</v>
          </cell>
          <cell r="F241">
            <v>1.1000000000000001</v>
          </cell>
          <cell r="G241">
            <v>82530</v>
          </cell>
        </row>
        <row r="242">
          <cell r="A242" t="str">
            <v>19-1030</v>
          </cell>
          <cell r="B242" t="str">
            <v>Conservation Scientists and Foresters</v>
          </cell>
          <cell r="C242">
            <v>32040</v>
          </cell>
          <cell r="D242">
            <v>2.1</v>
          </cell>
          <cell r="E242">
            <v>68080</v>
          </cell>
          <cell r="F242">
            <v>0.9</v>
          </cell>
          <cell r="G242">
            <v>63750</v>
          </cell>
        </row>
        <row r="243">
          <cell r="A243" t="str">
            <v>19-1031</v>
          </cell>
          <cell r="B243" t="str">
            <v>Conservation Scientists</v>
          </cell>
          <cell r="C243">
            <v>22550</v>
          </cell>
          <cell r="D243">
            <v>2</v>
          </cell>
          <cell r="E243">
            <v>68230</v>
          </cell>
          <cell r="F243">
            <v>0.8</v>
          </cell>
          <cell r="G243">
            <v>63750</v>
          </cell>
        </row>
        <row r="244">
          <cell r="A244" t="str">
            <v>19-1032</v>
          </cell>
          <cell r="B244" t="str">
            <v>Foresters</v>
          </cell>
          <cell r="C244">
            <v>9500</v>
          </cell>
          <cell r="D244">
            <v>5.6</v>
          </cell>
          <cell r="E244">
            <v>67710</v>
          </cell>
          <cell r="F244">
            <v>2</v>
          </cell>
          <cell r="G244">
            <v>64110</v>
          </cell>
        </row>
        <row r="245">
          <cell r="A245" t="str">
            <v>19-1040</v>
          </cell>
          <cell r="B245" t="str">
            <v>Medical Scientists</v>
          </cell>
          <cell r="C245">
            <v>116740</v>
          </cell>
          <cell r="D245">
            <v>1.6</v>
          </cell>
          <cell r="E245">
            <v>102830</v>
          </cell>
          <cell r="F245">
            <v>0.9</v>
          </cell>
          <cell r="G245">
            <v>90640</v>
          </cell>
        </row>
        <row r="246">
          <cell r="A246" t="str">
            <v>19-1041</v>
          </cell>
          <cell r="B246" t="str">
            <v>Epidemiologists</v>
          </cell>
          <cell r="C246">
            <v>8180</v>
          </cell>
          <cell r="D246">
            <v>2.2000000000000002</v>
          </cell>
          <cell r="E246">
            <v>86740</v>
          </cell>
          <cell r="F246">
            <v>1.2</v>
          </cell>
          <cell r="G246">
            <v>78830</v>
          </cell>
        </row>
        <row r="247">
          <cell r="A247" t="str">
            <v>19-1042</v>
          </cell>
          <cell r="B247" t="str">
            <v>Medical Scientists, Except Epidemiologists</v>
          </cell>
          <cell r="C247">
            <v>108550</v>
          </cell>
          <cell r="D247">
            <v>1.7</v>
          </cell>
          <cell r="E247">
            <v>104050</v>
          </cell>
          <cell r="F247">
            <v>0.9</v>
          </cell>
          <cell r="G247">
            <v>95310</v>
          </cell>
        </row>
        <row r="248">
          <cell r="A248" t="str">
            <v>19-1090</v>
          </cell>
          <cell r="B248" t="str">
            <v>Miscellaneous Life Scientists</v>
          </cell>
          <cell r="C248">
            <v>6820</v>
          </cell>
          <cell r="D248">
            <v>6.6</v>
          </cell>
          <cell r="E248">
            <v>94430</v>
          </cell>
          <cell r="F248">
            <v>3.9</v>
          </cell>
          <cell r="G248">
            <v>81500</v>
          </cell>
        </row>
        <row r="249">
          <cell r="A249" t="str">
            <v>19-1099</v>
          </cell>
          <cell r="B249" t="str">
            <v>Life Scientists, All Other</v>
          </cell>
          <cell r="C249">
            <v>6820</v>
          </cell>
          <cell r="D249">
            <v>6.6</v>
          </cell>
          <cell r="E249">
            <v>94430</v>
          </cell>
          <cell r="F249">
            <v>3.9</v>
          </cell>
          <cell r="G249">
            <v>81500</v>
          </cell>
        </row>
        <row r="250">
          <cell r="A250" t="str">
            <v>19-2000</v>
          </cell>
          <cell r="B250" t="str">
            <v>Physical Scientists</v>
          </cell>
          <cell r="C250">
            <v>244340</v>
          </cell>
          <cell r="D250">
            <v>1</v>
          </cell>
          <cell r="E250">
            <v>96340</v>
          </cell>
          <cell r="F250">
            <v>0.6</v>
          </cell>
          <cell r="G250">
            <v>82090</v>
          </cell>
        </row>
        <row r="251">
          <cell r="A251" t="str">
            <v>19-2010</v>
          </cell>
          <cell r="B251" t="str">
            <v>Astronomers and Physicists</v>
          </cell>
          <cell r="C251">
            <v>21950</v>
          </cell>
          <cell r="D251">
            <v>4.3</v>
          </cell>
          <cell r="E251">
            <v>150510</v>
          </cell>
          <cell r="F251">
            <v>0.7</v>
          </cell>
          <cell r="G251">
            <v>147450</v>
          </cell>
        </row>
        <row r="252">
          <cell r="A252" t="str">
            <v>19-2011</v>
          </cell>
          <cell r="B252" t="str">
            <v>Astronomers</v>
          </cell>
          <cell r="C252">
            <v>1930</v>
          </cell>
          <cell r="D252">
            <v>16.399999999999999</v>
          </cell>
          <cell r="E252">
            <v>139410</v>
          </cell>
          <cell r="F252">
            <v>2.8</v>
          </cell>
          <cell r="G252">
            <v>128160</v>
          </cell>
        </row>
        <row r="253">
          <cell r="A253" t="str">
            <v>19-2012</v>
          </cell>
          <cell r="B253" t="str">
            <v>Physicists</v>
          </cell>
          <cell r="C253">
            <v>20020</v>
          </cell>
          <cell r="D253">
            <v>4.4000000000000004</v>
          </cell>
          <cell r="E253">
            <v>151580</v>
          </cell>
          <cell r="F253">
            <v>0.7</v>
          </cell>
          <cell r="G253">
            <v>152430</v>
          </cell>
        </row>
        <row r="254">
          <cell r="A254" t="str">
            <v>19-2020</v>
          </cell>
          <cell r="B254" t="str">
            <v>Atmospheric and Space Scientists</v>
          </cell>
          <cell r="C254">
            <v>8520</v>
          </cell>
          <cell r="D254">
            <v>3.5</v>
          </cell>
          <cell r="E254">
            <v>96880</v>
          </cell>
          <cell r="F254">
            <v>1.5</v>
          </cell>
          <cell r="G254">
            <v>94570</v>
          </cell>
        </row>
        <row r="255">
          <cell r="A255" t="str">
            <v>19-2021</v>
          </cell>
          <cell r="B255" t="str">
            <v>Atmospheric and Space Scientists</v>
          </cell>
          <cell r="C255">
            <v>8520</v>
          </cell>
          <cell r="D255">
            <v>3.5</v>
          </cell>
          <cell r="E255">
            <v>96880</v>
          </cell>
          <cell r="F255">
            <v>1.5</v>
          </cell>
          <cell r="G255">
            <v>94570</v>
          </cell>
        </row>
        <row r="256">
          <cell r="A256" t="str">
            <v>19-2030</v>
          </cell>
          <cell r="B256" t="str">
            <v>Chemists and Materials Scientists</v>
          </cell>
          <cell r="C256">
            <v>87290</v>
          </cell>
          <cell r="D256">
            <v>1.8</v>
          </cell>
          <cell r="E256">
            <v>90330</v>
          </cell>
          <cell r="F256">
            <v>0.7</v>
          </cell>
          <cell r="G256">
            <v>79760</v>
          </cell>
        </row>
        <row r="257">
          <cell r="A257" t="str">
            <v>19-2031</v>
          </cell>
          <cell r="B257" t="str">
            <v>Chemists</v>
          </cell>
          <cell r="C257">
            <v>80600</v>
          </cell>
          <cell r="D257">
            <v>1.9</v>
          </cell>
          <cell r="E257">
            <v>89130</v>
          </cell>
          <cell r="F257">
            <v>0.7</v>
          </cell>
          <cell r="G257">
            <v>79430</v>
          </cell>
        </row>
        <row r="258">
          <cell r="A258" t="str">
            <v>19-2032</v>
          </cell>
          <cell r="B258" t="str">
            <v>Materials Scientists</v>
          </cell>
          <cell r="C258">
            <v>6690</v>
          </cell>
          <cell r="D258">
            <v>5.9</v>
          </cell>
          <cell r="E258">
            <v>104790</v>
          </cell>
          <cell r="F258">
            <v>1.7</v>
          </cell>
          <cell r="G258">
            <v>100090</v>
          </cell>
        </row>
        <row r="259">
          <cell r="A259" t="str">
            <v>19-2040</v>
          </cell>
          <cell r="B259" t="str">
            <v>Environmental Scientists and Geoscientists</v>
          </cell>
          <cell r="C259">
            <v>106910</v>
          </cell>
          <cell r="D259">
            <v>1.5</v>
          </cell>
          <cell r="E259">
            <v>86980</v>
          </cell>
          <cell r="F259">
            <v>0.8</v>
          </cell>
          <cell r="G259">
            <v>78340</v>
          </cell>
        </row>
        <row r="260">
          <cell r="A260" t="str">
            <v>19-2041</v>
          </cell>
          <cell r="B260" t="str">
            <v>Environmental Scientists and Specialists, Including Health</v>
          </cell>
          <cell r="C260">
            <v>76890</v>
          </cell>
          <cell r="D260">
            <v>1.5</v>
          </cell>
          <cell r="E260">
            <v>81240</v>
          </cell>
          <cell r="F260">
            <v>0.9</v>
          </cell>
          <cell r="G260">
            <v>76530</v>
          </cell>
        </row>
        <row r="261">
          <cell r="A261" t="str">
            <v>19-2042</v>
          </cell>
          <cell r="B261" t="str">
            <v>Geoscientists, Except Hydrologists and Geographers</v>
          </cell>
          <cell r="C261">
            <v>23620</v>
          </cell>
          <cell r="D261">
            <v>3.2</v>
          </cell>
          <cell r="E261">
            <v>103550</v>
          </cell>
          <cell r="F261">
            <v>1.4</v>
          </cell>
          <cell r="G261">
            <v>83680</v>
          </cell>
        </row>
        <row r="262">
          <cell r="A262" t="str">
            <v>19-2043</v>
          </cell>
          <cell r="B262" t="str">
            <v>Hydrologists</v>
          </cell>
          <cell r="C262">
            <v>6390</v>
          </cell>
          <cell r="D262">
            <v>5.5</v>
          </cell>
          <cell r="E262">
            <v>94780</v>
          </cell>
          <cell r="F262">
            <v>2.2999999999999998</v>
          </cell>
          <cell r="G262">
            <v>84030</v>
          </cell>
        </row>
        <row r="263">
          <cell r="A263" t="str">
            <v>19-2090</v>
          </cell>
          <cell r="B263" t="str">
            <v>Miscellaneous Physical Scientists</v>
          </cell>
          <cell r="C263">
            <v>19680</v>
          </cell>
          <cell r="D263">
            <v>2</v>
          </cell>
          <cell r="E263">
            <v>113220</v>
          </cell>
          <cell r="F263">
            <v>0.8</v>
          </cell>
          <cell r="G263">
            <v>104100</v>
          </cell>
        </row>
        <row r="264">
          <cell r="A264" t="str">
            <v>19-2099</v>
          </cell>
          <cell r="B264" t="str">
            <v>Physical Scientists, All Other</v>
          </cell>
          <cell r="C264">
            <v>19680</v>
          </cell>
          <cell r="D264">
            <v>2</v>
          </cell>
          <cell r="E264">
            <v>113220</v>
          </cell>
          <cell r="F264">
            <v>0.8</v>
          </cell>
          <cell r="G264">
            <v>104100</v>
          </cell>
        </row>
        <row r="265">
          <cell r="A265" t="str">
            <v>19-3000</v>
          </cell>
          <cell r="B265" t="str">
            <v>Social Scientists and Related Workers</v>
          </cell>
          <cell r="C265">
            <v>246680</v>
          </cell>
          <cell r="D265">
            <v>0.9</v>
          </cell>
          <cell r="E265">
            <v>90810</v>
          </cell>
          <cell r="F265">
            <v>0.8</v>
          </cell>
          <cell r="G265">
            <v>80890</v>
          </cell>
        </row>
        <row r="266">
          <cell r="A266" t="str">
            <v>19-3010</v>
          </cell>
          <cell r="B266" t="str">
            <v>Economists</v>
          </cell>
          <cell r="C266">
            <v>15640</v>
          </cell>
          <cell r="D266">
            <v>4.5</v>
          </cell>
          <cell r="E266">
            <v>120830</v>
          </cell>
          <cell r="F266">
            <v>1.7</v>
          </cell>
          <cell r="G266">
            <v>105630</v>
          </cell>
        </row>
        <row r="267">
          <cell r="A267" t="str">
            <v>19-3011</v>
          </cell>
          <cell r="B267" t="str">
            <v>Economists</v>
          </cell>
          <cell r="C267">
            <v>15640</v>
          </cell>
          <cell r="D267">
            <v>4.5</v>
          </cell>
          <cell r="E267">
            <v>120830</v>
          </cell>
          <cell r="F267">
            <v>1.7</v>
          </cell>
          <cell r="G267">
            <v>105630</v>
          </cell>
        </row>
        <row r="268">
          <cell r="A268" t="str">
            <v>19-3020</v>
          </cell>
          <cell r="B268" t="str">
            <v>Survey Researchers</v>
          </cell>
          <cell r="C268">
            <v>8850</v>
          </cell>
          <cell r="D268">
            <v>5.3</v>
          </cell>
          <cell r="E268">
            <v>64690</v>
          </cell>
          <cell r="F268">
            <v>3.7</v>
          </cell>
          <cell r="G268">
            <v>59740</v>
          </cell>
        </row>
        <row r="269">
          <cell r="A269" t="str">
            <v>19-3022</v>
          </cell>
          <cell r="B269" t="str">
            <v>Survey Researchers</v>
          </cell>
          <cell r="C269">
            <v>8850</v>
          </cell>
          <cell r="D269">
            <v>5.3</v>
          </cell>
          <cell r="E269">
            <v>64690</v>
          </cell>
          <cell r="F269">
            <v>3.7</v>
          </cell>
          <cell r="G269">
            <v>59740</v>
          </cell>
        </row>
        <row r="270">
          <cell r="A270" t="str">
            <v>19-3030</v>
          </cell>
          <cell r="B270" t="str">
            <v>Psychologists</v>
          </cell>
          <cell r="C270">
            <v>129620</v>
          </cell>
          <cell r="D270">
            <v>1.5</v>
          </cell>
          <cell r="E270">
            <v>92100</v>
          </cell>
          <cell r="F270">
            <v>1.1000000000000001</v>
          </cell>
          <cell r="G270">
            <v>81040</v>
          </cell>
        </row>
        <row r="271">
          <cell r="A271" t="str">
            <v>19-3032</v>
          </cell>
          <cell r="B271" t="str">
            <v>Industrial-Organizational Psychologists</v>
          </cell>
          <cell r="C271">
            <v>610</v>
          </cell>
          <cell r="D271">
            <v>6.4</v>
          </cell>
          <cell r="E271">
            <v>113320</v>
          </cell>
          <cell r="F271">
            <v>1.9</v>
          </cell>
          <cell r="G271">
            <v>105310</v>
          </cell>
        </row>
        <row r="272">
          <cell r="A272" t="str">
            <v>19-3033</v>
          </cell>
          <cell r="B272" t="str">
            <v>Clinical and Counseling Psychologists</v>
          </cell>
          <cell r="C272">
            <v>58100</v>
          </cell>
          <cell r="D272">
            <v>2.6</v>
          </cell>
          <cell r="E272">
            <v>99640</v>
          </cell>
          <cell r="F272">
            <v>1.9</v>
          </cell>
          <cell r="G272">
            <v>82510</v>
          </cell>
        </row>
        <row r="273">
          <cell r="A273" t="str">
            <v>19-3034</v>
          </cell>
          <cell r="B273" t="str">
            <v>School Psychologists</v>
          </cell>
          <cell r="C273">
            <v>57110</v>
          </cell>
          <cell r="D273">
            <v>2.1</v>
          </cell>
          <cell r="E273">
            <v>82770</v>
          </cell>
          <cell r="F273">
            <v>0.8</v>
          </cell>
          <cell r="G273">
            <v>78780</v>
          </cell>
        </row>
        <row r="274">
          <cell r="A274" t="str">
            <v>19-3039</v>
          </cell>
          <cell r="B274" t="str">
            <v>Psychologists, All Other</v>
          </cell>
          <cell r="C274">
            <v>13800</v>
          </cell>
          <cell r="D274">
            <v>3.4</v>
          </cell>
          <cell r="E274">
            <v>98010</v>
          </cell>
          <cell r="F274">
            <v>1.4</v>
          </cell>
          <cell r="G274">
            <v>102900</v>
          </cell>
        </row>
        <row r="275">
          <cell r="A275" t="str">
            <v>19-3040</v>
          </cell>
          <cell r="B275" t="str">
            <v>Sociologists</v>
          </cell>
          <cell r="C275">
            <v>2640</v>
          </cell>
          <cell r="D275">
            <v>11.9</v>
          </cell>
          <cell r="E275">
            <v>96260</v>
          </cell>
          <cell r="F275">
            <v>1.6</v>
          </cell>
          <cell r="G275">
            <v>92910</v>
          </cell>
        </row>
        <row r="276">
          <cell r="A276" t="str">
            <v>19-3041</v>
          </cell>
          <cell r="B276" t="str">
            <v>Sociologists</v>
          </cell>
          <cell r="C276">
            <v>2640</v>
          </cell>
          <cell r="D276">
            <v>11.9</v>
          </cell>
          <cell r="E276">
            <v>96260</v>
          </cell>
          <cell r="F276">
            <v>1.6</v>
          </cell>
          <cell r="G276">
            <v>92910</v>
          </cell>
        </row>
        <row r="277">
          <cell r="A277" t="str">
            <v>19-3050</v>
          </cell>
          <cell r="B277" t="str">
            <v>Urban and Regional Planners</v>
          </cell>
          <cell r="C277">
            <v>38940</v>
          </cell>
          <cell r="D277">
            <v>1.7</v>
          </cell>
          <cell r="E277">
            <v>81310</v>
          </cell>
          <cell r="F277">
            <v>1.1000000000000001</v>
          </cell>
          <cell r="G277">
            <v>78500</v>
          </cell>
        </row>
        <row r="278">
          <cell r="A278" t="str">
            <v>19-3051</v>
          </cell>
          <cell r="B278" t="str">
            <v>Urban and Regional Planners</v>
          </cell>
          <cell r="C278">
            <v>38940</v>
          </cell>
          <cell r="D278">
            <v>1.7</v>
          </cell>
          <cell r="E278">
            <v>81310</v>
          </cell>
          <cell r="F278">
            <v>1.1000000000000001</v>
          </cell>
          <cell r="G278">
            <v>78500</v>
          </cell>
        </row>
        <row r="279">
          <cell r="A279" t="str">
            <v>19-3090</v>
          </cell>
          <cell r="B279" t="str">
            <v>Miscellaneous Social Scientists and Related Workers</v>
          </cell>
          <cell r="C279">
            <v>50990</v>
          </cell>
          <cell r="D279">
            <v>1.9</v>
          </cell>
          <cell r="E279">
            <v>89840</v>
          </cell>
          <cell r="F279">
            <v>0.6</v>
          </cell>
          <cell r="G279">
            <v>82390</v>
          </cell>
        </row>
        <row r="280">
          <cell r="A280" t="str">
            <v>19-3091</v>
          </cell>
          <cell r="B280" t="str">
            <v>Anthropologists and Archeologists</v>
          </cell>
          <cell r="C280">
            <v>6650</v>
          </cell>
          <cell r="D280">
            <v>8.6999999999999993</v>
          </cell>
          <cell r="E280">
            <v>66800</v>
          </cell>
          <cell r="F280">
            <v>1.7</v>
          </cell>
          <cell r="G280">
            <v>61910</v>
          </cell>
        </row>
        <row r="281">
          <cell r="A281" t="str">
            <v>19-3092</v>
          </cell>
          <cell r="B281" t="str">
            <v>Geographers</v>
          </cell>
          <cell r="C281">
            <v>1440</v>
          </cell>
          <cell r="D281">
            <v>4.7</v>
          </cell>
          <cell r="E281">
            <v>86740</v>
          </cell>
          <cell r="F281">
            <v>1.3</v>
          </cell>
          <cell r="G281">
            <v>85220</v>
          </cell>
        </row>
        <row r="282">
          <cell r="A282" t="str">
            <v>19-3093</v>
          </cell>
          <cell r="B282" t="str">
            <v>Historians</v>
          </cell>
          <cell r="C282">
            <v>2910</v>
          </cell>
          <cell r="D282">
            <v>5.0999999999999996</v>
          </cell>
          <cell r="E282">
            <v>72130</v>
          </cell>
          <cell r="F282">
            <v>1.3</v>
          </cell>
          <cell r="G282">
            <v>63940</v>
          </cell>
        </row>
        <row r="283">
          <cell r="A283" t="str">
            <v>19-3094</v>
          </cell>
          <cell r="B283" t="str">
            <v>Political Scientists</v>
          </cell>
          <cell r="C283">
            <v>5650</v>
          </cell>
          <cell r="D283">
            <v>5.7</v>
          </cell>
          <cell r="E283">
            <v>120430</v>
          </cell>
          <cell r="F283">
            <v>1.6</v>
          </cell>
          <cell r="G283">
            <v>122510</v>
          </cell>
        </row>
        <row r="284">
          <cell r="A284" t="str">
            <v>19-3099</v>
          </cell>
          <cell r="B284" t="str">
            <v>Social Scientists and Related Workers, All Other</v>
          </cell>
          <cell r="C284">
            <v>34330</v>
          </cell>
          <cell r="D284">
            <v>1.6</v>
          </cell>
          <cell r="E284">
            <v>90900</v>
          </cell>
          <cell r="F284">
            <v>0.7</v>
          </cell>
          <cell r="G284">
            <v>84430</v>
          </cell>
        </row>
        <row r="285">
          <cell r="A285" t="str">
            <v>19-4000</v>
          </cell>
          <cell r="B285" t="str">
            <v>Life, Physical, and Social Science Technicians</v>
          </cell>
          <cell r="C285">
            <v>349540</v>
          </cell>
          <cell r="D285">
            <v>0.8</v>
          </cell>
          <cell r="E285">
            <v>53890</v>
          </cell>
          <cell r="F285">
            <v>0.5</v>
          </cell>
          <cell r="G285">
            <v>48370</v>
          </cell>
        </row>
        <row r="286">
          <cell r="A286" t="str">
            <v>19-4010</v>
          </cell>
          <cell r="B286" t="str">
            <v>Agricultural and Food Science Technicians</v>
          </cell>
          <cell r="C286">
            <v>25090</v>
          </cell>
          <cell r="D286">
            <v>2.4</v>
          </cell>
          <cell r="E286">
            <v>46240</v>
          </cell>
          <cell r="F286">
            <v>0.7</v>
          </cell>
          <cell r="G286">
            <v>44700</v>
          </cell>
        </row>
        <row r="287">
          <cell r="A287" t="str">
            <v>19-4012</v>
          </cell>
          <cell r="B287" t="str">
            <v>Agricultural Technicians</v>
          </cell>
          <cell r="C287">
            <v>13560</v>
          </cell>
          <cell r="D287">
            <v>3.9</v>
          </cell>
          <cell r="E287">
            <v>44850</v>
          </cell>
          <cell r="F287">
            <v>1</v>
          </cell>
          <cell r="G287">
            <v>40430</v>
          </cell>
        </row>
        <row r="288">
          <cell r="A288" t="str">
            <v>19-4013</v>
          </cell>
          <cell r="B288" t="str">
            <v>Food Science Technicians</v>
          </cell>
          <cell r="C288">
            <v>11530</v>
          </cell>
          <cell r="D288">
            <v>2.6</v>
          </cell>
          <cell r="E288">
            <v>47870</v>
          </cell>
          <cell r="F288">
            <v>0.9</v>
          </cell>
          <cell r="G288">
            <v>46590</v>
          </cell>
        </row>
        <row r="289">
          <cell r="A289" t="str">
            <v>19-4020</v>
          </cell>
          <cell r="B289" t="str">
            <v>Biological Technicians</v>
          </cell>
          <cell r="C289">
            <v>76150</v>
          </cell>
          <cell r="D289">
            <v>1.9</v>
          </cell>
          <cell r="E289">
            <v>51770</v>
          </cell>
          <cell r="F289">
            <v>0.7</v>
          </cell>
          <cell r="G289">
            <v>48140</v>
          </cell>
        </row>
        <row r="290">
          <cell r="A290" t="str">
            <v>19-4021</v>
          </cell>
          <cell r="B290" t="str">
            <v>Biological Technicians</v>
          </cell>
          <cell r="C290">
            <v>76150</v>
          </cell>
          <cell r="D290">
            <v>1.9</v>
          </cell>
          <cell r="E290">
            <v>51770</v>
          </cell>
          <cell r="F290">
            <v>0.7</v>
          </cell>
          <cell r="G290">
            <v>48140</v>
          </cell>
        </row>
        <row r="291">
          <cell r="A291" t="str">
            <v>19-4030</v>
          </cell>
          <cell r="B291" t="str">
            <v>Chemical Technicians</v>
          </cell>
          <cell r="C291">
            <v>57690</v>
          </cell>
          <cell r="D291">
            <v>1.7</v>
          </cell>
          <cell r="E291">
            <v>55040</v>
          </cell>
          <cell r="F291">
            <v>0.7</v>
          </cell>
          <cell r="G291">
            <v>48990</v>
          </cell>
        </row>
        <row r="292">
          <cell r="A292" t="str">
            <v>19-4031</v>
          </cell>
          <cell r="B292" t="str">
            <v>Chemical Technicians</v>
          </cell>
          <cell r="C292">
            <v>57690</v>
          </cell>
          <cell r="D292">
            <v>1.7</v>
          </cell>
          <cell r="E292">
            <v>55040</v>
          </cell>
          <cell r="F292">
            <v>0.7</v>
          </cell>
          <cell r="G292">
            <v>48990</v>
          </cell>
        </row>
        <row r="293">
          <cell r="A293" t="str">
            <v>19-4040</v>
          </cell>
          <cell r="B293" t="str">
            <v>Environmental Science and Geoscience Technicians</v>
          </cell>
          <cell r="C293">
            <v>46860</v>
          </cell>
          <cell r="D293">
            <v>2.6</v>
          </cell>
          <cell r="E293">
            <v>53830</v>
          </cell>
          <cell r="F293">
            <v>1.1000000000000001</v>
          </cell>
          <cell r="G293">
            <v>47850</v>
          </cell>
        </row>
        <row r="294">
          <cell r="A294" t="str">
            <v>19-4042</v>
          </cell>
          <cell r="B294" t="str">
            <v>Environmental Science and Protection Technicians, Including Health</v>
          </cell>
          <cell r="C294">
            <v>34110</v>
          </cell>
          <cell r="D294">
            <v>3.1</v>
          </cell>
          <cell r="E294">
            <v>50550</v>
          </cell>
          <cell r="F294">
            <v>1</v>
          </cell>
          <cell r="G294">
            <v>47370</v>
          </cell>
        </row>
        <row r="295">
          <cell r="A295" t="str">
            <v>19-4043</v>
          </cell>
          <cell r="B295" t="str">
            <v>Geological Technicians, Except Hydrologic Technicians</v>
          </cell>
          <cell r="C295">
            <v>9210</v>
          </cell>
          <cell r="D295">
            <v>6.4</v>
          </cell>
          <cell r="E295">
            <v>59080</v>
          </cell>
          <cell r="F295">
            <v>2.5</v>
          </cell>
          <cell r="G295">
            <v>48310</v>
          </cell>
        </row>
        <row r="296">
          <cell r="A296" t="str">
            <v>19-4044</v>
          </cell>
          <cell r="B296" t="str">
            <v>Hydrologic Technicians</v>
          </cell>
          <cell r="C296">
            <v>3550</v>
          </cell>
          <cell r="D296">
            <v>4.7</v>
          </cell>
          <cell r="E296">
            <v>71760</v>
          </cell>
          <cell r="F296">
            <v>2.6</v>
          </cell>
          <cell r="G296">
            <v>62280</v>
          </cell>
        </row>
        <row r="297">
          <cell r="A297" t="str">
            <v>19-4050</v>
          </cell>
          <cell r="B297" t="str">
            <v>Nuclear Technicians</v>
          </cell>
          <cell r="C297">
            <v>5360</v>
          </cell>
          <cell r="D297">
            <v>4</v>
          </cell>
          <cell r="E297">
            <v>95200</v>
          </cell>
          <cell r="F297">
            <v>1.1000000000000001</v>
          </cell>
          <cell r="G297">
            <v>99340</v>
          </cell>
        </row>
        <row r="298">
          <cell r="A298" t="str">
            <v>19-4051</v>
          </cell>
          <cell r="B298" t="str">
            <v>Nuclear Technicians</v>
          </cell>
          <cell r="C298">
            <v>5360</v>
          </cell>
          <cell r="D298">
            <v>4</v>
          </cell>
          <cell r="E298">
            <v>95200</v>
          </cell>
          <cell r="F298">
            <v>1.1000000000000001</v>
          </cell>
          <cell r="G298">
            <v>99340</v>
          </cell>
        </row>
        <row r="299">
          <cell r="A299" t="str">
            <v>19-4060</v>
          </cell>
          <cell r="B299" t="str">
            <v>Social Science Research Assistants</v>
          </cell>
          <cell r="C299">
            <v>28690</v>
          </cell>
          <cell r="D299">
            <v>1.9</v>
          </cell>
          <cell r="E299">
            <v>56430</v>
          </cell>
          <cell r="F299">
            <v>0.9</v>
          </cell>
          <cell r="G299">
            <v>49720</v>
          </cell>
        </row>
        <row r="300">
          <cell r="A300" t="str">
            <v>19-4061</v>
          </cell>
          <cell r="B300" t="str">
            <v>Social Science Research Assistants</v>
          </cell>
          <cell r="C300">
            <v>28690</v>
          </cell>
          <cell r="D300">
            <v>1.9</v>
          </cell>
          <cell r="E300">
            <v>56430</v>
          </cell>
          <cell r="F300">
            <v>0.9</v>
          </cell>
          <cell r="G300">
            <v>49720</v>
          </cell>
        </row>
        <row r="301">
          <cell r="A301" t="str">
            <v>19-4070</v>
          </cell>
          <cell r="B301" t="str">
            <v>Forest and Conservation Technicians</v>
          </cell>
          <cell r="C301">
            <v>30440</v>
          </cell>
          <cell r="D301">
            <v>1.6</v>
          </cell>
          <cell r="E301">
            <v>43420</v>
          </cell>
          <cell r="F301">
            <v>0.3</v>
          </cell>
          <cell r="G301">
            <v>39290</v>
          </cell>
        </row>
        <row r="302">
          <cell r="A302" t="str">
            <v>19-4071</v>
          </cell>
          <cell r="B302" t="str">
            <v>Forest and Conservation Technicians</v>
          </cell>
          <cell r="C302">
            <v>30440</v>
          </cell>
          <cell r="D302">
            <v>1.6</v>
          </cell>
          <cell r="E302">
            <v>43420</v>
          </cell>
          <cell r="F302">
            <v>0.3</v>
          </cell>
          <cell r="G302">
            <v>39290</v>
          </cell>
        </row>
        <row r="303">
          <cell r="A303" t="str">
            <v>19-4090</v>
          </cell>
          <cell r="B303" t="str">
            <v>Miscellaneous Life, Physical, and Social Science Technicians</v>
          </cell>
          <cell r="C303">
            <v>79250</v>
          </cell>
          <cell r="D303">
            <v>1.9</v>
          </cell>
          <cell r="E303">
            <v>57880</v>
          </cell>
          <cell r="F303">
            <v>0.7</v>
          </cell>
          <cell r="G303">
            <v>50370</v>
          </cell>
        </row>
        <row r="304">
          <cell r="A304" t="str">
            <v>19-4092</v>
          </cell>
          <cell r="B304" t="str">
            <v>Forensic Science Technicians</v>
          </cell>
          <cell r="C304">
            <v>17020</v>
          </cell>
          <cell r="D304">
            <v>1.1000000000000001</v>
          </cell>
          <cell r="E304">
            <v>66850</v>
          </cell>
          <cell r="F304">
            <v>0.5</v>
          </cell>
          <cell r="G304">
            <v>61930</v>
          </cell>
        </row>
        <row r="305">
          <cell r="A305" t="str">
            <v>19-4099</v>
          </cell>
          <cell r="B305" t="str">
            <v>Life, Physical, and Social Science Technicians, All Other</v>
          </cell>
          <cell r="C305">
            <v>62230</v>
          </cell>
          <cell r="D305">
            <v>2.4</v>
          </cell>
          <cell r="E305">
            <v>55420</v>
          </cell>
          <cell r="F305">
            <v>0.8</v>
          </cell>
          <cell r="G305">
            <v>49030</v>
          </cell>
        </row>
        <row r="306">
          <cell r="A306" t="str">
            <v>19-5000</v>
          </cell>
          <cell r="B306" t="str">
            <v>Occupational Health and Safety Specialists and Technicians</v>
          </cell>
          <cell r="C306">
            <v>128090</v>
          </cell>
          <cell r="D306">
            <v>2.5</v>
          </cell>
          <cell r="E306">
            <v>75150</v>
          </cell>
          <cell r="F306">
            <v>1</v>
          </cell>
          <cell r="G306">
            <v>74870</v>
          </cell>
        </row>
        <row r="307">
          <cell r="A307" t="str">
            <v>19-5010</v>
          </cell>
          <cell r="B307" t="str">
            <v>Occupational Health and Safety Specialists and Technicians</v>
          </cell>
          <cell r="C307">
            <v>128090</v>
          </cell>
          <cell r="D307">
            <v>2.5</v>
          </cell>
          <cell r="E307">
            <v>75150</v>
          </cell>
          <cell r="F307">
            <v>1</v>
          </cell>
          <cell r="G307">
            <v>74870</v>
          </cell>
        </row>
        <row r="308">
          <cell r="A308" t="str">
            <v>19-5011</v>
          </cell>
          <cell r="B308" t="str">
            <v>Occupational Health and Safety Specialists</v>
          </cell>
          <cell r="C308">
            <v>106340</v>
          </cell>
          <cell r="D308">
            <v>2.2999999999999998</v>
          </cell>
          <cell r="E308">
            <v>78740</v>
          </cell>
          <cell r="F308">
            <v>1.1000000000000001</v>
          </cell>
          <cell r="G308">
            <v>77560</v>
          </cell>
        </row>
        <row r="309">
          <cell r="A309" t="str">
            <v>19-5012</v>
          </cell>
          <cell r="B309" t="str">
            <v>Occupational Health and Safety Technicians</v>
          </cell>
          <cell r="C309">
            <v>21750</v>
          </cell>
          <cell r="D309">
            <v>7</v>
          </cell>
          <cell r="E309">
            <v>57560</v>
          </cell>
          <cell r="F309">
            <v>2.2000000000000002</v>
          </cell>
          <cell r="G309">
            <v>51120</v>
          </cell>
        </row>
        <row r="310">
          <cell r="A310" t="str">
            <v>21-0000</v>
          </cell>
          <cell r="B310" t="str">
            <v>Community and Social Service Occupations</v>
          </cell>
          <cell r="C310">
            <v>2239680</v>
          </cell>
          <cell r="D310">
            <v>0.4</v>
          </cell>
          <cell r="E310">
            <v>53960</v>
          </cell>
          <cell r="F310">
            <v>0.3</v>
          </cell>
          <cell r="G310">
            <v>48410</v>
          </cell>
        </row>
        <row r="311">
          <cell r="A311" t="str">
            <v>21-1000</v>
          </cell>
          <cell r="B311" t="str">
            <v>Counselors, Social Workers, and Other Community and Social Service Specialists</v>
          </cell>
          <cell r="C311">
            <v>2157410</v>
          </cell>
          <cell r="D311">
            <v>0.4</v>
          </cell>
          <cell r="E311">
            <v>53950</v>
          </cell>
          <cell r="F311">
            <v>0.3</v>
          </cell>
          <cell r="G311">
            <v>48400</v>
          </cell>
        </row>
        <row r="312">
          <cell r="A312" t="str">
            <v>21-1010</v>
          </cell>
          <cell r="B312" t="str">
            <v>Counselors</v>
          </cell>
          <cell r="C312">
            <v>781830</v>
          </cell>
          <cell r="D312">
            <v>0.6</v>
          </cell>
          <cell r="E312">
            <v>56410</v>
          </cell>
          <cell r="F312">
            <v>0.4</v>
          </cell>
          <cell r="G312">
            <v>49360</v>
          </cell>
        </row>
        <row r="313">
          <cell r="A313" t="str">
            <v>21-1012</v>
          </cell>
          <cell r="B313" t="str">
            <v>Educational, Guidance, and Career Counselors and Advisors</v>
          </cell>
          <cell r="C313">
            <v>296370</v>
          </cell>
          <cell r="D313">
            <v>0.8</v>
          </cell>
          <cell r="E313">
            <v>63090</v>
          </cell>
          <cell r="F313">
            <v>0.4</v>
          </cell>
          <cell r="G313">
            <v>60510</v>
          </cell>
        </row>
        <row r="314">
          <cell r="A314" t="str">
            <v>21-1013</v>
          </cell>
          <cell r="B314" t="str">
            <v>Marriage and Family Therapists</v>
          </cell>
          <cell r="C314">
            <v>54800</v>
          </cell>
          <cell r="D314">
            <v>3.4</v>
          </cell>
          <cell r="E314">
            <v>59660</v>
          </cell>
          <cell r="F314">
            <v>1.5</v>
          </cell>
          <cell r="G314">
            <v>49880</v>
          </cell>
        </row>
        <row r="315">
          <cell r="A315" t="str">
            <v>21-1015</v>
          </cell>
          <cell r="B315" t="str">
            <v>Rehabilitation Counselors</v>
          </cell>
          <cell r="C315">
            <v>90310</v>
          </cell>
          <cell r="D315">
            <v>2.2999999999999998</v>
          </cell>
          <cell r="E315">
            <v>44740</v>
          </cell>
          <cell r="F315">
            <v>0.8</v>
          </cell>
          <cell r="G315">
            <v>38560</v>
          </cell>
        </row>
        <row r="316">
          <cell r="A316" t="str">
            <v>21-1018</v>
          </cell>
          <cell r="B316" t="str">
            <v>Substance Abuse, Behavioral Disorder, and Mental Health Counselors</v>
          </cell>
          <cell r="C316">
            <v>310880</v>
          </cell>
          <cell r="D316">
            <v>1</v>
          </cell>
          <cell r="E316">
            <v>53490</v>
          </cell>
          <cell r="F316">
            <v>0.5</v>
          </cell>
          <cell r="G316">
            <v>48520</v>
          </cell>
        </row>
        <row r="317">
          <cell r="A317" t="str">
            <v>21-1019</v>
          </cell>
          <cell r="B317" t="str">
            <v>Counselors, All Other</v>
          </cell>
          <cell r="C317">
            <v>29480</v>
          </cell>
          <cell r="D317">
            <v>4.0999999999999996</v>
          </cell>
          <cell r="E317">
            <v>49730</v>
          </cell>
          <cell r="F317">
            <v>1.8</v>
          </cell>
          <cell r="G317">
            <v>45160</v>
          </cell>
        </row>
        <row r="318">
          <cell r="A318" t="str">
            <v>21-1020</v>
          </cell>
          <cell r="B318" t="str">
            <v>Social Workers</v>
          </cell>
          <cell r="C318">
            <v>677440</v>
          </cell>
          <cell r="D318">
            <v>0.6</v>
          </cell>
          <cell r="E318">
            <v>57880</v>
          </cell>
          <cell r="F318">
            <v>0.3</v>
          </cell>
          <cell r="G318">
            <v>50390</v>
          </cell>
        </row>
        <row r="319">
          <cell r="A319" t="str">
            <v>21-1021</v>
          </cell>
          <cell r="B319" t="str">
            <v>Child, Family, and School Social Workers</v>
          </cell>
          <cell r="C319">
            <v>340050</v>
          </cell>
          <cell r="D319">
            <v>1.1000000000000001</v>
          </cell>
          <cell r="E319">
            <v>54880</v>
          </cell>
          <cell r="F319">
            <v>0.4</v>
          </cell>
          <cell r="G319">
            <v>49150</v>
          </cell>
        </row>
        <row r="320">
          <cell r="A320" t="str">
            <v>21-1022</v>
          </cell>
          <cell r="B320" t="str">
            <v>Healthcare Social Workers</v>
          </cell>
          <cell r="C320">
            <v>173860</v>
          </cell>
          <cell r="D320">
            <v>1.2</v>
          </cell>
          <cell r="E320">
            <v>62310</v>
          </cell>
          <cell r="F320">
            <v>0.5</v>
          </cell>
          <cell r="G320">
            <v>60840</v>
          </cell>
        </row>
        <row r="321">
          <cell r="A321" t="str">
            <v>21-1023</v>
          </cell>
          <cell r="B321" t="str">
            <v>Mental Health and Substance Abuse Social Workers</v>
          </cell>
          <cell r="C321">
            <v>113810</v>
          </cell>
          <cell r="D321">
            <v>1.5</v>
          </cell>
          <cell r="E321">
            <v>57800</v>
          </cell>
          <cell r="F321">
            <v>0.9</v>
          </cell>
          <cell r="G321">
            <v>49130</v>
          </cell>
        </row>
        <row r="322">
          <cell r="A322" t="str">
            <v>21-1029</v>
          </cell>
          <cell r="B322" t="str">
            <v>Social Workers, All Other</v>
          </cell>
          <cell r="C322">
            <v>49730</v>
          </cell>
          <cell r="D322">
            <v>1.7</v>
          </cell>
          <cell r="E322">
            <v>63010</v>
          </cell>
          <cell r="F322">
            <v>0.6</v>
          </cell>
          <cell r="G322">
            <v>61190</v>
          </cell>
        </row>
        <row r="323">
          <cell r="A323" t="str">
            <v>21-1090</v>
          </cell>
          <cell r="B323" t="str">
            <v>Miscellaneous Community and Social Service Specialists</v>
          </cell>
          <cell r="C323">
            <v>698130</v>
          </cell>
          <cell r="D323">
            <v>0.7</v>
          </cell>
          <cell r="E323">
            <v>47380</v>
          </cell>
          <cell r="F323">
            <v>0.4</v>
          </cell>
          <cell r="G323">
            <v>42490</v>
          </cell>
        </row>
        <row r="324">
          <cell r="A324" t="str">
            <v>21-1091</v>
          </cell>
          <cell r="B324" t="str">
            <v>Health Education Specialists</v>
          </cell>
          <cell r="C324">
            <v>55830</v>
          </cell>
          <cell r="D324">
            <v>2.2999999999999998</v>
          </cell>
          <cell r="E324">
            <v>64930</v>
          </cell>
          <cell r="F324">
            <v>1</v>
          </cell>
          <cell r="G324">
            <v>60600</v>
          </cell>
        </row>
        <row r="325">
          <cell r="A325" t="str">
            <v>21-1092</v>
          </cell>
          <cell r="B325" t="str">
            <v>Probation Officers and Correctional Treatment Specialists</v>
          </cell>
          <cell r="C325">
            <v>92140</v>
          </cell>
          <cell r="D325">
            <v>0.6</v>
          </cell>
          <cell r="E325">
            <v>63290</v>
          </cell>
          <cell r="F325">
            <v>0.3</v>
          </cell>
          <cell r="G325">
            <v>60250</v>
          </cell>
        </row>
        <row r="326">
          <cell r="A326" t="str">
            <v>21-1093</v>
          </cell>
          <cell r="B326" t="str">
            <v>Social and Human Service Assistants</v>
          </cell>
          <cell r="C326">
            <v>398380</v>
          </cell>
          <cell r="D326">
            <v>1</v>
          </cell>
          <cell r="E326">
            <v>40460</v>
          </cell>
          <cell r="F326">
            <v>0.5</v>
          </cell>
          <cell r="G326">
            <v>37610</v>
          </cell>
        </row>
        <row r="327">
          <cell r="A327" t="str">
            <v>21-1094</v>
          </cell>
          <cell r="B327" t="str">
            <v>Community Health Workers</v>
          </cell>
          <cell r="C327">
            <v>61010</v>
          </cell>
          <cell r="D327">
            <v>2.2000000000000002</v>
          </cell>
          <cell r="E327">
            <v>47780</v>
          </cell>
          <cell r="F327">
            <v>0.7</v>
          </cell>
          <cell r="G327">
            <v>46590</v>
          </cell>
        </row>
        <row r="328">
          <cell r="A328" t="str">
            <v>21-1099</v>
          </cell>
          <cell r="B328" t="str">
            <v>Community and Social Service Specialists, All Other</v>
          </cell>
          <cell r="C328">
            <v>90770</v>
          </cell>
          <cell r="D328">
            <v>1.9</v>
          </cell>
          <cell r="E328">
            <v>50510</v>
          </cell>
          <cell r="F328">
            <v>0.6</v>
          </cell>
          <cell r="G328">
            <v>47390</v>
          </cell>
        </row>
        <row r="329">
          <cell r="A329" t="str">
            <v>21-2000</v>
          </cell>
          <cell r="B329" t="str">
            <v>Religious Workers</v>
          </cell>
          <cell r="C329">
            <v>82280</v>
          </cell>
          <cell r="D329">
            <v>1.8</v>
          </cell>
          <cell r="E329">
            <v>54340</v>
          </cell>
          <cell r="F329">
            <v>1.1000000000000001</v>
          </cell>
          <cell r="G329">
            <v>48560</v>
          </cell>
        </row>
        <row r="330">
          <cell r="A330" t="str">
            <v>21-2010</v>
          </cell>
          <cell r="B330" t="str">
            <v>Clergy</v>
          </cell>
          <cell r="C330">
            <v>50790</v>
          </cell>
          <cell r="D330">
            <v>2</v>
          </cell>
          <cell r="E330">
            <v>57230</v>
          </cell>
          <cell r="F330">
            <v>1.2</v>
          </cell>
          <cell r="G330">
            <v>49720</v>
          </cell>
        </row>
        <row r="331">
          <cell r="A331" t="str">
            <v>21-2011</v>
          </cell>
          <cell r="B331" t="str">
            <v>Clergy</v>
          </cell>
          <cell r="C331">
            <v>50790</v>
          </cell>
          <cell r="D331">
            <v>2</v>
          </cell>
          <cell r="E331">
            <v>57230</v>
          </cell>
          <cell r="F331">
            <v>1.2</v>
          </cell>
          <cell r="G331">
            <v>49720</v>
          </cell>
        </row>
        <row r="332">
          <cell r="A332" t="str">
            <v>21-2020</v>
          </cell>
          <cell r="B332" t="str">
            <v>Directors, Religious Activities and Education</v>
          </cell>
          <cell r="C332">
            <v>21000</v>
          </cell>
          <cell r="D332">
            <v>4.2</v>
          </cell>
          <cell r="E332">
            <v>52880</v>
          </cell>
          <cell r="F332">
            <v>2.2999999999999998</v>
          </cell>
          <cell r="G332">
            <v>46980</v>
          </cell>
        </row>
        <row r="333">
          <cell r="A333" t="str">
            <v>21-2021</v>
          </cell>
          <cell r="B333" t="str">
            <v>Directors, Religious Activities and Education</v>
          </cell>
          <cell r="C333">
            <v>21000</v>
          </cell>
          <cell r="D333">
            <v>4.2</v>
          </cell>
          <cell r="E333">
            <v>52880</v>
          </cell>
          <cell r="F333">
            <v>2.2999999999999998</v>
          </cell>
          <cell r="G333">
            <v>46980</v>
          </cell>
        </row>
        <row r="334">
          <cell r="A334" t="str">
            <v>21-2090</v>
          </cell>
          <cell r="B334" t="str">
            <v>Miscellaneous Religious Workers</v>
          </cell>
          <cell r="C334">
            <v>10490</v>
          </cell>
          <cell r="D334">
            <v>7.9</v>
          </cell>
          <cell r="E334">
            <v>43290</v>
          </cell>
          <cell r="F334">
            <v>3.6</v>
          </cell>
          <cell r="G334">
            <v>37500</v>
          </cell>
        </row>
        <row r="335">
          <cell r="A335" t="str">
            <v>21-2099</v>
          </cell>
          <cell r="B335" t="str">
            <v>Religious Workers, All Other</v>
          </cell>
          <cell r="C335">
            <v>10490</v>
          </cell>
          <cell r="D335">
            <v>7.9</v>
          </cell>
          <cell r="E335">
            <v>43290</v>
          </cell>
          <cell r="F335">
            <v>3.6</v>
          </cell>
          <cell r="G335">
            <v>37500</v>
          </cell>
        </row>
        <row r="336">
          <cell r="A336" t="str">
            <v>23-0000</v>
          </cell>
          <cell r="B336" t="str">
            <v>Legal Occupations</v>
          </cell>
          <cell r="C336">
            <v>1178140</v>
          </cell>
          <cell r="D336">
            <v>0.5</v>
          </cell>
          <cell r="E336">
            <v>113100</v>
          </cell>
          <cell r="F336">
            <v>1</v>
          </cell>
          <cell r="G336">
            <v>82430</v>
          </cell>
        </row>
        <row r="337">
          <cell r="A337" t="str">
            <v>23-1000</v>
          </cell>
          <cell r="B337" t="str">
            <v>Lawyers, Judges, and Related Workers</v>
          </cell>
          <cell r="C337">
            <v>744760</v>
          </cell>
          <cell r="D337">
            <v>0.9</v>
          </cell>
          <cell r="E337">
            <v>144470</v>
          </cell>
          <cell r="F337">
            <v>1.1000000000000001</v>
          </cell>
          <cell r="G337">
            <v>127540</v>
          </cell>
        </row>
        <row r="338">
          <cell r="A338" t="str">
            <v>23-1010</v>
          </cell>
          <cell r="B338" t="str">
            <v>Lawyers and Judicial Law Clerks</v>
          </cell>
          <cell r="C338">
            <v>695810</v>
          </cell>
          <cell r="D338">
            <v>1</v>
          </cell>
          <cell r="E338">
            <v>146220</v>
          </cell>
          <cell r="F338">
            <v>1.1000000000000001</v>
          </cell>
          <cell r="G338">
            <v>127690</v>
          </cell>
        </row>
        <row r="339">
          <cell r="A339" t="str">
            <v>23-1011</v>
          </cell>
          <cell r="B339" t="str">
            <v>Lawyers</v>
          </cell>
          <cell r="C339">
            <v>681010</v>
          </cell>
          <cell r="D339">
            <v>1</v>
          </cell>
          <cell r="E339">
            <v>148030</v>
          </cell>
          <cell r="F339">
            <v>1.1000000000000001</v>
          </cell>
          <cell r="G339">
            <v>127990</v>
          </cell>
        </row>
        <row r="340">
          <cell r="A340" t="str">
            <v>23-1012</v>
          </cell>
          <cell r="B340" t="str">
            <v>Judicial Law Clerks</v>
          </cell>
          <cell r="C340">
            <v>14800</v>
          </cell>
          <cell r="D340">
            <v>1.6</v>
          </cell>
          <cell r="E340">
            <v>62730</v>
          </cell>
          <cell r="F340">
            <v>1</v>
          </cell>
          <cell r="G340">
            <v>50750</v>
          </cell>
        </row>
        <row r="341">
          <cell r="A341" t="str">
            <v>23-1020</v>
          </cell>
          <cell r="B341" t="str">
            <v>Judges, Magistrates, and Other Judicial Workers</v>
          </cell>
          <cell r="C341">
            <v>48950</v>
          </cell>
          <cell r="D341">
            <v>2.4</v>
          </cell>
          <cell r="E341">
            <v>119690</v>
          </cell>
          <cell r="F341">
            <v>1.9</v>
          </cell>
          <cell r="G341">
            <v>110550</v>
          </cell>
        </row>
        <row r="342">
          <cell r="A342" t="str">
            <v>23-1021</v>
          </cell>
          <cell r="B342" t="str">
            <v>Administrative Law Judges, Adjudicators, and Hearing Officers</v>
          </cell>
          <cell r="C342">
            <v>13840</v>
          </cell>
          <cell r="D342">
            <v>0.4</v>
          </cell>
          <cell r="E342">
            <v>104160</v>
          </cell>
          <cell r="F342">
            <v>0.6</v>
          </cell>
          <cell r="G342">
            <v>102550</v>
          </cell>
        </row>
        <row r="343">
          <cell r="A343" t="str">
            <v>23-1022</v>
          </cell>
          <cell r="B343" t="str">
            <v>Arbitrators, Mediators, and Conciliators</v>
          </cell>
          <cell r="C343">
            <v>7320</v>
          </cell>
          <cell r="D343">
            <v>15.4</v>
          </cell>
          <cell r="E343">
            <v>62350</v>
          </cell>
          <cell r="F343">
            <v>8.1999999999999993</v>
          </cell>
          <cell r="G343">
            <v>49410</v>
          </cell>
        </row>
        <row r="344">
          <cell r="A344" t="str">
            <v>23-1023</v>
          </cell>
          <cell r="B344" t="str">
            <v>Judges, Magistrate Judges, and Magistrates</v>
          </cell>
          <cell r="C344">
            <v>27790</v>
          </cell>
          <cell r="D344">
            <v>0.7</v>
          </cell>
          <cell r="E344">
            <v>142520</v>
          </cell>
          <cell r="F344">
            <v>0.9</v>
          </cell>
          <cell r="G344">
            <v>148030</v>
          </cell>
        </row>
        <row r="345">
          <cell r="A345" t="str">
            <v>23-2000</v>
          </cell>
          <cell r="B345" t="str">
            <v>Legal Support Workers</v>
          </cell>
          <cell r="C345">
            <v>433380</v>
          </cell>
          <cell r="D345">
            <v>1.4</v>
          </cell>
          <cell r="E345">
            <v>59190</v>
          </cell>
          <cell r="F345">
            <v>1</v>
          </cell>
          <cell r="G345">
            <v>54860</v>
          </cell>
        </row>
        <row r="346">
          <cell r="A346" t="str">
            <v>23-2010</v>
          </cell>
          <cell r="B346" t="str">
            <v>Paralegals and Legal Assistants</v>
          </cell>
          <cell r="C346">
            <v>336250</v>
          </cell>
          <cell r="D346">
            <v>1.8</v>
          </cell>
          <cell r="E346">
            <v>58330</v>
          </cell>
          <cell r="F346">
            <v>1.1000000000000001</v>
          </cell>
          <cell r="G346">
            <v>56230</v>
          </cell>
        </row>
        <row r="347">
          <cell r="A347" t="str">
            <v>23-2011</v>
          </cell>
          <cell r="B347" t="str">
            <v>Paralegals and Legal Assistants</v>
          </cell>
          <cell r="C347">
            <v>336250</v>
          </cell>
          <cell r="D347">
            <v>1.8</v>
          </cell>
          <cell r="E347">
            <v>58330</v>
          </cell>
          <cell r="F347">
            <v>1.1000000000000001</v>
          </cell>
          <cell r="G347">
            <v>56230</v>
          </cell>
        </row>
        <row r="348">
          <cell r="A348" t="str">
            <v>23-2090</v>
          </cell>
          <cell r="B348" t="str">
            <v>Miscellaneous Legal Support Workers</v>
          </cell>
          <cell r="C348">
            <v>97130</v>
          </cell>
          <cell r="D348">
            <v>2</v>
          </cell>
          <cell r="E348">
            <v>62170</v>
          </cell>
          <cell r="F348">
            <v>0.9</v>
          </cell>
          <cell r="G348">
            <v>51550</v>
          </cell>
        </row>
        <row r="349">
          <cell r="A349" t="str">
            <v>23-2093</v>
          </cell>
          <cell r="B349" t="str">
            <v>Title Examiners, Abstractors, and Searchers</v>
          </cell>
          <cell r="C349">
            <v>51040</v>
          </cell>
          <cell r="D349">
            <v>2.7</v>
          </cell>
          <cell r="E349">
            <v>52390</v>
          </cell>
          <cell r="F349">
            <v>1.3</v>
          </cell>
          <cell r="G349">
            <v>47310</v>
          </cell>
        </row>
        <row r="350">
          <cell r="A350" t="str">
            <v>23-2099</v>
          </cell>
          <cell r="B350" t="str">
            <v>Legal Support Workers, All Other</v>
          </cell>
          <cell r="C350">
            <v>46090</v>
          </cell>
          <cell r="D350">
            <v>3.1</v>
          </cell>
          <cell r="E350">
            <v>73000</v>
          </cell>
          <cell r="F350">
            <v>1.3</v>
          </cell>
          <cell r="G350">
            <v>59790</v>
          </cell>
        </row>
        <row r="351">
          <cell r="A351" t="str">
            <v>25-0000</v>
          </cell>
          <cell r="B351" t="str">
            <v>Educational Instruction and Library Occupations</v>
          </cell>
          <cell r="C351">
            <v>8191930</v>
          </cell>
          <cell r="D351">
            <v>0.2</v>
          </cell>
          <cell r="E351">
            <v>62140</v>
          </cell>
          <cell r="F351">
            <v>0.3</v>
          </cell>
          <cell r="G351">
            <v>57220</v>
          </cell>
        </row>
        <row r="352">
          <cell r="A352" t="str">
            <v>25-1000</v>
          </cell>
          <cell r="B352" t="str">
            <v>Postsecondary Teachers</v>
          </cell>
          <cell r="C352">
            <v>1340560</v>
          </cell>
          <cell r="D352">
            <v>0.2</v>
          </cell>
          <cell r="E352">
            <v>95200</v>
          </cell>
          <cell r="F352">
            <v>0.3</v>
          </cell>
          <cell r="G352">
            <v>78300</v>
          </cell>
        </row>
        <row r="353">
          <cell r="A353" t="str">
            <v>25-1010</v>
          </cell>
          <cell r="B353" t="str">
            <v>Business Teachers, Postsecondary</v>
          </cell>
          <cell r="C353">
            <v>79640</v>
          </cell>
          <cell r="D353">
            <v>0.7</v>
          </cell>
          <cell r="E353">
            <v>105720</v>
          </cell>
          <cell r="F353">
            <v>0.4</v>
          </cell>
          <cell r="G353">
            <v>94360</v>
          </cell>
        </row>
        <row r="354">
          <cell r="A354" t="str">
            <v>25-1011</v>
          </cell>
          <cell r="B354" t="str">
            <v>Business Teachers, Postsecondary</v>
          </cell>
          <cell r="C354">
            <v>79640</v>
          </cell>
          <cell r="D354">
            <v>0.7</v>
          </cell>
          <cell r="E354">
            <v>105720</v>
          </cell>
          <cell r="F354">
            <v>0.4</v>
          </cell>
          <cell r="G354">
            <v>94360</v>
          </cell>
        </row>
        <row r="355">
          <cell r="A355" t="str">
            <v>25-1020</v>
          </cell>
          <cell r="B355" t="str">
            <v>Math and Computer Science Teachers, Postsecondary</v>
          </cell>
          <cell r="C355">
            <v>81740</v>
          </cell>
          <cell r="D355">
            <v>0.4</v>
          </cell>
          <cell r="E355">
            <v>88730</v>
          </cell>
          <cell r="F355">
            <v>0.4</v>
          </cell>
          <cell r="G355">
            <v>77630</v>
          </cell>
        </row>
        <row r="356">
          <cell r="A356" t="str">
            <v>25-1021</v>
          </cell>
          <cell r="B356" t="str">
            <v>Computer Science Teachers, Postsecondary</v>
          </cell>
          <cell r="C356">
            <v>37600</v>
          </cell>
          <cell r="D356">
            <v>0.8</v>
          </cell>
          <cell r="E356">
            <v>89610</v>
          </cell>
          <cell r="F356">
            <v>0.6</v>
          </cell>
          <cell r="G356">
            <v>77910</v>
          </cell>
        </row>
        <row r="357">
          <cell r="A357" t="str">
            <v>25-1022</v>
          </cell>
          <cell r="B357" t="str">
            <v>Mathematical Science Teachers, Postsecondary</v>
          </cell>
          <cell r="C357">
            <v>44140</v>
          </cell>
          <cell r="D357">
            <v>0.3</v>
          </cell>
          <cell r="E357">
            <v>87980</v>
          </cell>
          <cell r="F357">
            <v>0.4</v>
          </cell>
          <cell r="G357">
            <v>77580</v>
          </cell>
        </row>
        <row r="358">
          <cell r="A358" t="str">
            <v>25-1030</v>
          </cell>
          <cell r="B358" t="str">
            <v>Engineering and Architecture Teachers, Postsecondary</v>
          </cell>
          <cell r="C358">
            <v>41380</v>
          </cell>
          <cell r="D358">
            <v>0.7</v>
          </cell>
          <cell r="E358">
            <v>113150</v>
          </cell>
          <cell r="F358">
            <v>0.3</v>
          </cell>
          <cell r="G358">
            <v>103340</v>
          </cell>
        </row>
        <row r="359">
          <cell r="A359" t="str">
            <v>25-1031</v>
          </cell>
          <cell r="B359" t="str">
            <v>Architecture Teachers, Postsecondary</v>
          </cell>
          <cell r="C359">
            <v>5950</v>
          </cell>
          <cell r="D359">
            <v>1.8</v>
          </cell>
          <cell r="E359">
            <v>98600</v>
          </cell>
          <cell r="F359">
            <v>0.4</v>
          </cell>
          <cell r="G359">
            <v>95160</v>
          </cell>
        </row>
        <row r="360">
          <cell r="A360" t="str">
            <v>25-1032</v>
          </cell>
          <cell r="B360" t="str">
            <v>Engineering Teachers, Postsecondary</v>
          </cell>
          <cell r="C360">
            <v>35440</v>
          </cell>
          <cell r="D360">
            <v>0.6</v>
          </cell>
          <cell r="E360">
            <v>115590</v>
          </cell>
          <cell r="F360">
            <v>0.4</v>
          </cell>
          <cell r="G360">
            <v>104940</v>
          </cell>
        </row>
        <row r="361">
          <cell r="A361" t="str">
            <v>25-1040</v>
          </cell>
          <cell r="B361" t="str">
            <v>Life Sciences Teachers, Postsecondary</v>
          </cell>
          <cell r="C361">
            <v>57440</v>
          </cell>
          <cell r="D361">
            <v>0.4</v>
          </cell>
          <cell r="E361">
            <v>98430</v>
          </cell>
          <cell r="F361">
            <v>0.3</v>
          </cell>
          <cell r="G361">
            <v>81980</v>
          </cell>
        </row>
        <row r="362">
          <cell r="A362" t="str">
            <v>25-1041</v>
          </cell>
          <cell r="B362" t="str">
            <v>Agricultural Sciences Teachers, Postsecondary</v>
          </cell>
          <cell r="C362">
            <v>8570</v>
          </cell>
          <cell r="D362">
            <v>1.5</v>
          </cell>
          <cell r="E362">
            <v>97520</v>
          </cell>
          <cell r="F362">
            <v>0.5</v>
          </cell>
          <cell r="G362">
            <v>95910</v>
          </cell>
        </row>
        <row r="363">
          <cell r="A363" t="str">
            <v>25-1042</v>
          </cell>
          <cell r="B363" t="str">
            <v>Biological Science Teachers, Postsecondary</v>
          </cell>
          <cell r="C363">
            <v>47690</v>
          </cell>
          <cell r="D363">
            <v>0.3</v>
          </cell>
          <cell r="E363">
            <v>98710</v>
          </cell>
          <cell r="F363">
            <v>0.3</v>
          </cell>
          <cell r="G363">
            <v>81440</v>
          </cell>
        </row>
        <row r="364">
          <cell r="A364" t="str">
            <v>25-1043</v>
          </cell>
          <cell r="B364" t="str">
            <v>Forestry and Conservation Science Teachers, Postsecondary</v>
          </cell>
          <cell r="C364">
            <v>1180</v>
          </cell>
          <cell r="D364">
            <v>1</v>
          </cell>
          <cell r="E364">
            <v>93510</v>
          </cell>
          <cell r="F364">
            <v>0.5</v>
          </cell>
          <cell r="G364">
            <v>82330</v>
          </cell>
        </row>
        <row r="365">
          <cell r="A365" t="str">
            <v>25-1050</v>
          </cell>
          <cell r="B365" t="str">
            <v>Physical Sciences Teachers, Postsecondary</v>
          </cell>
          <cell r="C365">
            <v>48420</v>
          </cell>
          <cell r="D365">
            <v>0.3</v>
          </cell>
          <cell r="E365">
            <v>97110</v>
          </cell>
          <cell r="F365">
            <v>0.3</v>
          </cell>
          <cell r="G365">
            <v>81980</v>
          </cell>
        </row>
        <row r="366">
          <cell r="A366" t="str">
            <v>25-1051</v>
          </cell>
          <cell r="B366" t="str">
            <v>Atmospheric, Earth, Marine, and Space Sciences Teachers, Postsecondary</v>
          </cell>
          <cell r="C366">
            <v>10250</v>
          </cell>
          <cell r="D366">
            <v>0.7</v>
          </cell>
          <cell r="E366">
            <v>102840</v>
          </cell>
          <cell r="F366">
            <v>0.4</v>
          </cell>
          <cell r="G366">
            <v>98070</v>
          </cell>
        </row>
        <row r="367">
          <cell r="A367" t="str">
            <v>25-1052</v>
          </cell>
          <cell r="B367" t="str">
            <v>Chemistry Teachers, Postsecondary</v>
          </cell>
          <cell r="C367">
            <v>20260</v>
          </cell>
          <cell r="D367">
            <v>0.4</v>
          </cell>
          <cell r="E367">
            <v>94060</v>
          </cell>
          <cell r="F367">
            <v>0.3</v>
          </cell>
          <cell r="G367">
            <v>79410</v>
          </cell>
        </row>
        <row r="368">
          <cell r="A368" t="str">
            <v>25-1053</v>
          </cell>
          <cell r="B368" t="str">
            <v>Environmental Science Teachers, Postsecondary</v>
          </cell>
          <cell r="C368">
            <v>5440</v>
          </cell>
          <cell r="D368">
            <v>0.7</v>
          </cell>
          <cell r="E368">
            <v>92210</v>
          </cell>
          <cell r="F368">
            <v>0.4</v>
          </cell>
          <cell r="G368">
            <v>81980</v>
          </cell>
        </row>
        <row r="369">
          <cell r="A369" t="str">
            <v>25-1054</v>
          </cell>
          <cell r="B369" t="str">
            <v>Physics Teachers, Postsecondary</v>
          </cell>
          <cell r="C369">
            <v>12460</v>
          </cell>
          <cell r="D369">
            <v>0.2</v>
          </cell>
          <cell r="E369">
            <v>99480</v>
          </cell>
          <cell r="F369">
            <v>0.3</v>
          </cell>
          <cell r="G369">
            <v>93070</v>
          </cell>
        </row>
        <row r="370">
          <cell r="A370" t="str">
            <v>25-1060</v>
          </cell>
          <cell r="B370" t="str">
            <v>Social Sciences Teachers, Postsecondary</v>
          </cell>
          <cell r="C370">
            <v>108100</v>
          </cell>
          <cell r="D370">
            <v>0.5</v>
          </cell>
          <cell r="E370">
            <v>94340</v>
          </cell>
          <cell r="F370">
            <v>0.4</v>
          </cell>
          <cell r="G370">
            <v>79770</v>
          </cell>
        </row>
        <row r="371">
          <cell r="A371" t="str">
            <v>25-1061</v>
          </cell>
          <cell r="B371" t="str">
            <v>Anthropology and Archeology Teachers, Postsecondary</v>
          </cell>
          <cell r="C371">
            <v>5010</v>
          </cell>
          <cell r="D371">
            <v>0.3</v>
          </cell>
          <cell r="E371">
            <v>102110</v>
          </cell>
          <cell r="F371">
            <v>0.3</v>
          </cell>
          <cell r="G371">
            <v>97340</v>
          </cell>
        </row>
        <row r="372">
          <cell r="A372" t="str">
            <v>25-1062</v>
          </cell>
          <cell r="B372" t="str">
            <v>Area, Ethnic, and Cultural Studies Teachers, Postsecondary</v>
          </cell>
          <cell r="C372">
            <v>9040</v>
          </cell>
          <cell r="D372">
            <v>0.6</v>
          </cell>
          <cell r="E372">
            <v>91680</v>
          </cell>
          <cell r="F372">
            <v>0.4</v>
          </cell>
          <cell r="G372">
            <v>78910</v>
          </cell>
        </row>
        <row r="373">
          <cell r="A373" t="str">
            <v>25-1063</v>
          </cell>
          <cell r="B373" t="str">
            <v>Economics Teachers, Postsecondary</v>
          </cell>
          <cell r="C373">
            <v>11790</v>
          </cell>
          <cell r="D373">
            <v>0.6</v>
          </cell>
          <cell r="E373">
            <v>124090</v>
          </cell>
          <cell r="F373">
            <v>0.4</v>
          </cell>
          <cell r="G373">
            <v>104940</v>
          </cell>
        </row>
        <row r="374">
          <cell r="A374" t="str">
            <v>25-1064</v>
          </cell>
          <cell r="B374" t="str">
            <v>Geography Teachers, Postsecondary</v>
          </cell>
          <cell r="C374">
            <v>3440</v>
          </cell>
          <cell r="D374">
            <v>0.6</v>
          </cell>
          <cell r="E374">
            <v>88150</v>
          </cell>
          <cell r="F374">
            <v>0.4</v>
          </cell>
          <cell r="G374">
            <v>81440</v>
          </cell>
        </row>
        <row r="375">
          <cell r="A375" t="str">
            <v>25-1065</v>
          </cell>
          <cell r="B375" t="str">
            <v>Political Science Teachers, Postsecondary</v>
          </cell>
          <cell r="C375">
            <v>14060</v>
          </cell>
          <cell r="D375">
            <v>0.6</v>
          </cell>
          <cell r="E375">
            <v>98980</v>
          </cell>
          <cell r="F375">
            <v>0.4</v>
          </cell>
          <cell r="G375">
            <v>81980</v>
          </cell>
        </row>
        <row r="376">
          <cell r="A376" t="str">
            <v>25-1066</v>
          </cell>
          <cell r="B376" t="str">
            <v>Psychology Teachers, Postsecondary</v>
          </cell>
          <cell r="C376">
            <v>36060</v>
          </cell>
          <cell r="D376">
            <v>1.3</v>
          </cell>
          <cell r="E376">
            <v>88390</v>
          </cell>
          <cell r="F376">
            <v>0.7</v>
          </cell>
          <cell r="G376">
            <v>77860</v>
          </cell>
        </row>
        <row r="377">
          <cell r="A377" t="str">
            <v>25-1067</v>
          </cell>
          <cell r="B377" t="str">
            <v>Sociology Teachers, Postsecondary</v>
          </cell>
          <cell r="C377">
            <v>12550</v>
          </cell>
          <cell r="D377">
            <v>0.4</v>
          </cell>
          <cell r="E377">
            <v>87850</v>
          </cell>
          <cell r="F377">
            <v>0.4</v>
          </cell>
          <cell r="G377">
            <v>77980</v>
          </cell>
        </row>
        <row r="378">
          <cell r="A378" t="str">
            <v>25-1069</v>
          </cell>
          <cell r="B378" t="str">
            <v>Social Sciences Teachers, Postsecondary, All Other</v>
          </cell>
          <cell r="C378">
            <v>16140</v>
          </cell>
          <cell r="D378">
            <v>0.9</v>
          </cell>
          <cell r="E378">
            <v>87320</v>
          </cell>
          <cell r="F378">
            <v>0.5</v>
          </cell>
          <cell r="G378">
            <v>77500</v>
          </cell>
        </row>
        <row r="379">
          <cell r="A379" t="str">
            <v>25-1070</v>
          </cell>
          <cell r="B379" t="str">
            <v>Health Teachers, Postsecondary</v>
          </cell>
          <cell r="C379">
            <v>259890</v>
          </cell>
          <cell r="D379">
            <v>0.8</v>
          </cell>
          <cell r="E379">
            <v>119880</v>
          </cell>
          <cell r="F379">
            <v>0.4</v>
          </cell>
          <cell r="G379">
            <v>98070</v>
          </cell>
        </row>
        <row r="380">
          <cell r="A380" t="str">
            <v>25-1071</v>
          </cell>
          <cell r="B380" t="str">
            <v>Health Specialties Teachers, Postsecondary</v>
          </cell>
          <cell r="C380">
            <v>191830</v>
          </cell>
          <cell r="D380">
            <v>0.7</v>
          </cell>
          <cell r="E380">
            <v>133310</v>
          </cell>
          <cell r="F380">
            <v>0.4</v>
          </cell>
          <cell r="G380">
            <v>102720</v>
          </cell>
        </row>
        <row r="381">
          <cell r="A381" t="str">
            <v>25-1072</v>
          </cell>
          <cell r="B381" t="str">
            <v>Nursing Instructors and Teachers, Postsecondary</v>
          </cell>
          <cell r="C381">
            <v>68060</v>
          </cell>
          <cell r="D381">
            <v>2.4</v>
          </cell>
          <cell r="E381">
            <v>82040</v>
          </cell>
          <cell r="F381">
            <v>0.5</v>
          </cell>
          <cell r="G381">
            <v>77440</v>
          </cell>
        </row>
        <row r="382">
          <cell r="A382" t="str">
            <v>25-1080</v>
          </cell>
          <cell r="B382" t="str">
            <v>Education and Library Science Teachers, Postsecondary</v>
          </cell>
          <cell r="C382">
            <v>63100</v>
          </cell>
          <cell r="D382">
            <v>0.8</v>
          </cell>
          <cell r="E382">
            <v>77260</v>
          </cell>
          <cell r="F382">
            <v>0.3</v>
          </cell>
          <cell r="G382">
            <v>64540</v>
          </cell>
        </row>
        <row r="383">
          <cell r="A383" t="str">
            <v>25-1081</v>
          </cell>
          <cell r="B383" t="str">
            <v>Education Teachers, Postsecondary</v>
          </cell>
          <cell r="C383">
            <v>58780</v>
          </cell>
          <cell r="D383">
            <v>0.8</v>
          </cell>
          <cell r="E383">
            <v>76990</v>
          </cell>
          <cell r="F383">
            <v>0.4</v>
          </cell>
          <cell r="G383">
            <v>63910</v>
          </cell>
        </row>
        <row r="384">
          <cell r="A384" t="str">
            <v>25-1082</v>
          </cell>
          <cell r="B384" t="str">
            <v>Library Science Teachers, Postsecondary</v>
          </cell>
          <cell r="C384">
            <v>4330</v>
          </cell>
          <cell r="D384">
            <v>0.6</v>
          </cell>
          <cell r="E384">
            <v>80850</v>
          </cell>
          <cell r="F384">
            <v>0.3</v>
          </cell>
          <cell r="G384">
            <v>77100</v>
          </cell>
        </row>
        <row r="385">
          <cell r="A385" t="str">
            <v>25-1110</v>
          </cell>
          <cell r="B385" t="str">
            <v>Law, Criminal Justice, and Social Work Teachers, Postsecondary</v>
          </cell>
          <cell r="C385">
            <v>40170</v>
          </cell>
          <cell r="D385">
            <v>1.7</v>
          </cell>
          <cell r="E385">
            <v>97720</v>
          </cell>
          <cell r="F385">
            <v>0.5</v>
          </cell>
          <cell r="G385">
            <v>78330</v>
          </cell>
        </row>
        <row r="386">
          <cell r="A386" t="str">
            <v>25-1111</v>
          </cell>
          <cell r="B386" t="str">
            <v>Criminal Justice and Law Enforcement Teachers, Postsecondary</v>
          </cell>
          <cell r="C386">
            <v>13790</v>
          </cell>
          <cell r="D386">
            <v>1.1000000000000001</v>
          </cell>
          <cell r="E386">
            <v>81730</v>
          </cell>
          <cell r="F386">
            <v>0.4</v>
          </cell>
          <cell r="G386">
            <v>64600</v>
          </cell>
        </row>
        <row r="387">
          <cell r="A387" t="str">
            <v>25-1112</v>
          </cell>
          <cell r="B387" t="str">
            <v>Law Teachers, Postsecondary</v>
          </cell>
          <cell r="C387">
            <v>14110</v>
          </cell>
          <cell r="D387">
            <v>4.5999999999999996</v>
          </cell>
          <cell r="E387">
            <v>130820</v>
          </cell>
          <cell r="F387">
            <v>0.7</v>
          </cell>
          <cell r="G387">
            <v>123470</v>
          </cell>
        </row>
        <row r="388">
          <cell r="A388" t="str">
            <v>25-1113</v>
          </cell>
          <cell r="B388" t="str">
            <v>Social Work Teachers, Postsecondary</v>
          </cell>
          <cell r="C388">
            <v>12280</v>
          </cell>
          <cell r="D388">
            <v>1.7</v>
          </cell>
          <cell r="E388">
            <v>77650</v>
          </cell>
          <cell r="F388">
            <v>0.3</v>
          </cell>
          <cell r="G388">
            <v>71010</v>
          </cell>
        </row>
        <row r="389">
          <cell r="A389" t="str">
            <v>25-1120</v>
          </cell>
          <cell r="B389" t="str">
            <v>Arts, Communications, History, and Humanities Teachers, Postsecondary</v>
          </cell>
          <cell r="C389">
            <v>239610</v>
          </cell>
          <cell r="D389">
            <v>0.4</v>
          </cell>
          <cell r="E389">
            <v>85110</v>
          </cell>
          <cell r="F389">
            <v>0.5</v>
          </cell>
          <cell r="G389">
            <v>76840</v>
          </cell>
        </row>
        <row r="390">
          <cell r="A390" t="str">
            <v>25-1121</v>
          </cell>
          <cell r="B390" t="str">
            <v>Art, Drama, and Music Teachers, Postsecondary</v>
          </cell>
          <cell r="C390">
            <v>94720</v>
          </cell>
          <cell r="D390">
            <v>0.7</v>
          </cell>
          <cell r="E390">
            <v>86240</v>
          </cell>
          <cell r="F390">
            <v>0.8</v>
          </cell>
          <cell r="G390">
            <v>75940</v>
          </cell>
        </row>
        <row r="391">
          <cell r="A391" t="str">
            <v>25-1122</v>
          </cell>
          <cell r="B391" t="str">
            <v>Communications Teachers, Postsecondary</v>
          </cell>
          <cell r="C391">
            <v>27330</v>
          </cell>
          <cell r="D391">
            <v>0.4</v>
          </cell>
          <cell r="E391">
            <v>84580</v>
          </cell>
          <cell r="F391">
            <v>0.5</v>
          </cell>
          <cell r="G391">
            <v>77560</v>
          </cell>
        </row>
        <row r="392">
          <cell r="A392" t="str">
            <v>25-1123</v>
          </cell>
          <cell r="B392" t="str">
            <v>English Language and Literature Teachers, Postsecondary</v>
          </cell>
          <cell r="C392">
            <v>58480</v>
          </cell>
          <cell r="D392">
            <v>0.4</v>
          </cell>
          <cell r="E392">
            <v>82680</v>
          </cell>
          <cell r="F392">
            <v>0.3</v>
          </cell>
          <cell r="G392">
            <v>75930</v>
          </cell>
        </row>
        <row r="393">
          <cell r="A393" t="str">
            <v>25-1124</v>
          </cell>
          <cell r="B393" t="str">
            <v>Foreign Language and Literature Teachers, Postsecondary</v>
          </cell>
          <cell r="C393">
            <v>19640</v>
          </cell>
          <cell r="D393">
            <v>0.6</v>
          </cell>
          <cell r="E393">
            <v>82990</v>
          </cell>
          <cell r="F393">
            <v>0.4</v>
          </cell>
          <cell r="G393">
            <v>77030</v>
          </cell>
        </row>
        <row r="394">
          <cell r="A394" t="str">
            <v>25-1125</v>
          </cell>
          <cell r="B394" t="str">
            <v>History Teachers, Postsecondary</v>
          </cell>
          <cell r="C394">
            <v>18590</v>
          </cell>
          <cell r="D394">
            <v>0.3</v>
          </cell>
          <cell r="E394">
            <v>86460</v>
          </cell>
          <cell r="F394">
            <v>0.4</v>
          </cell>
          <cell r="G394">
            <v>78130</v>
          </cell>
        </row>
        <row r="395">
          <cell r="A395" t="str">
            <v>25-1126</v>
          </cell>
          <cell r="B395" t="str">
            <v>Philosophy and Religion Teachers, Postsecondary</v>
          </cell>
          <cell r="C395">
            <v>20850</v>
          </cell>
          <cell r="D395">
            <v>2.2999999999999998</v>
          </cell>
          <cell r="E395">
            <v>88260</v>
          </cell>
          <cell r="F395">
            <v>1.3</v>
          </cell>
          <cell r="G395">
            <v>77610</v>
          </cell>
        </row>
        <row r="396">
          <cell r="A396" t="str">
            <v>25-1190</v>
          </cell>
          <cell r="B396" t="str">
            <v>Miscellaneous Postsecondary Teachers</v>
          </cell>
          <cell r="C396">
            <v>321050</v>
          </cell>
          <cell r="D396">
            <v>0.5</v>
          </cell>
          <cell r="E396">
            <v>82100</v>
          </cell>
          <cell r="F396">
            <v>0.4</v>
          </cell>
          <cell r="G396">
            <v>64640</v>
          </cell>
        </row>
        <row r="397">
          <cell r="A397" t="str">
            <v>25-1192</v>
          </cell>
          <cell r="B397" t="str">
            <v>Family and Consumer Sciences Teachers, Postsecondary</v>
          </cell>
          <cell r="C397">
            <v>2730</v>
          </cell>
          <cell r="D397">
            <v>2.7</v>
          </cell>
          <cell r="E397">
            <v>93230</v>
          </cell>
          <cell r="F397">
            <v>0.7</v>
          </cell>
          <cell r="G397">
            <v>79630</v>
          </cell>
        </row>
        <row r="398">
          <cell r="A398" t="str">
            <v>25-1193</v>
          </cell>
          <cell r="B398" t="str">
            <v>Recreation and Fitness Studies Teachers, Postsecondary</v>
          </cell>
          <cell r="C398">
            <v>13860</v>
          </cell>
          <cell r="D398">
            <v>0.8</v>
          </cell>
          <cell r="E398">
            <v>79080</v>
          </cell>
          <cell r="F398">
            <v>0.5</v>
          </cell>
          <cell r="G398">
            <v>72440</v>
          </cell>
        </row>
        <row r="399">
          <cell r="A399" t="str">
            <v>25-1194</v>
          </cell>
          <cell r="B399" t="str">
            <v>Career/Technical Education Teachers, Postsecondary</v>
          </cell>
          <cell r="C399">
            <v>105440</v>
          </cell>
          <cell r="D399">
            <v>1.1000000000000001</v>
          </cell>
          <cell r="E399">
            <v>63130</v>
          </cell>
          <cell r="F399">
            <v>0.5</v>
          </cell>
          <cell r="G399">
            <v>59840</v>
          </cell>
        </row>
        <row r="400">
          <cell r="A400" t="str">
            <v>25-1199</v>
          </cell>
          <cell r="B400" t="str">
            <v>Postsecondary Teachers, All Other</v>
          </cell>
          <cell r="C400">
            <v>199020</v>
          </cell>
          <cell r="D400">
            <v>0.8</v>
          </cell>
          <cell r="E400">
            <v>92200</v>
          </cell>
          <cell r="F400">
            <v>0.5</v>
          </cell>
          <cell r="G400">
            <v>78160</v>
          </cell>
        </row>
        <row r="401">
          <cell r="A401" t="str">
            <v>25-2000</v>
          </cell>
          <cell r="B401" t="str">
            <v>Preschool, Elementary, Middle, Secondary, and Special Education Teachers</v>
          </cell>
          <cell r="C401">
            <v>4021070</v>
          </cell>
          <cell r="D401">
            <v>0.3</v>
          </cell>
          <cell r="E401">
            <v>64870</v>
          </cell>
          <cell r="F401">
            <v>0.4</v>
          </cell>
          <cell r="G401">
            <v>61030</v>
          </cell>
        </row>
        <row r="402">
          <cell r="A402" t="str">
            <v>25-2010</v>
          </cell>
          <cell r="B402" t="str">
            <v>Preschool and Kindergarten Teachers</v>
          </cell>
          <cell r="C402">
            <v>512400</v>
          </cell>
          <cell r="D402">
            <v>1.1000000000000001</v>
          </cell>
          <cell r="E402">
            <v>43060</v>
          </cell>
          <cell r="F402">
            <v>0.8</v>
          </cell>
          <cell r="G402">
            <v>36710</v>
          </cell>
        </row>
        <row r="403">
          <cell r="A403" t="str">
            <v>25-2011</v>
          </cell>
          <cell r="B403" t="str">
            <v>Preschool Teachers, Except Special Education</v>
          </cell>
          <cell r="C403">
            <v>391670</v>
          </cell>
          <cell r="D403">
            <v>1.3</v>
          </cell>
          <cell r="E403">
            <v>36460</v>
          </cell>
          <cell r="F403">
            <v>0.7</v>
          </cell>
          <cell r="G403">
            <v>30210</v>
          </cell>
        </row>
        <row r="404">
          <cell r="A404" t="str">
            <v>25-2012</v>
          </cell>
          <cell r="B404" t="str">
            <v>Kindergarten Teachers, Except Special Education</v>
          </cell>
          <cell r="C404">
            <v>120730</v>
          </cell>
          <cell r="D404">
            <v>2.2000000000000002</v>
          </cell>
          <cell r="E404">
            <v>64490</v>
          </cell>
          <cell r="F404">
            <v>1</v>
          </cell>
          <cell r="G404">
            <v>60900</v>
          </cell>
        </row>
        <row r="405">
          <cell r="A405" t="str">
            <v>25-2020</v>
          </cell>
          <cell r="B405" t="str">
            <v>Elementary and Middle School Teachers</v>
          </cell>
          <cell r="C405">
            <v>1933120</v>
          </cell>
          <cell r="D405">
            <v>0.7</v>
          </cell>
          <cell r="E405">
            <v>67030</v>
          </cell>
          <cell r="F405">
            <v>0.5</v>
          </cell>
          <cell r="G405">
            <v>61390</v>
          </cell>
        </row>
        <row r="406">
          <cell r="A406" t="str">
            <v>25-2021</v>
          </cell>
          <cell r="B406" t="str">
            <v>Elementary School Teachers, Except Special Education</v>
          </cell>
          <cell r="C406">
            <v>1329280</v>
          </cell>
          <cell r="D406">
            <v>0.9</v>
          </cell>
          <cell r="E406">
            <v>67080</v>
          </cell>
          <cell r="F406">
            <v>0.5</v>
          </cell>
          <cell r="G406">
            <v>61400</v>
          </cell>
        </row>
        <row r="407">
          <cell r="A407" t="str">
            <v>25-2022</v>
          </cell>
          <cell r="B407" t="str">
            <v>Middle School Teachers, Except Special and Career/Technical Education</v>
          </cell>
          <cell r="C407">
            <v>592000</v>
          </cell>
          <cell r="D407">
            <v>1.8</v>
          </cell>
          <cell r="E407">
            <v>66880</v>
          </cell>
          <cell r="F407">
            <v>0.9</v>
          </cell>
          <cell r="G407">
            <v>61320</v>
          </cell>
        </row>
        <row r="408">
          <cell r="A408" t="str">
            <v>25-2023</v>
          </cell>
          <cell r="B408" t="str">
            <v>Career/Technical Education Teachers, Middle School</v>
          </cell>
          <cell r="C408">
            <v>11840</v>
          </cell>
          <cell r="D408">
            <v>5.4</v>
          </cell>
          <cell r="E408">
            <v>69410</v>
          </cell>
          <cell r="F408">
            <v>1.6</v>
          </cell>
          <cell r="G408">
            <v>61820</v>
          </cell>
        </row>
        <row r="409">
          <cell r="A409" t="str">
            <v>25-2030</v>
          </cell>
          <cell r="B409" t="str">
            <v>Secondary School Teachers</v>
          </cell>
          <cell r="C409">
            <v>1104600</v>
          </cell>
          <cell r="D409">
            <v>1</v>
          </cell>
          <cell r="E409">
            <v>69490</v>
          </cell>
          <cell r="F409">
            <v>0.5</v>
          </cell>
          <cell r="G409">
            <v>61820</v>
          </cell>
        </row>
        <row r="410">
          <cell r="A410" t="str">
            <v>25-2031</v>
          </cell>
          <cell r="B410" t="str">
            <v>Secondary School Teachers, Except Special and Career/Technical Education</v>
          </cell>
          <cell r="C410">
            <v>1020240</v>
          </cell>
          <cell r="D410">
            <v>1</v>
          </cell>
          <cell r="E410">
            <v>69530</v>
          </cell>
          <cell r="F410">
            <v>0.5</v>
          </cell>
          <cell r="G410">
            <v>61820</v>
          </cell>
        </row>
        <row r="411">
          <cell r="A411" t="str">
            <v>25-2032</v>
          </cell>
          <cell r="B411" t="str">
            <v>Career/Technical Education Teachers, Secondary School</v>
          </cell>
          <cell r="C411">
            <v>84360</v>
          </cell>
          <cell r="D411">
            <v>2.8</v>
          </cell>
          <cell r="E411">
            <v>68960</v>
          </cell>
          <cell r="F411">
            <v>1.2</v>
          </cell>
          <cell r="G411">
            <v>61820</v>
          </cell>
        </row>
        <row r="412">
          <cell r="A412" t="str">
            <v>25-2050</v>
          </cell>
          <cell r="B412" t="str">
            <v>Special Education Teachers</v>
          </cell>
          <cell r="C412">
            <v>470960</v>
          </cell>
          <cell r="D412">
            <v>0.9</v>
          </cell>
          <cell r="E412">
            <v>68880</v>
          </cell>
          <cell r="F412">
            <v>0.5</v>
          </cell>
          <cell r="G412">
            <v>61820</v>
          </cell>
        </row>
        <row r="413">
          <cell r="A413" t="str">
            <v>25-2051</v>
          </cell>
          <cell r="B413" t="str">
            <v>Special Education Teachers, Preschool</v>
          </cell>
          <cell r="C413">
            <v>21130</v>
          </cell>
          <cell r="D413">
            <v>5.0999999999999996</v>
          </cell>
          <cell r="E413">
            <v>71970</v>
          </cell>
          <cell r="F413">
            <v>1.5</v>
          </cell>
          <cell r="G413">
            <v>62420</v>
          </cell>
        </row>
        <row r="414">
          <cell r="A414" t="str">
            <v>25-2052</v>
          </cell>
          <cell r="B414" t="str">
            <v>Special Education Teachers, Kindergarten and Elementary School</v>
          </cell>
          <cell r="C414">
            <v>187070</v>
          </cell>
          <cell r="D414">
            <v>1.4</v>
          </cell>
          <cell r="E414">
            <v>67090</v>
          </cell>
          <cell r="F414">
            <v>0.7</v>
          </cell>
          <cell r="G414">
            <v>61640</v>
          </cell>
        </row>
        <row r="415">
          <cell r="A415" t="str">
            <v>25-2057</v>
          </cell>
          <cell r="B415" t="str">
            <v>Special Education Teachers, Middle School</v>
          </cell>
          <cell r="C415">
            <v>79070</v>
          </cell>
          <cell r="D415">
            <v>3.3</v>
          </cell>
          <cell r="E415">
            <v>68860</v>
          </cell>
          <cell r="F415">
            <v>1.3</v>
          </cell>
          <cell r="G415">
            <v>61820</v>
          </cell>
        </row>
        <row r="416">
          <cell r="A416" t="str">
            <v>25-2058</v>
          </cell>
          <cell r="B416" t="str">
            <v>Special Education Teachers, Secondary School</v>
          </cell>
          <cell r="C416">
            <v>145690</v>
          </cell>
          <cell r="D416">
            <v>1.7</v>
          </cell>
          <cell r="E416">
            <v>70100</v>
          </cell>
          <cell r="F416">
            <v>0.7</v>
          </cell>
          <cell r="G416">
            <v>62120</v>
          </cell>
        </row>
        <row r="417">
          <cell r="A417" t="str">
            <v>25-2059</v>
          </cell>
          <cell r="B417" t="str">
            <v>Special Education Teachers, All Other</v>
          </cell>
          <cell r="C417">
            <v>38000</v>
          </cell>
          <cell r="D417">
            <v>4.0999999999999996</v>
          </cell>
          <cell r="E417">
            <v>71330</v>
          </cell>
          <cell r="F417">
            <v>2.1</v>
          </cell>
          <cell r="G417">
            <v>61720</v>
          </cell>
        </row>
        <row r="418">
          <cell r="A418" t="str">
            <v>25-3000</v>
          </cell>
          <cell r="B418" t="str">
            <v>Other Teachers and Instructors</v>
          </cell>
          <cell r="C418">
            <v>941530</v>
          </cell>
          <cell r="D418">
            <v>1.2</v>
          </cell>
          <cell r="E418">
            <v>46490</v>
          </cell>
          <cell r="F418">
            <v>0.6</v>
          </cell>
          <cell r="G418">
            <v>37310</v>
          </cell>
        </row>
        <row r="419">
          <cell r="A419" t="str">
            <v>25-3010</v>
          </cell>
          <cell r="B419" t="str">
            <v>Adult Basic Education, Adult Secondary Education, and English as a Second Language Instructors</v>
          </cell>
          <cell r="C419">
            <v>38260</v>
          </cell>
          <cell r="D419">
            <v>3.3</v>
          </cell>
          <cell r="E419">
            <v>60650</v>
          </cell>
          <cell r="F419">
            <v>1</v>
          </cell>
          <cell r="G419">
            <v>59720</v>
          </cell>
        </row>
        <row r="420">
          <cell r="A420" t="str">
            <v>25-3011</v>
          </cell>
          <cell r="B420" t="str">
            <v>Adult Basic Education, Adult Secondary Education, and English as a Second Language Instructors</v>
          </cell>
          <cell r="C420">
            <v>38260</v>
          </cell>
          <cell r="D420">
            <v>3.3</v>
          </cell>
          <cell r="E420">
            <v>60650</v>
          </cell>
          <cell r="F420">
            <v>1</v>
          </cell>
          <cell r="G420">
            <v>59720</v>
          </cell>
        </row>
        <row r="421">
          <cell r="A421" t="str">
            <v>25-3020</v>
          </cell>
          <cell r="B421" t="str">
            <v>Self-Enrichment Teachers</v>
          </cell>
          <cell r="C421">
            <v>216910</v>
          </cell>
          <cell r="D421">
            <v>1.6</v>
          </cell>
          <cell r="E421">
            <v>49230</v>
          </cell>
          <cell r="F421">
            <v>1.1000000000000001</v>
          </cell>
          <cell r="G421">
            <v>43580</v>
          </cell>
        </row>
        <row r="422">
          <cell r="A422" t="str">
            <v>25-3021</v>
          </cell>
          <cell r="B422" t="str">
            <v>Self-Enrichment Teachers</v>
          </cell>
          <cell r="C422">
            <v>216910</v>
          </cell>
          <cell r="D422">
            <v>1.6</v>
          </cell>
          <cell r="E422">
            <v>49230</v>
          </cell>
          <cell r="F422">
            <v>1.1000000000000001</v>
          </cell>
          <cell r="G422">
            <v>43580</v>
          </cell>
        </row>
        <row r="423">
          <cell r="A423" t="str">
            <v>25-3030</v>
          </cell>
          <cell r="B423" t="str">
            <v>Substitute Teachers, Short-Term</v>
          </cell>
          <cell r="C423">
            <v>374620</v>
          </cell>
          <cell r="D423">
            <v>2.8</v>
          </cell>
          <cell r="E423">
            <v>38410</v>
          </cell>
          <cell r="F423">
            <v>0.9</v>
          </cell>
          <cell r="G423">
            <v>30100</v>
          </cell>
        </row>
        <row r="424">
          <cell r="A424" t="str">
            <v>25-3031</v>
          </cell>
          <cell r="B424" t="str">
            <v>Substitute Teachers, Short-Term</v>
          </cell>
          <cell r="C424">
            <v>374620</v>
          </cell>
          <cell r="D424">
            <v>2.8</v>
          </cell>
          <cell r="E424">
            <v>38410</v>
          </cell>
          <cell r="F424">
            <v>0.9</v>
          </cell>
          <cell r="G424">
            <v>30100</v>
          </cell>
        </row>
        <row r="425">
          <cell r="A425" t="str">
            <v>25-3040</v>
          </cell>
          <cell r="B425" t="str">
            <v>Tutors</v>
          </cell>
          <cell r="C425">
            <v>147100</v>
          </cell>
          <cell r="D425">
            <v>2.1</v>
          </cell>
          <cell r="E425">
            <v>41780</v>
          </cell>
          <cell r="F425">
            <v>1.7</v>
          </cell>
          <cell r="G425">
            <v>36470</v>
          </cell>
        </row>
        <row r="426">
          <cell r="A426" t="str">
            <v>25-3041</v>
          </cell>
          <cell r="B426" t="str">
            <v>Tutors</v>
          </cell>
          <cell r="C426">
            <v>147100</v>
          </cell>
          <cell r="D426">
            <v>2.1</v>
          </cell>
          <cell r="E426">
            <v>41780</v>
          </cell>
          <cell r="F426">
            <v>1.7</v>
          </cell>
          <cell r="G426">
            <v>36470</v>
          </cell>
        </row>
        <row r="427">
          <cell r="A427" t="str">
            <v>25-3090</v>
          </cell>
          <cell r="B427" t="str">
            <v>Miscellaneous Teachers and Instructors</v>
          </cell>
          <cell r="C427">
            <v>164650</v>
          </cell>
          <cell r="D427">
            <v>1.9</v>
          </cell>
          <cell r="E427">
            <v>62200</v>
          </cell>
          <cell r="F427">
            <v>1.1000000000000001</v>
          </cell>
          <cell r="G427">
            <v>50540</v>
          </cell>
        </row>
        <row r="428">
          <cell r="A428" t="str">
            <v>25-3099</v>
          </cell>
          <cell r="B428" t="str">
            <v>Teachers and Instructors, All Other</v>
          </cell>
          <cell r="C428">
            <v>164650</v>
          </cell>
          <cell r="D428">
            <v>1.9</v>
          </cell>
          <cell r="E428">
            <v>62200</v>
          </cell>
          <cell r="F428">
            <v>1.1000000000000001</v>
          </cell>
          <cell r="G428">
            <v>50540</v>
          </cell>
        </row>
        <row r="429">
          <cell r="A429" t="str">
            <v>25-4000</v>
          </cell>
          <cell r="B429" t="str">
            <v>Librarians, Curators, and Archivists</v>
          </cell>
          <cell r="C429">
            <v>228900</v>
          </cell>
          <cell r="D429">
            <v>1</v>
          </cell>
          <cell r="E429">
            <v>55520</v>
          </cell>
          <cell r="F429">
            <v>0.4</v>
          </cell>
          <cell r="G429">
            <v>49060</v>
          </cell>
        </row>
        <row r="430">
          <cell r="A430" t="str">
            <v>25-4010</v>
          </cell>
          <cell r="B430" t="str">
            <v>Archivists, Curators, and Museum Technicians</v>
          </cell>
          <cell r="C430">
            <v>28110</v>
          </cell>
          <cell r="D430">
            <v>1.7</v>
          </cell>
          <cell r="E430">
            <v>58830</v>
          </cell>
          <cell r="F430">
            <v>1</v>
          </cell>
          <cell r="G430">
            <v>50120</v>
          </cell>
        </row>
        <row r="431">
          <cell r="A431" t="str">
            <v>25-4011</v>
          </cell>
          <cell r="B431" t="str">
            <v>Archivists</v>
          </cell>
          <cell r="C431">
            <v>6120</v>
          </cell>
          <cell r="D431">
            <v>4.5</v>
          </cell>
          <cell r="E431">
            <v>61880</v>
          </cell>
          <cell r="F431">
            <v>1.5</v>
          </cell>
          <cell r="G431">
            <v>60050</v>
          </cell>
        </row>
        <row r="432">
          <cell r="A432" t="str">
            <v>25-4012</v>
          </cell>
          <cell r="B432" t="str">
            <v>Curators</v>
          </cell>
          <cell r="C432">
            <v>11030</v>
          </cell>
          <cell r="D432">
            <v>2.1</v>
          </cell>
          <cell r="E432">
            <v>63880</v>
          </cell>
          <cell r="F432">
            <v>1.9</v>
          </cell>
          <cell r="G432">
            <v>60110</v>
          </cell>
        </row>
        <row r="433">
          <cell r="A433" t="str">
            <v>25-4013</v>
          </cell>
          <cell r="B433" t="str">
            <v>Museum Technicians and Conservators</v>
          </cell>
          <cell r="C433">
            <v>10960</v>
          </cell>
          <cell r="D433">
            <v>2.1</v>
          </cell>
          <cell r="E433">
            <v>52030</v>
          </cell>
          <cell r="F433">
            <v>1.2</v>
          </cell>
          <cell r="G433">
            <v>47630</v>
          </cell>
        </row>
        <row r="434">
          <cell r="A434" t="str">
            <v>25-4020</v>
          </cell>
          <cell r="B434" t="str">
            <v>Librarians and Media Collections Specialists</v>
          </cell>
          <cell r="C434">
            <v>127790</v>
          </cell>
          <cell r="D434">
            <v>1</v>
          </cell>
          <cell r="E434">
            <v>64180</v>
          </cell>
          <cell r="F434">
            <v>0.4</v>
          </cell>
          <cell r="G434">
            <v>61190</v>
          </cell>
        </row>
        <row r="435">
          <cell r="A435" t="str">
            <v>25-4022</v>
          </cell>
          <cell r="B435" t="str">
            <v>Librarians and Media Collections Specialists</v>
          </cell>
          <cell r="C435">
            <v>127790</v>
          </cell>
          <cell r="D435">
            <v>1</v>
          </cell>
          <cell r="E435">
            <v>64180</v>
          </cell>
          <cell r="F435">
            <v>0.4</v>
          </cell>
          <cell r="G435">
            <v>61190</v>
          </cell>
        </row>
        <row r="436">
          <cell r="A436" t="str">
            <v>25-4030</v>
          </cell>
          <cell r="B436" t="str">
            <v>Library Technicians</v>
          </cell>
          <cell r="C436">
            <v>73000</v>
          </cell>
          <cell r="D436">
            <v>1.6</v>
          </cell>
          <cell r="E436">
            <v>39070</v>
          </cell>
          <cell r="F436">
            <v>0.5</v>
          </cell>
          <cell r="G436">
            <v>36970</v>
          </cell>
        </row>
        <row r="437">
          <cell r="A437" t="str">
            <v>25-4031</v>
          </cell>
          <cell r="B437" t="str">
            <v>Library Technicians</v>
          </cell>
          <cell r="C437">
            <v>73000</v>
          </cell>
          <cell r="D437">
            <v>1.6</v>
          </cell>
          <cell r="E437">
            <v>39070</v>
          </cell>
          <cell r="F437">
            <v>0.5</v>
          </cell>
          <cell r="G437">
            <v>36970</v>
          </cell>
        </row>
        <row r="438">
          <cell r="A438" t="str">
            <v>25-9000</v>
          </cell>
          <cell r="B438" t="str">
            <v>Other Educational Instruction and Library Occupations</v>
          </cell>
          <cell r="C438">
            <v>1659870</v>
          </cell>
          <cell r="D438">
            <v>0.5</v>
          </cell>
          <cell r="E438">
            <v>38620</v>
          </cell>
          <cell r="F438">
            <v>0.3</v>
          </cell>
          <cell r="G438">
            <v>30460</v>
          </cell>
        </row>
        <row r="439">
          <cell r="A439" t="str">
            <v>25-9020</v>
          </cell>
          <cell r="B439" t="str">
            <v>Farm and Home Management Educators</v>
          </cell>
          <cell r="C439">
            <v>10620</v>
          </cell>
          <cell r="D439">
            <v>10.8</v>
          </cell>
          <cell r="E439">
            <v>58040</v>
          </cell>
          <cell r="F439">
            <v>3.1</v>
          </cell>
          <cell r="G439">
            <v>49990</v>
          </cell>
        </row>
        <row r="440">
          <cell r="A440" t="str">
            <v>25-9021</v>
          </cell>
          <cell r="B440" t="str">
            <v>Farm and Home Management Educators</v>
          </cell>
          <cell r="C440">
            <v>10620</v>
          </cell>
          <cell r="D440">
            <v>10.8</v>
          </cell>
          <cell r="E440">
            <v>58040</v>
          </cell>
          <cell r="F440">
            <v>3.1</v>
          </cell>
          <cell r="G440">
            <v>49990</v>
          </cell>
        </row>
        <row r="441">
          <cell r="A441" t="str">
            <v>25-9030</v>
          </cell>
          <cell r="B441" t="str">
            <v>Instructional Coordinators</v>
          </cell>
          <cell r="C441">
            <v>184740</v>
          </cell>
          <cell r="D441">
            <v>1.1000000000000001</v>
          </cell>
          <cell r="E441">
            <v>70560</v>
          </cell>
          <cell r="F441">
            <v>0.5</v>
          </cell>
          <cell r="G441">
            <v>63740</v>
          </cell>
        </row>
        <row r="442">
          <cell r="A442" t="str">
            <v>25-9031</v>
          </cell>
          <cell r="B442" t="str">
            <v>Instructional Coordinators</v>
          </cell>
          <cell r="C442">
            <v>184740</v>
          </cell>
          <cell r="D442">
            <v>1.1000000000000001</v>
          </cell>
          <cell r="E442">
            <v>70560</v>
          </cell>
          <cell r="F442">
            <v>0.5</v>
          </cell>
          <cell r="G442">
            <v>63740</v>
          </cell>
        </row>
        <row r="443">
          <cell r="A443" t="str">
            <v>25-9040</v>
          </cell>
          <cell r="B443" t="str">
            <v>Teaching Assistants</v>
          </cell>
          <cell r="C443">
            <v>1308560</v>
          </cell>
          <cell r="D443">
            <v>0.6</v>
          </cell>
          <cell r="E443">
            <v>32640</v>
          </cell>
          <cell r="F443">
            <v>0.3</v>
          </cell>
          <cell r="G443">
            <v>29550</v>
          </cell>
        </row>
        <row r="444">
          <cell r="A444" t="str">
            <v>25-9044</v>
          </cell>
          <cell r="B444" t="str">
            <v>Teaching Assistants, Postsecondary</v>
          </cell>
          <cell r="C444">
            <v>121290</v>
          </cell>
          <cell r="D444">
            <v>0.5</v>
          </cell>
          <cell r="E444">
            <v>41170</v>
          </cell>
          <cell r="F444">
            <v>0.3</v>
          </cell>
          <cell r="G444">
            <v>38040</v>
          </cell>
        </row>
        <row r="445">
          <cell r="A445" t="str">
            <v>25-9045</v>
          </cell>
          <cell r="B445" t="str">
            <v>Teaching Assistants, Except Postsecondary</v>
          </cell>
          <cell r="C445">
            <v>1187270</v>
          </cell>
          <cell r="D445">
            <v>0.6</v>
          </cell>
          <cell r="E445">
            <v>31760</v>
          </cell>
          <cell r="F445">
            <v>0.3</v>
          </cell>
          <cell r="G445">
            <v>29360</v>
          </cell>
        </row>
        <row r="446">
          <cell r="A446" t="str">
            <v>25-9090</v>
          </cell>
          <cell r="B446" t="str">
            <v>Miscellaneous Educational Instruction and Library Workers</v>
          </cell>
          <cell r="C446">
            <v>155950</v>
          </cell>
          <cell r="D446">
            <v>1.4</v>
          </cell>
          <cell r="E446">
            <v>49650</v>
          </cell>
          <cell r="F446">
            <v>0.8</v>
          </cell>
          <cell r="G446">
            <v>46300</v>
          </cell>
        </row>
        <row r="447">
          <cell r="A447" t="str">
            <v>25-9099</v>
          </cell>
          <cell r="B447" t="str">
            <v>Educational Instruction and Library Workers, All Other</v>
          </cell>
          <cell r="C447">
            <v>155950</v>
          </cell>
          <cell r="D447">
            <v>1.4</v>
          </cell>
          <cell r="E447">
            <v>49650</v>
          </cell>
          <cell r="F447">
            <v>0.8</v>
          </cell>
          <cell r="G447">
            <v>46300</v>
          </cell>
        </row>
        <row r="448">
          <cell r="A448" t="str">
            <v>27-0000</v>
          </cell>
          <cell r="B448" t="str">
            <v>Arts, Design, Entertainment, Sports, and Media Occupations</v>
          </cell>
          <cell r="C448">
            <v>1815290</v>
          </cell>
          <cell r="D448">
            <v>0.5</v>
          </cell>
          <cell r="E448">
            <v>66100</v>
          </cell>
          <cell r="F448">
            <v>1.5</v>
          </cell>
          <cell r="G448">
            <v>51190</v>
          </cell>
        </row>
        <row r="449">
          <cell r="A449" t="str">
            <v>27-1000</v>
          </cell>
          <cell r="B449" t="str">
            <v>Art and Design Workers</v>
          </cell>
          <cell r="C449">
            <v>609150</v>
          </cell>
          <cell r="D449">
            <v>1.1000000000000001</v>
          </cell>
          <cell r="E449">
            <v>58910</v>
          </cell>
          <cell r="F449">
            <v>1</v>
          </cell>
          <cell r="G449">
            <v>48220</v>
          </cell>
        </row>
        <row r="450">
          <cell r="A450" t="str">
            <v>27-1010</v>
          </cell>
          <cell r="B450" t="str">
            <v>Artists and Related Workers</v>
          </cell>
          <cell r="C450">
            <v>83070</v>
          </cell>
          <cell r="D450">
            <v>4.0999999999999996</v>
          </cell>
          <cell r="E450">
            <v>95330</v>
          </cell>
          <cell r="F450">
            <v>1.9</v>
          </cell>
          <cell r="G450">
            <v>80990</v>
          </cell>
        </row>
        <row r="451">
          <cell r="A451" t="str">
            <v>27-1011</v>
          </cell>
          <cell r="B451" t="str">
            <v>Art Directors</v>
          </cell>
          <cell r="C451">
            <v>42080</v>
          </cell>
          <cell r="D451">
            <v>2.6</v>
          </cell>
          <cell r="E451">
            <v>115430</v>
          </cell>
          <cell r="F451">
            <v>1.9</v>
          </cell>
          <cell r="G451">
            <v>100890</v>
          </cell>
        </row>
        <row r="452">
          <cell r="A452" t="str">
            <v>27-1012</v>
          </cell>
          <cell r="B452" t="str">
            <v>Craft Artists</v>
          </cell>
          <cell r="C452">
            <v>3740</v>
          </cell>
          <cell r="D452">
            <v>7.6</v>
          </cell>
          <cell r="E452">
            <v>40730</v>
          </cell>
          <cell r="F452">
            <v>3.6</v>
          </cell>
          <cell r="G452">
            <v>35930</v>
          </cell>
        </row>
        <row r="453">
          <cell r="A453" t="str">
            <v>27-1013</v>
          </cell>
          <cell r="B453" t="str">
            <v>Fine Artists, Including Painters, Sculptors, and Illustrators</v>
          </cell>
          <cell r="C453">
            <v>9430</v>
          </cell>
          <cell r="D453">
            <v>11.9</v>
          </cell>
          <cell r="E453">
            <v>69010</v>
          </cell>
          <cell r="F453">
            <v>7.8</v>
          </cell>
          <cell r="G453">
            <v>60820</v>
          </cell>
        </row>
        <row r="454">
          <cell r="A454" t="str">
            <v>27-1014</v>
          </cell>
          <cell r="B454" t="str">
            <v>Special Effects Artists and Animators</v>
          </cell>
          <cell r="C454">
            <v>20430</v>
          </cell>
          <cell r="D454">
            <v>9.9</v>
          </cell>
          <cell r="E454">
            <v>86220</v>
          </cell>
          <cell r="F454">
            <v>7</v>
          </cell>
          <cell r="G454">
            <v>78790</v>
          </cell>
        </row>
        <row r="455">
          <cell r="A455" t="str">
            <v>27-1019</v>
          </cell>
          <cell r="B455" t="str">
            <v>Artists and Related Workers, All Other</v>
          </cell>
          <cell r="C455">
            <v>7390</v>
          </cell>
          <cell r="D455">
            <v>8.9</v>
          </cell>
          <cell r="E455">
            <v>67240</v>
          </cell>
          <cell r="F455">
            <v>4.8</v>
          </cell>
          <cell r="G455">
            <v>61580</v>
          </cell>
        </row>
        <row r="456">
          <cell r="A456" t="str">
            <v>27-1020</v>
          </cell>
          <cell r="B456" t="str">
            <v>Designers</v>
          </cell>
          <cell r="C456">
            <v>526080</v>
          </cell>
          <cell r="D456">
            <v>0.8</v>
          </cell>
          <cell r="E456">
            <v>53160</v>
          </cell>
          <cell r="F456">
            <v>1</v>
          </cell>
          <cell r="G456">
            <v>46370</v>
          </cell>
        </row>
        <row r="457">
          <cell r="A457" t="str">
            <v>27-1021</v>
          </cell>
          <cell r="B457" t="str">
            <v>Commercial and Industrial Designers</v>
          </cell>
          <cell r="C457">
            <v>27940</v>
          </cell>
          <cell r="D457">
            <v>3.2</v>
          </cell>
          <cell r="E457">
            <v>79680</v>
          </cell>
          <cell r="F457">
            <v>3.1</v>
          </cell>
          <cell r="G457">
            <v>77030</v>
          </cell>
        </row>
        <row r="458">
          <cell r="A458" t="str">
            <v>27-1022</v>
          </cell>
          <cell r="B458" t="str">
            <v>Fashion Designers</v>
          </cell>
          <cell r="C458">
            <v>19310</v>
          </cell>
          <cell r="D458">
            <v>5.3</v>
          </cell>
          <cell r="E458">
            <v>83650</v>
          </cell>
          <cell r="F458">
            <v>2.5</v>
          </cell>
          <cell r="G458">
            <v>77450</v>
          </cell>
        </row>
        <row r="459">
          <cell r="A459" t="str">
            <v>27-1023</v>
          </cell>
          <cell r="B459" t="str">
            <v>Floral Designers</v>
          </cell>
          <cell r="C459">
            <v>36000</v>
          </cell>
          <cell r="D459">
            <v>1.8</v>
          </cell>
          <cell r="E459">
            <v>32100</v>
          </cell>
          <cell r="F459">
            <v>1</v>
          </cell>
          <cell r="G459">
            <v>29880</v>
          </cell>
        </row>
        <row r="460">
          <cell r="A460" t="str">
            <v>27-1024</v>
          </cell>
          <cell r="B460" t="str">
            <v>Graphic Designers</v>
          </cell>
          <cell r="C460">
            <v>204040</v>
          </cell>
          <cell r="D460">
            <v>1.3</v>
          </cell>
          <cell r="E460">
            <v>59970</v>
          </cell>
          <cell r="F460">
            <v>1</v>
          </cell>
          <cell r="G460">
            <v>50710</v>
          </cell>
        </row>
        <row r="461">
          <cell r="A461" t="str">
            <v>27-1025</v>
          </cell>
          <cell r="B461" t="str">
            <v>Interior Designers</v>
          </cell>
          <cell r="C461">
            <v>61970</v>
          </cell>
          <cell r="D461">
            <v>2.4</v>
          </cell>
          <cell r="E461">
            <v>62570</v>
          </cell>
          <cell r="F461">
            <v>1.2</v>
          </cell>
          <cell r="G461">
            <v>60340</v>
          </cell>
        </row>
        <row r="462">
          <cell r="A462" t="str">
            <v>27-1026</v>
          </cell>
          <cell r="B462" t="str">
            <v>Merchandise Displayers and Window Trimmers</v>
          </cell>
          <cell r="C462">
            <v>159790</v>
          </cell>
          <cell r="D462">
            <v>1.4</v>
          </cell>
          <cell r="E462">
            <v>35520</v>
          </cell>
          <cell r="F462">
            <v>0.8</v>
          </cell>
          <cell r="G462">
            <v>32060</v>
          </cell>
        </row>
        <row r="463">
          <cell r="A463" t="str">
            <v>27-1027</v>
          </cell>
          <cell r="B463" t="str">
            <v>Set and Exhibit Designers</v>
          </cell>
          <cell r="C463">
            <v>6850</v>
          </cell>
          <cell r="D463">
            <v>8.1</v>
          </cell>
          <cell r="E463">
            <v>62960</v>
          </cell>
          <cell r="F463">
            <v>2.7</v>
          </cell>
          <cell r="G463">
            <v>54860</v>
          </cell>
        </row>
        <row r="464">
          <cell r="A464" t="str">
            <v>27-1029</v>
          </cell>
          <cell r="B464" t="str">
            <v>Designers, All Other</v>
          </cell>
          <cell r="C464">
            <v>10190</v>
          </cell>
          <cell r="D464">
            <v>5.8</v>
          </cell>
          <cell r="E464">
            <v>73480</v>
          </cell>
          <cell r="F464">
            <v>4.5</v>
          </cell>
          <cell r="G464">
            <v>62310</v>
          </cell>
        </row>
        <row r="465">
          <cell r="A465" t="str">
            <v>27-2000</v>
          </cell>
          <cell r="B465" t="str">
            <v>Entertainers and Performers, Sports and Related Workers</v>
          </cell>
          <cell r="C465">
            <v>438600</v>
          </cell>
          <cell r="D465">
            <v>2</v>
          </cell>
          <cell r="E465">
            <v>71870</v>
          </cell>
          <cell r="F465">
            <v>2.9</v>
          </cell>
          <cell r="G465">
            <v>49470</v>
          </cell>
        </row>
        <row r="466">
          <cell r="A466" t="str">
            <v>27-2010</v>
          </cell>
          <cell r="B466" t="str">
            <v>Actors, Producers, and Directors</v>
          </cell>
          <cell r="C466">
            <v>168350</v>
          </cell>
          <cell r="D466">
            <v>4.8</v>
          </cell>
          <cell r="E466">
            <v>95360</v>
          </cell>
          <cell r="F466">
            <v>4.5999999999999996</v>
          </cell>
          <cell r="G466">
            <v>77080</v>
          </cell>
        </row>
        <row r="467">
          <cell r="A467" t="str">
            <v>27-2011</v>
          </cell>
          <cell r="B467" t="str">
            <v>Actors</v>
          </cell>
          <cell r="C467">
            <v>30100</v>
          </cell>
          <cell r="D467">
            <v>24.7</v>
          </cell>
          <cell r="E467" t="str">
            <v>*</v>
          </cell>
          <cell r="F467">
            <v>7.3</v>
          </cell>
          <cell r="G467" t="str">
            <v>*</v>
          </cell>
        </row>
        <row r="468">
          <cell r="A468" t="str">
            <v>27-2012</v>
          </cell>
          <cell r="B468" t="str">
            <v>Producers and Directors</v>
          </cell>
          <cell r="C468">
            <v>138250</v>
          </cell>
          <cell r="D468">
            <v>5.2</v>
          </cell>
          <cell r="E468">
            <v>101950</v>
          </cell>
          <cell r="F468">
            <v>4.5</v>
          </cell>
          <cell r="G468">
            <v>79000</v>
          </cell>
        </row>
        <row r="469">
          <cell r="A469" t="str">
            <v>27-2020</v>
          </cell>
          <cell r="B469" t="str">
            <v>Athletes, Coaches, Umpires, and Related Workers</v>
          </cell>
          <cell r="C469">
            <v>215690</v>
          </cell>
          <cell r="D469">
            <v>1.5</v>
          </cell>
          <cell r="E469">
            <v>54390</v>
          </cell>
          <cell r="F469">
            <v>1.6</v>
          </cell>
          <cell r="G469">
            <v>39290</v>
          </cell>
        </row>
        <row r="470">
          <cell r="A470" t="str">
            <v>27-2021</v>
          </cell>
          <cell r="B470" t="str">
            <v>Athletes and Sports Competitors</v>
          </cell>
          <cell r="C470">
            <v>12320</v>
          </cell>
          <cell r="D470">
            <v>8.8000000000000007</v>
          </cell>
          <cell r="E470">
            <v>116930</v>
          </cell>
          <cell r="F470">
            <v>4.9000000000000004</v>
          </cell>
          <cell r="G470">
            <v>77300</v>
          </cell>
        </row>
        <row r="471">
          <cell r="A471" t="str">
            <v>27-2022</v>
          </cell>
          <cell r="B471" t="str">
            <v>Coaches and Scouts</v>
          </cell>
          <cell r="C471">
            <v>193740</v>
          </cell>
          <cell r="D471">
            <v>1.5</v>
          </cell>
          <cell r="E471">
            <v>50550</v>
          </cell>
          <cell r="F471">
            <v>1.1000000000000001</v>
          </cell>
          <cell r="G471">
            <v>38970</v>
          </cell>
        </row>
        <row r="472">
          <cell r="A472" t="str">
            <v>27-2023</v>
          </cell>
          <cell r="B472" t="str">
            <v>Umpires, Referees, and Other Sports Officials</v>
          </cell>
          <cell r="C472">
            <v>9620</v>
          </cell>
          <cell r="D472">
            <v>8</v>
          </cell>
          <cell r="E472">
            <v>51710</v>
          </cell>
          <cell r="F472">
            <v>16.399999999999999</v>
          </cell>
          <cell r="G472">
            <v>35860</v>
          </cell>
        </row>
        <row r="473">
          <cell r="A473" t="str">
            <v>27-2030</v>
          </cell>
          <cell r="B473" t="str">
            <v>Dancers and Choreographers</v>
          </cell>
          <cell r="C473">
            <v>7850</v>
          </cell>
          <cell r="D473">
            <v>8.1999999999999993</v>
          </cell>
          <cell r="E473">
            <v>50280</v>
          </cell>
          <cell r="F473">
            <v>4.4000000000000004</v>
          </cell>
          <cell r="G473">
            <v>40500</v>
          </cell>
        </row>
        <row r="474">
          <cell r="A474" t="str">
            <v>27-2031</v>
          </cell>
          <cell r="B474" t="str">
            <v>Dancers</v>
          </cell>
          <cell r="C474">
            <v>3850</v>
          </cell>
          <cell r="D474">
            <v>11.1</v>
          </cell>
          <cell r="E474" t="str">
            <v>*</v>
          </cell>
          <cell r="F474">
            <v>5.4</v>
          </cell>
          <cell r="G474" t="str">
            <v>*</v>
          </cell>
        </row>
        <row r="475">
          <cell r="A475" t="str">
            <v>27-2032</v>
          </cell>
          <cell r="B475" t="str">
            <v>Choreographers</v>
          </cell>
          <cell r="C475">
            <v>3990</v>
          </cell>
          <cell r="D475">
            <v>12</v>
          </cell>
          <cell r="E475">
            <v>49630</v>
          </cell>
          <cell r="F475">
            <v>6.3</v>
          </cell>
          <cell r="G475">
            <v>42700</v>
          </cell>
        </row>
        <row r="476">
          <cell r="A476" t="str">
            <v>27-2040</v>
          </cell>
          <cell r="B476" t="str">
            <v>Musicians, Singers, and Related Workers</v>
          </cell>
          <cell r="C476">
            <v>33640</v>
          </cell>
          <cell r="D476">
            <v>3.4</v>
          </cell>
          <cell r="E476" t="str">
            <v>*</v>
          </cell>
          <cell r="F476">
            <v>3</v>
          </cell>
          <cell r="G476" t="str">
            <v>*</v>
          </cell>
        </row>
        <row r="477">
          <cell r="A477" t="str">
            <v>27-2041</v>
          </cell>
          <cell r="B477" t="str">
            <v>Music Directors and Composers</v>
          </cell>
          <cell r="C477">
            <v>9560</v>
          </cell>
          <cell r="D477">
            <v>4.7</v>
          </cell>
          <cell r="E477">
            <v>65080</v>
          </cell>
          <cell r="F477">
            <v>3.1</v>
          </cell>
          <cell r="G477">
            <v>49130</v>
          </cell>
        </row>
        <row r="478">
          <cell r="A478" t="str">
            <v>27-2042</v>
          </cell>
          <cell r="B478" t="str">
            <v>Musicians and Singers</v>
          </cell>
          <cell r="C478">
            <v>24080</v>
          </cell>
          <cell r="D478">
            <v>4.2</v>
          </cell>
          <cell r="E478" t="str">
            <v>*</v>
          </cell>
          <cell r="F478">
            <v>3.9</v>
          </cell>
          <cell r="G478" t="str">
            <v>*</v>
          </cell>
        </row>
        <row r="479">
          <cell r="A479" t="str">
            <v>27-2090</v>
          </cell>
          <cell r="B479" t="str">
            <v>Miscellaneous Entertainers and Performers, Sports and Related Workers</v>
          </cell>
          <cell r="C479">
            <v>13070</v>
          </cell>
          <cell r="D479">
            <v>7.8</v>
          </cell>
          <cell r="E479" t="str">
            <v>*</v>
          </cell>
          <cell r="F479">
            <v>5.4</v>
          </cell>
          <cell r="G479" t="str">
            <v>*</v>
          </cell>
        </row>
        <row r="480">
          <cell r="A480" t="str">
            <v>27-2091</v>
          </cell>
          <cell r="B480" t="str">
            <v>Disc Jockeys, Except Radio</v>
          </cell>
          <cell r="C480">
            <v>4770</v>
          </cell>
          <cell r="D480">
            <v>12.3</v>
          </cell>
          <cell r="E480" t="str">
            <v>*</v>
          </cell>
          <cell r="F480">
            <v>6.8</v>
          </cell>
          <cell r="G480" t="str">
            <v>*</v>
          </cell>
        </row>
        <row r="481">
          <cell r="A481" t="str">
            <v>27-2099</v>
          </cell>
          <cell r="B481" t="str">
            <v>Entertainers and Performers, Sports and Related Workers, All Other</v>
          </cell>
          <cell r="C481">
            <v>8300</v>
          </cell>
          <cell r="D481">
            <v>9.6999999999999993</v>
          </cell>
          <cell r="E481" t="str">
            <v>*</v>
          </cell>
          <cell r="F481">
            <v>7</v>
          </cell>
          <cell r="G481" t="str">
            <v>*</v>
          </cell>
        </row>
        <row r="482">
          <cell r="A482" t="str">
            <v>27-3000</v>
          </cell>
          <cell r="B482" t="str">
            <v>Media and Communication Workers</v>
          </cell>
          <cell r="C482">
            <v>573200</v>
          </cell>
          <cell r="D482">
            <v>0.9</v>
          </cell>
          <cell r="E482">
            <v>71760</v>
          </cell>
          <cell r="F482">
            <v>1.4</v>
          </cell>
          <cell r="G482">
            <v>62340</v>
          </cell>
        </row>
        <row r="483">
          <cell r="A483" t="str">
            <v>27-3010</v>
          </cell>
          <cell r="B483" t="str">
            <v>Broadcast Announcers and Radio Disc Jockeys</v>
          </cell>
          <cell r="C483">
            <v>24580</v>
          </cell>
          <cell r="D483">
            <v>3.8</v>
          </cell>
          <cell r="E483">
            <v>56110</v>
          </cell>
          <cell r="F483">
            <v>2.4</v>
          </cell>
          <cell r="G483">
            <v>37630</v>
          </cell>
        </row>
        <row r="484">
          <cell r="A484" t="str">
            <v>27-3011</v>
          </cell>
          <cell r="B484" t="str">
            <v>Broadcast Announcers and Radio Disc Jockeys</v>
          </cell>
          <cell r="C484">
            <v>24580</v>
          </cell>
          <cell r="D484">
            <v>3.8</v>
          </cell>
          <cell r="E484">
            <v>56110</v>
          </cell>
          <cell r="F484">
            <v>2.4</v>
          </cell>
          <cell r="G484">
            <v>37630</v>
          </cell>
        </row>
        <row r="485">
          <cell r="A485" t="str">
            <v>27-3020</v>
          </cell>
          <cell r="B485" t="str">
            <v>News Analysts, Reporters and Journalists</v>
          </cell>
          <cell r="C485">
            <v>39080</v>
          </cell>
          <cell r="D485">
            <v>2.2999999999999998</v>
          </cell>
          <cell r="E485">
            <v>63230</v>
          </cell>
          <cell r="F485">
            <v>1.5</v>
          </cell>
          <cell r="G485">
            <v>48370</v>
          </cell>
        </row>
        <row r="486">
          <cell r="A486" t="str">
            <v>27-3023</v>
          </cell>
          <cell r="B486" t="str">
            <v>News Analysts, Reporters, and Journalists</v>
          </cell>
          <cell r="C486">
            <v>39080</v>
          </cell>
          <cell r="D486">
            <v>2.2999999999999998</v>
          </cell>
          <cell r="E486">
            <v>63230</v>
          </cell>
          <cell r="F486">
            <v>1.5</v>
          </cell>
          <cell r="G486">
            <v>48370</v>
          </cell>
        </row>
        <row r="487">
          <cell r="A487" t="str">
            <v>27-3030</v>
          </cell>
          <cell r="B487" t="str">
            <v>Public Relations Specialists</v>
          </cell>
          <cell r="C487">
            <v>242710</v>
          </cell>
          <cell r="D487">
            <v>0.9</v>
          </cell>
          <cell r="E487">
            <v>73250</v>
          </cell>
          <cell r="F487">
            <v>0.9</v>
          </cell>
          <cell r="G487">
            <v>62800</v>
          </cell>
        </row>
        <row r="488">
          <cell r="A488" t="str">
            <v>27-3031</v>
          </cell>
          <cell r="B488" t="str">
            <v>Public Relations Specialists</v>
          </cell>
          <cell r="C488">
            <v>242710</v>
          </cell>
          <cell r="D488">
            <v>0.9</v>
          </cell>
          <cell r="E488">
            <v>73250</v>
          </cell>
          <cell r="F488">
            <v>0.9</v>
          </cell>
          <cell r="G488">
            <v>62800</v>
          </cell>
        </row>
        <row r="489">
          <cell r="A489" t="str">
            <v>27-3040</v>
          </cell>
          <cell r="B489" t="str">
            <v>Writers and Editors</v>
          </cell>
          <cell r="C489">
            <v>185810</v>
          </cell>
          <cell r="D489">
            <v>1.8</v>
          </cell>
          <cell r="E489">
            <v>78950</v>
          </cell>
          <cell r="F489">
            <v>2.6</v>
          </cell>
          <cell r="G489">
            <v>71640</v>
          </cell>
        </row>
        <row r="490">
          <cell r="A490" t="str">
            <v>27-3041</v>
          </cell>
          <cell r="B490" t="str">
            <v>Editors</v>
          </cell>
          <cell r="C490">
            <v>88780</v>
          </cell>
          <cell r="D490">
            <v>1.9</v>
          </cell>
          <cell r="E490">
            <v>76400</v>
          </cell>
          <cell r="F490">
            <v>1.3</v>
          </cell>
          <cell r="G490">
            <v>63350</v>
          </cell>
        </row>
        <row r="491">
          <cell r="A491" t="str">
            <v>27-3042</v>
          </cell>
          <cell r="B491" t="str">
            <v>Technical Writers</v>
          </cell>
          <cell r="C491">
            <v>47620</v>
          </cell>
          <cell r="D491">
            <v>2.7</v>
          </cell>
          <cell r="E491">
            <v>81470</v>
          </cell>
          <cell r="F491">
            <v>1.1000000000000001</v>
          </cell>
          <cell r="G491">
            <v>78060</v>
          </cell>
        </row>
        <row r="492">
          <cell r="A492" t="str">
            <v>27-3043</v>
          </cell>
          <cell r="B492" t="str">
            <v>Writers and Authors</v>
          </cell>
          <cell r="C492">
            <v>49410</v>
          </cell>
          <cell r="D492">
            <v>5.5</v>
          </cell>
          <cell r="E492">
            <v>81120</v>
          </cell>
          <cell r="F492">
            <v>7.4</v>
          </cell>
          <cell r="G492">
            <v>69510</v>
          </cell>
        </row>
        <row r="493">
          <cell r="A493" t="str">
            <v>27-3090</v>
          </cell>
          <cell r="B493" t="str">
            <v>Miscellaneous Media and Communication Workers</v>
          </cell>
          <cell r="C493">
            <v>81010</v>
          </cell>
          <cell r="D493">
            <v>2.4</v>
          </cell>
          <cell r="E493">
            <v>59650</v>
          </cell>
          <cell r="F493">
            <v>1.4</v>
          </cell>
          <cell r="G493">
            <v>49980</v>
          </cell>
        </row>
        <row r="494">
          <cell r="A494" t="str">
            <v>27-3091</v>
          </cell>
          <cell r="B494" t="str">
            <v>Interpreters and Translators</v>
          </cell>
          <cell r="C494">
            <v>52170</v>
          </cell>
          <cell r="D494">
            <v>2.9</v>
          </cell>
          <cell r="E494">
            <v>58400</v>
          </cell>
          <cell r="F494">
            <v>1.6</v>
          </cell>
          <cell r="G494">
            <v>49110</v>
          </cell>
        </row>
        <row r="495">
          <cell r="A495" t="str">
            <v>27-3092</v>
          </cell>
          <cell r="B495" t="str">
            <v>Court Reporters and Simultaneous Captioners</v>
          </cell>
          <cell r="C495">
            <v>12300</v>
          </cell>
          <cell r="D495">
            <v>3.5</v>
          </cell>
          <cell r="E495">
            <v>65240</v>
          </cell>
          <cell r="F495">
            <v>1.6</v>
          </cell>
          <cell r="G495">
            <v>60380</v>
          </cell>
        </row>
        <row r="496">
          <cell r="A496" t="str">
            <v>27-3099</v>
          </cell>
          <cell r="B496" t="str">
            <v>Media and Communication Workers, All Other</v>
          </cell>
          <cell r="C496">
            <v>16540</v>
          </cell>
          <cell r="D496">
            <v>7.8</v>
          </cell>
          <cell r="E496">
            <v>59400</v>
          </cell>
          <cell r="F496">
            <v>3</v>
          </cell>
          <cell r="G496">
            <v>49900</v>
          </cell>
        </row>
        <row r="497">
          <cell r="A497" t="str">
            <v>27-4000</v>
          </cell>
          <cell r="B497" t="str">
            <v>Media and Communication Equipment Workers</v>
          </cell>
          <cell r="C497">
            <v>194350</v>
          </cell>
          <cell r="D497">
            <v>3.3</v>
          </cell>
          <cell r="E497">
            <v>58970</v>
          </cell>
          <cell r="F497">
            <v>1.7</v>
          </cell>
          <cell r="G497">
            <v>48920</v>
          </cell>
        </row>
        <row r="498">
          <cell r="A498" t="str">
            <v>27-4010</v>
          </cell>
          <cell r="B498" t="str">
            <v>Broadcast, Sound, and Lighting Technicians</v>
          </cell>
          <cell r="C498">
            <v>90940</v>
          </cell>
          <cell r="D498">
            <v>3.2</v>
          </cell>
          <cell r="E498">
            <v>55750</v>
          </cell>
          <cell r="F498">
            <v>1.7</v>
          </cell>
          <cell r="G498">
            <v>48790</v>
          </cell>
        </row>
        <row r="499">
          <cell r="A499" t="str">
            <v>27-4011</v>
          </cell>
          <cell r="B499" t="str">
            <v>Audio and Video Technicians</v>
          </cell>
          <cell r="C499">
            <v>50590</v>
          </cell>
          <cell r="D499">
            <v>3.9</v>
          </cell>
          <cell r="E499">
            <v>55310</v>
          </cell>
          <cell r="F499">
            <v>1.9</v>
          </cell>
          <cell r="G499">
            <v>48820</v>
          </cell>
        </row>
        <row r="500">
          <cell r="A500" t="str">
            <v>27-4012</v>
          </cell>
          <cell r="B500" t="str">
            <v>Broadcast Technicians</v>
          </cell>
          <cell r="C500">
            <v>25270</v>
          </cell>
          <cell r="D500">
            <v>6.4</v>
          </cell>
          <cell r="E500">
            <v>51280</v>
          </cell>
          <cell r="F500">
            <v>3.3</v>
          </cell>
          <cell r="G500">
            <v>44740</v>
          </cell>
        </row>
        <row r="501">
          <cell r="A501" t="str">
            <v>27-4014</v>
          </cell>
          <cell r="B501" t="str">
            <v>Sound Engineering Technicians</v>
          </cell>
          <cell r="C501">
            <v>10800</v>
          </cell>
          <cell r="D501">
            <v>10</v>
          </cell>
          <cell r="E501">
            <v>67360</v>
          </cell>
          <cell r="F501">
            <v>3</v>
          </cell>
          <cell r="G501">
            <v>60500</v>
          </cell>
        </row>
        <row r="502">
          <cell r="A502" t="str">
            <v>27-4015</v>
          </cell>
          <cell r="B502" t="str">
            <v>Lighting Technicians</v>
          </cell>
          <cell r="C502">
            <v>4280</v>
          </cell>
          <cell r="D502">
            <v>13.1</v>
          </cell>
          <cell r="E502">
            <v>58020</v>
          </cell>
          <cell r="F502">
            <v>4</v>
          </cell>
          <cell r="G502">
            <v>51470</v>
          </cell>
        </row>
        <row r="503">
          <cell r="A503" t="str">
            <v>27-4020</v>
          </cell>
          <cell r="B503" t="str">
            <v>Photographers</v>
          </cell>
          <cell r="C503">
            <v>38420</v>
          </cell>
          <cell r="D503">
            <v>4.5999999999999996</v>
          </cell>
          <cell r="E503">
            <v>48210</v>
          </cell>
          <cell r="F503">
            <v>1.6</v>
          </cell>
          <cell r="G503">
            <v>38950</v>
          </cell>
        </row>
        <row r="504">
          <cell r="A504" t="str">
            <v>27-4021</v>
          </cell>
          <cell r="B504" t="str">
            <v>Photographers</v>
          </cell>
          <cell r="C504">
            <v>38420</v>
          </cell>
          <cell r="D504">
            <v>4.5999999999999996</v>
          </cell>
          <cell r="E504">
            <v>48210</v>
          </cell>
          <cell r="F504">
            <v>1.6</v>
          </cell>
          <cell r="G504">
            <v>38950</v>
          </cell>
        </row>
        <row r="505">
          <cell r="A505" t="str">
            <v>27-4030</v>
          </cell>
          <cell r="B505" t="str">
            <v>Television, Video, and Film Camera Operators and Editors</v>
          </cell>
          <cell r="C505">
            <v>48320</v>
          </cell>
          <cell r="D505">
            <v>7.1</v>
          </cell>
          <cell r="E505">
            <v>70020</v>
          </cell>
          <cell r="F505">
            <v>3.5</v>
          </cell>
          <cell r="G505">
            <v>60360</v>
          </cell>
        </row>
        <row r="506">
          <cell r="A506" t="str">
            <v>27-4031</v>
          </cell>
          <cell r="B506" t="str">
            <v>Camera Operators, Television, Video, and Film</v>
          </cell>
          <cell r="C506">
            <v>20280</v>
          </cell>
          <cell r="D506">
            <v>13.5</v>
          </cell>
          <cell r="E506">
            <v>61740</v>
          </cell>
          <cell r="F506">
            <v>2.6</v>
          </cell>
          <cell r="G506">
            <v>49230</v>
          </cell>
        </row>
        <row r="507">
          <cell r="A507" t="str">
            <v>27-4032</v>
          </cell>
          <cell r="B507" t="str">
            <v>Film and Video Editors</v>
          </cell>
          <cell r="C507">
            <v>28030</v>
          </cell>
          <cell r="D507">
            <v>8.1999999999999993</v>
          </cell>
          <cell r="E507">
            <v>76000</v>
          </cell>
          <cell r="F507">
            <v>4.4000000000000004</v>
          </cell>
          <cell r="G507">
            <v>62680</v>
          </cell>
        </row>
        <row r="508">
          <cell r="A508" t="str">
            <v>27-4090</v>
          </cell>
          <cell r="B508" t="str">
            <v>Miscellaneous Media and Communication Equipment Workers</v>
          </cell>
          <cell r="C508">
            <v>16670</v>
          </cell>
          <cell r="D508">
            <v>13.6</v>
          </cell>
          <cell r="E508">
            <v>69290</v>
          </cell>
          <cell r="F508">
            <v>3.8</v>
          </cell>
          <cell r="G508">
            <v>63250</v>
          </cell>
        </row>
        <row r="509">
          <cell r="A509" t="str">
            <v>27-4099</v>
          </cell>
          <cell r="B509" t="str">
            <v>Media and Communication Equipment Workers, All Other</v>
          </cell>
          <cell r="C509">
            <v>16670</v>
          </cell>
          <cell r="D509">
            <v>13.6</v>
          </cell>
          <cell r="E509">
            <v>69290</v>
          </cell>
          <cell r="F509">
            <v>3.8</v>
          </cell>
          <cell r="G509">
            <v>63250</v>
          </cell>
        </row>
        <row r="510">
          <cell r="A510" t="str">
            <v>29-0000</v>
          </cell>
          <cell r="B510" t="str">
            <v>Healthcare Practitioners and Technical Occupations</v>
          </cell>
          <cell r="C510">
            <v>8787730</v>
          </cell>
          <cell r="D510">
            <v>0.2</v>
          </cell>
          <cell r="E510">
            <v>91100</v>
          </cell>
          <cell r="F510">
            <v>0.3</v>
          </cell>
          <cell r="G510">
            <v>75040</v>
          </cell>
        </row>
        <row r="511">
          <cell r="A511" t="str">
            <v>29-1000</v>
          </cell>
          <cell r="B511" t="str">
            <v>Healthcare Diagnosing or Treating Practitioners</v>
          </cell>
          <cell r="C511">
            <v>5772460</v>
          </cell>
          <cell r="D511">
            <v>0.2</v>
          </cell>
          <cell r="E511">
            <v>112160</v>
          </cell>
          <cell r="F511">
            <v>0.3</v>
          </cell>
          <cell r="G511">
            <v>81270</v>
          </cell>
        </row>
        <row r="512">
          <cell r="A512" t="str">
            <v>29-1010</v>
          </cell>
          <cell r="B512" t="str">
            <v>Chiropractors</v>
          </cell>
          <cell r="C512">
            <v>35810</v>
          </cell>
          <cell r="D512">
            <v>2.5</v>
          </cell>
          <cell r="E512">
            <v>81240</v>
          </cell>
          <cell r="F512">
            <v>1.4</v>
          </cell>
          <cell r="G512">
            <v>75000</v>
          </cell>
        </row>
        <row r="513">
          <cell r="A513" t="str">
            <v>29-1011</v>
          </cell>
          <cell r="B513" t="str">
            <v>Chiropractors</v>
          </cell>
          <cell r="C513">
            <v>35810</v>
          </cell>
          <cell r="D513">
            <v>2.5</v>
          </cell>
          <cell r="E513">
            <v>81240</v>
          </cell>
          <cell r="F513">
            <v>1.4</v>
          </cell>
          <cell r="G513">
            <v>75000</v>
          </cell>
        </row>
        <row r="514">
          <cell r="A514" t="str">
            <v>29-1020</v>
          </cell>
          <cell r="B514" t="str">
            <v>Dentists</v>
          </cell>
          <cell r="C514">
            <v>124680</v>
          </cell>
          <cell r="D514">
            <v>2.6</v>
          </cell>
          <cell r="E514">
            <v>177770</v>
          </cell>
          <cell r="F514">
            <v>1.8</v>
          </cell>
          <cell r="G514">
            <v>163220</v>
          </cell>
        </row>
        <row r="515">
          <cell r="A515" t="str">
            <v>29-1021</v>
          </cell>
          <cell r="B515" t="str">
            <v>Dentists, General</v>
          </cell>
          <cell r="C515">
            <v>108680</v>
          </cell>
          <cell r="D515">
            <v>3.3</v>
          </cell>
          <cell r="E515">
            <v>167160</v>
          </cell>
          <cell r="F515">
            <v>1.8</v>
          </cell>
          <cell r="G515">
            <v>160370</v>
          </cell>
        </row>
        <row r="516">
          <cell r="A516" t="str">
            <v>29-1022</v>
          </cell>
          <cell r="B516" t="str">
            <v>Oral and Maxillofacial Surgeons</v>
          </cell>
          <cell r="C516">
            <v>5330</v>
          </cell>
          <cell r="D516">
            <v>12.3</v>
          </cell>
          <cell r="E516">
            <v>311460</v>
          </cell>
          <cell r="F516">
            <v>3.7</v>
          </cell>
          <cell r="G516" t="str">
            <v>#</v>
          </cell>
        </row>
        <row r="517">
          <cell r="A517" t="str">
            <v>29-1023</v>
          </cell>
          <cell r="B517" t="str">
            <v>Orthodontists</v>
          </cell>
          <cell r="C517">
            <v>5140</v>
          </cell>
          <cell r="D517">
            <v>11.4</v>
          </cell>
          <cell r="E517">
            <v>267280</v>
          </cell>
          <cell r="F517">
            <v>6</v>
          </cell>
          <cell r="G517" t="str">
            <v>#</v>
          </cell>
        </row>
        <row r="518">
          <cell r="A518" t="str">
            <v>29-1024</v>
          </cell>
          <cell r="B518" t="str">
            <v>Prosthodontists</v>
          </cell>
          <cell r="C518">
            <v>790</v>
          </cell>
          <cell r="D518">
            <v>30.4</v>
          </cell>
          <cell r="E518">
            <v>143730</v>
          </cell>
          <cell r="F518">
            <v>18.3</v>
          </cell>
          <cell r="G518">
            <v>100950</v>
          </cell>
        </row>
        <row r="519">
          <cell r="A519" t="str">
            <v>29-1029</v>
          </cell>
          <cell r="B519" t="str">
            <v>Dentists, All Other Specialists</v>
          </cell>
          <cell r="C519">
            <v>4750</v>
          </cell>
          <cell r="D519">
            <v>11.1</v>
          </cell>
          <cell r="E519">
            <v>179400</v>
          </cell>
          <cell r="F519">
            <v>5.6</v>
          </cell>
          <cell r="G519">
            <v>175160</v>
          </cell>
        </row>
        <row r="520">
          <cell r="A520" t="str">
            <v>29-1030</v>
          </cell>
          <cell r="B520" t="str">
            <v>Dietitians and Nutritionists</v>
          </cell>
          <cell r="C520">
            <v>66690</v>
          </cell>
          <cell r="D520">
            <v>1.6</v>
          </cell>
          <cell r="E520">
            <v>65620</v>
          </cell>
          <cell r="F520">
            <v>0.7</v>
          </cell>
          <cell r="G520">
            <v>61650</v>
          </cell>
        </row>
        <row r="521">
          <cell r="A521" t="str">
            <v>29-1031</v>
          </cell>
          <cell r="B521" t="str">
            <v>Dietitians and Nutritionists</v>
          </cell>
          <cell r="C521">
            <v>66690</v>
          </cell>
          <cell r="D521">
            <v>1.6</v>
          </cell>
          <cell r="E521">
            <v>65620</v>
          </cell>
          <cell r="F521">
            <v>0.7</v>
          </cell>
          <cell r="G521">
            <v>61650</v>
          </cell>
        </row>
        <row r="522">
          <cell r="A522" t="str">
            <v>29-1040</v>
          </cell>
          <cell r="B522" t="str">
            <v>Optometrists</v>
          </cell>
          <cell r="C522">
            <v>38720</v>
          </cell>
          <cell r="D522">
            <v>3.6</v>
          </cell>
          <cell r="E522">
            <v>125440</v>
          </cell>
          <cell r="F522">
            <v>1.2</v>
          </cell>
          <cell r="G522">
            <v>124300</v>
          </cell>
        </row>
        <row r="523">
          <cell r="A523" t="str">
            <v>29-1041</v>
          </cell>
          <cell r="B523" t="str">
            <v>Optometrists</v>
          </cell>
          <cell r="C523">
            <v>38720</v>
          </cell>
          <cell r="D523">
            <v>3.6</v>
          </cell>
          <cell r="E523">
            <v>125440</v>
          </cell>
          <cell r="F523">
            <v>1.2</v>
          </cell>
          <cell r="G523">
            <v>124300</v>
          </cell>
        </row>
        <row r="524">
          <cell r="A524" t="str">
            <v>29-1050</v>
          </cell>
          <cell r="B524" t="str">
            <v>Pharmacists</v>
          </cell>
          <cell r="C524">
            <v>312550</v>
          </cell>
          <cell r="D524">
            <v>1</v>
          </cell>
          <cell r="E524">
            <v>125690</v>
          </cell>
          <cell r="F524">
            <v>0.3</v>
          </cell>
          <cell r="G524">
            <v>128570</v>
          </cell>
        </row>
        <row r="525">
          <cell r="A525" t="str">
            <v>29-1051</v>
          </cell>
          <cell r="B525" t="str">
            <v>Pharmacists</v>
          </cell>
          <cell r="C525">
            <v>312550</v>
          </cell>
          <cell r="D525">
            <v>1</v>
          </cell>
          <cell r="E525">
            <v>125690</v>
          </cell>
          <cell r="F525">
            <v>0.3</v>
          </cell>
          <cell r="G525">
            <v>128570</v>
          </cell>
        </row>
        <row r="526">
          <cell r="A526" t="str">
            <v>29-1070</v>
          </cell>
          <cell r="B526" t="str">
            <v>Physician Assistants</v>
          </cell>
          <cell r="C526">
            <v>132940</v>
          </cell>
          <cell r="D526">
            <v>1.6</v>
          </cell>
          <cell r="E526">
            <v>119460</v>
          </cell>
          <cell r="F526">
            <v>0.6</v>
          </cell>
          <cell r="G526">
            <v>121530</v>
          </cell>
        </row>
        <row r="527">
          <cell r="A527" t="str">
            <v>29-1071</v>
          </cell>
          <cell r="B527" t="str">
            <v>Physician Assistants</v>
          </cell>
          <cell r="C527">
            <v>132940</v>
          </cell>
          <cell r="D527">
            <v>1.6</v>
          </cell>
          <cell r="E527">
            <v>119460</v>
          </cell>
          <cell r="F527">
            <v>0.6</v>
          </cell>
          <cell r="G527">
            <v>121530</v>
          </cell>
        </row>
        <row r="528">
          <cell r="A528" t="str">
            <v>29-1080</v>
          </cell>
          <cell r="B528" t="str">
            <v>Podiatrists</v>
          </cell>
          <cell r="C528">
            <v>8840</v>
          </cell>
          <cell r="D528">
            <v>6</v>
          </cell>
          <cell r="E528">
            <v>158380</v>
          </cell>
          <cell r="F528">
            <v>2.9</v>
          </cell>
          <cell r="G528">
            <v>145840</v>
          </cell>
        </row>
        <row r="529">
          <cell r="A529" t="str">
            <v>29-1081</v>
          </cell>
          <cell r="B529" t="str">
            <v>Podiatrists</v>
          </cell>
          <cell r="C529">
            <v>8840</v>
          </cell>
          <cell r="D529">
            <v>6</v>
          </cell>
          <cell r="E529">
            <v>158380</v>
          </cell>
          <cell r="F529">
            <v>2.9</v>
          </cell>
          <cell r="G529">
            <v>145840</v>
          </cell>
        </row>
        <row r="530">
          <cell r="A530" t="str">
            <v>29-1120</v>
          </cell>
          <cell r="B530" t="str">
            <v>Therapists</v>
          </cell>
          <cell r="C530">
            <v>687440</v>
          </cell>
          <cell r="D530">
            <v>0.5</v>
          </cell>
          <cell r="E530">
            <v>84080</v>
          </cell>
          <cell r="F530">
            <v>0.3</v>
          </cell>
          <cell r="G530">
            <v>78670</v>
          </cell>
        </row>
        <row r="531">
          <cell r="A531" t="str">
            <v>29-1122</v>
          </cell>
          <cell r="B531" t="str">
            <v>Occupational Therapists</v>
          </cell>
          <cell r="C531">
            <v>127830</v>
          </cell>
          <cell r="D531">
            <v>1.3</v>
          </cell>
          <cell r="E531">
            <v>89470</v>
          </cell>
          <cell r="F531">
            <v>0.8</v>
          </cell>
          <cell r="G531">
            <v>85570</v>
          </cell>
        </row>
        <row r="532">
          <cell r="A532" t="str">
            <v>29-1123</v>
          </cell>
          <cell r="B532" t="str">
            <v>Physical Therapists</v>
          </cell>
          <cell r="C532">
            <v>225350</v>
          </cell>
          <cell r="D532">
            <v>1</v>
          </cell>
          <cell r="E532">
            <v>92920</v>
          </cell>
          <cell r="F532">
            <v>0.4</v>
          </cell>
          <cell r="G532">
            <v>95620</v>
          </cell>
        </row>
        <row r="533">
          <cell r="A533" t="str">
            <v>29-1124</v>
          </cell>
          <cell r="B533" t="str">
            <v>Radiation Therapists</v>
          </cell>
          <cell r="C533">
            <v>16050</v>
          </cell>
          <cell r="D533">
            <v>3.2</v>
          </cell>
          <cell r="E533">
            <v>94000</v>
          </cell>
          <cell r="F533">
            <v>1</v>
          </cell>
          <cell r="G533">
            <v>82790</v>
          </cell>
        </row>
        <row r="534">
          <cell r="A534" t="str">
            <v>29-1125</v>
          </cell>
          <cell r="B534" t="str">
            <v>Recreational Therapists</v>
          </cell>
          <cell r="C534">
            <v>16980</v>
          </cell>
          <cell r="D534">
            <v>2.5</v>
          </cell>
          <cell r="E534">
            <v>53900</v>
          </cell>
          <cell r="F534">
            <v>0.9</v>
          </cell>
          <cell r="G534">
            <v>47940</v>
          </cell>
        </row>
        <row r="535">
          <cell r="A535" t="str">
            <v>29-1126</v>
          </cell>
          <cell r="B535" t="str">
            <v>Respiratory Therapists</v>
          </cell>
          <cell r="C535">
            <v>133410</v>
          </cell>
          <cell r="D535">
            <v>0.7</v>
          </cell>
          <cell r="E535">
            <v>68190</v>
          </cell>
          <cell r="F535">
            <v>0.2</v>
          </cell>
          <cell r="G535">
            <v>61830</v>
          </cell>
        </row>
        <row r="536">
          <cell r="A536" t="str">
            <v>29-1127</v>
          </cell>
          <cell r="B536" t="str">
            <v>Speech-Language Pathologists</v>
          </cell>
          <cell r="C536">
            <v>147470</v>
          </cell>
          <cell r="D536">
            <v>1.5</v>
          </cell>
          <cell r="E536">
            <v>85820</v>
          </cell>
          <cell r="F536">
            <v>0.5</v>
          </cell>
          <cell r="G536">
            <v>79060</v>
          </cell>
        </row>
        <row r="537">
          <cell r="A537" t="str">
            <v>29-1128</v>
          </cell>
          <cell r="B537" t="str">
            <v>Exercise Physiologists</v>
          </cell>
          <cell r="C537">
            <v>6860</v>
          </cell>
          <cell r="D537">
            <v>3.1</v>
          </cell>
          <cell r="E537">
            <v>54030</v>
          </cell>
          <cell r="F537">
            <v>1.1000000000000001</v>
          </cell>
          <cell r="G537">
            <v>47940</v>
          </cell>
        </row>
        <row r="538">
          <cell r="A538" t="str">
            <v>29-1129</v>
          </cell>
          <cell r="B538" t="str">
            <v>Therapists, All Other</v>
          </cell>
          <cell r="C538">
            <v>13490</v>
          </cell>
          <cell r="D538">
            <v>5.3</v>
          </cell>
          <cell r="E538">
            <v>65030</v>
          </cell>
          <cell r="F538">
            <v>2.1</v>
          </cell>
          <cell r="G538">
            <v>59500</v>
          </cell>
        </row>
        <row r="539">
          <cell r="A539" t="str">
            <v>29-1130</v>
          </cell>
          <cell r="B539" t="str">
            <v>Veterinarians</v>
          </cell>
          <cell r="C539">
            <v>77260</v>
          </cell>
          <cell r="D539">
            <v>1</v>
          </cell>
          <cell r="E539">
            <v>109920</v>
          </cell>
          <cell r="F539">
            <v>0.7</v>
          </cell>
          <cell r="G539">
            <v>100370</v>
          </cell>
        </row>
        <row r="540">
          <cell r="A540" t="str">
            <v>29-1131</v>
          </cell>
          <cell r="B540" t="str">
            <v>Veterinarians</v>
          </cell>
          <cell r="C540">
            <v>77260</v>
          </cell>
          <cell r="D540">
            <v>1</v>
          </cell>
          <cell r="E540">
            <v>109920</v>
          </cell>
          <cell r="F540">
            <v>0.7</v>
          </cell>
          <cell r="G540">
            <v>100370</v>
          </cell>
        </row>
        <row r="541">
          <cell r="A541" t="str">
            <v>29-1140</v>
          </cell>
          <cell r="B541" t="str">
            <v>Registered Nurses</v>
          </cell>
          <cell r="C541">
            <v>3047530</v>
          </cell>
          <cell r="D541">
            <v>0.2</v>
          </cell>
          <cell r="E541">
            <v>82750</v>
          </cell>
          <cell r="F541">
            <v>0.2</v>
          </cell>
          <cell r="G541">
            <v>77600</v>
          </cell>
        </row>
        <row r="542">
          <cell r="A542" t="str">
            <v>29-1141</v>
          </cell>
          <cell r="B542" t="str">
            <v>Registered Nurses</v>
          </cell>
          <cell r="C542">
            <v>3047530</v>
          </cell>
          <cell r="D542">
            <v>0.2</v>
          </cell>
          <cell r="E542">
            <v>82750</v>
          </cell>
          <cell r="F542">
            <v>0.2</v>
          </cell>
          <cell r="G542">
            <v>77600</v>
          </cell>
        </row>
        <row r="543">
          <cell r="A543" t="str">
            <v>29-1150</v>
          </cell>
          <cell r="B543" t="str">
            <v>Nurse Anesthetists</v>
          </cell>
          <cell r="C543">
            <v>43950</v>
          </cell>
          <cell r="D543">
            <v>4.7</v>
          </cell>
          <cell r="E543">
            <v>202470</v>
          </cell>
          <cell r="F543">
            <v>1.1000000000000001</v>
          </cell>
          <cell r="G543">
            <v>195610</v>
          </cell>
        </row>
        <row r="544">
          <cell r="A544" t="str">
            <v>29-1151</v>
          </cell>
          <cell r="B544" t="str">
            <v>Nurse Anesthetists</v>
          </cell>
          <cell r="C544">
            <v>43950</v>
          </cell>
          <cell r="D544">
            <v>4.7</v>
          </cell>
          <cell r="E544">
            <v>202470</v>
          </cell>
          <cell r="F544">
            <v>1.1000000000000001</v>
          </cell>
          <cell r="G544">
            <v>195610</v>
          </cell>
        </row>
        <row r="545">
          <cell r="A545" t="str">
            <v>29-1160</v>
          </cell>
          <cell r="B545" t="str">
            <v>Nurse Midwives</v>
          </cell>
          <cell r="C545">
            <v>7750</v>
          </cell>
          <cell r="D545">
            <v>5.7</v>
          </cell>
          <cell r="E545">
            <v>114210</v>
          </cell>
          <cell r="F545">
            <v>2</v>
          </cell>
          <cell r="G545">
            <v>112830</v>
          </cell>
        </row>
        <row r="546">
          <cell r="A546" t="str">
            <v>29-1161</v>
          </cell>
          <cell r="B546" t="str">
            <v>Nurse Midwives</v>
          </cell>
          <cell r="C546">
            <v>7750</v>
          </cell>
          <cell r="D546">
            <v>5.7</v>
          </cell>
          <cell r="E546">
            <v>114210</v>
          </cell>
          <cell r="F546">
            <v>2</v>
          </cell>
          <cell r="G546">
            <v>112830</v>
          </cell>
        </row>
        <row r="547">
          <cell r="A547" t="str">
            <v>29-1170</v>
          </cell>
          <cell r="B547" t="str">
            <v>Nurse Practitioners</v>
          </cell>
          <cell r="C547">
            <v>234690</v>
          </cell>
          <cell r="D547">
            <v>1.3</v>
          </cell>
          <cell r="E547">
            <v>118040</v>
          </cell>
          <cell r="F547">
            <v>0.4</v>
          </cell>
          <cell r="G547">
            <v>120680</v>
          </cell>
        </row>
        <row r="548">
          <cell r="A548" t="str">
            <v>29-1171</v>
          </cell>
          <cell r="B548" t="str">
            <v>Nurse Practitioners</v>
          </cell>
          <cell r="C548">
            <v>234690</v>
          </cell>
          <cell r="D548">
            <v>1.3</v>
          </cell>
          <cell r="E548">
            <v>118040</v>
          </cell>
          <cell r="F548">
            <v>0.4</v>
          </cell>
          <cell r="G548">
            <v>120680</v>
          </cell>
        </row>
        <row r="549">
          <cell r="A549" t="str">
            <v>29-1180</v>
          </cell>
          <cell r="B549" t="str">
            <v>Audiologists</v>
          </cell>
          <cell r="C549">
            <v>13240</v>
          </cell>
          <cell r="D549">
            <v>4.2</v>
          </cell>
          <cell r="E549">
            <v>86050</v>
          </cell>
          <cell r="F549">
            <v>2.1</v>
          </cell>
          <cell r="G549">
            <v>78950</v>
          </cell>
        </row>
        <row r="550">
          <cell r="A550" t="str">
            <v>29-1181</v>
          </cell>
          <cell r="B550" t="str">
            <v>Audiologists</v>
          </cell>
          <cell r="C550">
            <v>13240</v>
          </cell>
          <cell r="D550">
            <v>4.2</v>
          </cell>
          <cell r="E550">
            <v>86050</v>
          </cell>
          <cell r="F550">
            <v>2.1</v>
          </cell>
          <cell r="G550">
            <v>78950</v>
          </cell>
        </row>
        <row r="551">
          <cell r="A551" t="str">
            <v>29-1210</v>
          </cell>
          <cell r="B551" t="str">
            <v>Physicians</v>
          </cell>
          <cell r="C551">
            <v>641380</v>
          </cell>
          <cell r="D551">
            <v>1</v>
          </cell>
          <cell r="E551">
            <v>252480</v>
          </cell>
          <cell r="F551">
            <v>0.6</v>
          </cell>
          <cell r="G551" t="str">
            <v>#</v>
          </cell>
        </row>
        <row r="552">
          <cell r="A552" t="str">
            <v>29-1211</v>
          </cell>
          <cell r="B552" t="str">
            <v>Anesthesiologists</v>
          </cell>
          <cell r="C552">
            <v>31130</v>
          </cell>
          <cell r="D552">
            <v>8.1</v>
          </cell>
          <cell r="E552">
            <v>331190</v>
          </cell>
          <cell r="F552">
            <v>2</v>
          </cell>
          <cell r="G552" t="str">
            <v>#</v>
          </cell>
        </row>
        <row r="553">
          <cell r="A553" t="str">
            <v>29-1212</v>
          </cell>
          <cell r="B553" t="str">
            <v>Cardiologists</v>
          </cell>
          <cell r="C553">
            <v>18610</v>
          </cell>
          <cell r="D553">
            <v>12.7</v>
          </cell>
          <cell r="E553">
            <v>353970</v>
          </cell>
          <cell r="F553">
            <v>1.5</v>
          </cell>
          <cell r="G553" t="str">
            <v>#</v>
          </cell>
        </row>
        <row r="554">
          <cell r="A554" t="str">
            <v>29-1213</v>
          </cell>
          <cell r="B554" t="str">
            <v>Dermatologists</v>
          </cell>
          <cell r="C554">
            <v>9230</v>
          </cell>
          <cell r="D554">
            <v>13.1</v>
          </cell>
          <cell r="E554">
            <v>302740</v>
          </cell>
          <cell r="F554">
            <v>4.3</v>
          </cell>
          <cell r="G554" t="str">
            <v>#</v>
          </cell>
        </row>
        <row r="555">
          <cell r="A555" t="str">
            <v>29-1214</v>
          </cell>
          <cell r="B555" t="str">
            <v>Emergency Medicine Physicians</v>
          </cell>
          <cell r="C555">
            <v>36180</v>
          </cell>
          <cell r="D555">
            <v>8.9</v>
          </cell>
          <cell r="E555">
            <v>310640</v>
          </cell>
          <cell r="F555">
            <v>2.2000000000000002</v>
          </cell>
          <cell r="G555" t="str">
            <v>#</v>
          </cell>
        </row>
        <row r="556">
          <cell r="A556" t="str">
            <v>29-1215</v>
          </cell>
          <cell r="B556" t="str">
            <v>Family Medicine Physicians</v>
          </cell>
          <cell r="C556">
            <v>102930</v>
          </cell>
          <cell r="D556">
            <v>3.3</v>
          </cell>
          <cell r="E556">
            <v>235930</v>
          </cell>
          <cell r="F556">
            <v>1.7</v>
          </cell>
          <cell r="G556" t="str">
            <v>#</v>
          </cell>
        </row>
        <row r="557">
          <cell r="A557" t="str">
            <v>29-1216</v>
          </cell>
          <cell r="B557" t="str">
            <v>General Internal Medicine Physicians</v>
          </cell>
          <cell r="C557">
            <v>58260</v>
          </cell>
          <cell r="D557">
            <v>3.4</v>
          </cell>
          <cell r="E557">
            <v>242190</v>
          </cell>
          <cell r="F557">
            <v>1.8</v>
          </cell>
          <cell r="G557" t="str">
            <v>#</v>
          </cell>
        </row>
        <row r="558">
          <cell r="A558" t="str">
            <v>29-1217</v>
          </cell>
          <cell r="B558" t="str">
            <v>Neurologists</v>
          </cell>
          <cell r="C558">
            <v>7120</v>
          </cell>
          <cell r="D558">
            <v>7.8</v>
          </cell>
          <cell r="E558">
            <v>267660</v>
          </cell>
          <cell r="F558">
            <v>2.4</v>
          </cell>
          <cell r="G558" t="str">
            <v>#</v>
          </cell>
        </row>
        <row r="559">
          <cell r="A559" t="str">
            <v>29-1218</v>
          </cell>
          <cell r="B559" t="str">
            <v>Obstetricians and Gynecologists</v>
          </cell>
          <cell r="C559">
            <v>21570</v>
          </cell>
          <cell r="D559">
            <v>10.1</v>
          </cell>
          <cell r="E559">
            <v>296210</v>
          </cell>
          <cell r="F559">
            <v>2.2000000000000002</v>
          </cell>
          <cell r="G559" t="str">
            <v>#</v>
          </cell>
        </row>
        <row r="560">
          <cell r="A560" t="str">
            <v>29-1221</v>
          </cell>
          <cell r="B560" t="str">
            <v>Pediatricians, General</v>
          </cell>
          <cell r="C560">
            <v>33620</v>
          </cell>
          <cell r="D560">
            <v>7.1</v>
          </cell>
          <cell r="E560">
            <v>198420</v>
          </cell>
          <cell r="F560">
            <v>3.5</v>
          </cell>
          <cell r="G560">
            <v>170480</v>
          </cell>
        </row>
        <row r="561">
          <cell r="A561" t="str">
            <v>29-1222</v>
          </cell>
          <cell r="B561" t="str">
            <v>Physicians, Pathologists</v>
          </cell>
          <cell r="C561">
            <v>11010</v>
          </cell>
          <cell r="D561">
            <v>9.1999999999999993</v>
          </cell>
          <cell r="E561">
            <v>267180</v>
          </cell>
          <cell r="F561">
            <v>3.2</v>
          </cell>
          <cell r="G561" t="str">
            <v>#</v>
          </cell>
        </row>
        <row r="562">
          <cell r="A562" t="str">
            <v>29-1223</v>
          </cell>
          <cell r="B562" t="str">
            <v>Psychiatrists</v>
          </cell>
          <cell r="C562">
            <v>25520</v>
          </cell>
          <cell r="D562">
            <v>3.5</v>
          </cell>
          <cell r="E562">
            <v>249760</v>
          </cell>
          <cell r="F562">
            <v>2.1</v>
          </cell>
          <cell r="G562" t="str">
            <v>#</v>
          </cell>
        </row>
        <row r="563">
          <cell r="A563" t="str">
            <v>29-1224</v>
          </cell>
          <cell r="B563" t="str">
            <v>Radiologists</v>
          </cell>
          <cell r="C563">
            <v>29530</v>
          </cell>
          <cell r="D563">
            <v>9.1999999999999993</v>
          </cell>
          <cell r="E563">
            <v>301720</v>
          </cell>
          <cell r="F563">
            <v>2.9</v>
          </cell>
          <cell r="G563" t="str">
            <v>#</v>
          </cell>
        </row>
        <row r="564">
          <cell r="A564" t="str">
            <v>29-1229</v>
          </cell>
          <cell r="B564" t="str">
            <v>Physicians, All Other</v>
          </cell>
          <cell r="C564">
            <v>256670</v>
          </cell>
          <cell r="D564">
            <v>1.6</v>
          </cell>
          <cell r="E564">
            <v>231500</v>
          </cell>
          <cell r="F564">
            <v>0.7</v>
          </cell>
          <cell r="G564" t="str">
            <v>#</v>
          </cell>
        </row>
        <row r="565">
          <cell r="A565" t="str">
            <v>29-1240</v>
          </cell>
          <cell r="B565" t="str">
            <v>Surgeons</v>
          </cell>
          <cell r="C565">
            <v>58280</v>
          </cell>
          <cell r="D565">
            <v>4.8</v>
          </cell>
          <cell r="E565">
            <v>294520</v>
          </cell>
          <cell r="F565">
            <v>2.7</v>
          </cell>
          <cell r="G565" t="str">
            <v>#</v>
          </cell>
        </row>
        <row r="566">
          <cell r="A566" t="str">
            <v>29-1241</v>
          </cell>
          <cell r="B566" t="str">
            <v>Ophthalmologists, Except Pediatric</v>
          </cell>
          <cell r="C566">
            <v>11610</v>
          </cell>
          <cell r="D566">
            <v>20.399999999999999</v>
          </cell>
          <cell r="E566">
            <v>270090</v>
          </cell>
          <cell r="F566">
            <v>10.5</v>
          </cell>
          <cell r="G566" t="str">
            <v>#</v>
          </cell>
        </row>
        <row r="567">
          <cell r="A567" t="str">
            <v>29-1242</v>
          </cell>
          <cell r="B567" t="str">
            <v>Orthopedic Surgeons, Except Pediatric</v>
          </cell>
          <cell r="C567">
            <v>16260</v>
          </cell>
          <cell r="D567">
            <v>7</v>
          </cell>
          <cell r="E567">
            <v>306220</v>
          </cell>
          <cell r="F567">
            <v>3.6</v>
          </cell>
          <cell r="G567" t="str">
            <v>#</v>
          </cell>
        </row>
        <row r="568">
          <cell r="A568" t="str">
            <v>29-1243</v>
          </cell>
          <cell r="B568" t="str">
            <v>Pediatric Surgeons</v>
          </cell>
          <cell r="C568">
            <v>820</v>
          </cell>
          <cell r="D568">
            <v>10.1</v>
          </cell>
          <cell r="E568">
            <v>290310</v>
          </cell>
          <cell r="F568">
            <v>1.7</v>
          </cell>
          <cell r="G568" t="str">
            <v>#</v>
          </cell>
        </row>
        <row r="569">
          <cell r="A569" t="str">
            <v>29-1249</v>
          </cell>
          <cell r="B569" t="str">
            <v>Surgeons, All Other</v>
          </cell>
          <cell r="C569">
            <v>29590</v>
          </cell>
          <cell r="D569">
            <v>5.2</v>
          </cell>
          <cell r="E569">
            <v>297800</v>
          </cell>
          <cell r="F569">
            <v>2.6</v>
          </cell>
          <cell r="G569" t="str">
            <v>#</v>
          </cell>
        </row>
        <row r="570">
          <cell r="A570" t="str">
            <v>29-1290</v>
          </cell>
          <cell r="B570" t="str">
            <v>Miscellaneous Healthcare Diagnosing or Treating Practitioners</v>
          </cell>
          <cell r="C570">
            <v>240690</v>
          </cell>
          <cell r="D570">
            <v>1.9</v>
          </cell>
          <cell r="E570">
            <v>84550</v>
          </cell>
          <cell r="F570">
            <v>0.7</v>
          </cell>
          <cell r="G570">
            <v>77900</v>
          </cell>
        </row>
        <row r="571">
          <cell r="A571" t="str">
            <v>29-1291</v>
          </cell>
          <cell r="B571" t="str">
            <v>Acupuncturists</v>
          </cell>
          <cell r="C571">
            <v>7250</v>
          </cell>
          <cell r="D571">
            <v>12.7</v>
          </cell>
          <cell r="E571">
            <v>71770</v>
          </cell>
          <cell r="F571">
            <v>6</v>
          </cell>
          <cell r="G571">
            <v>60570</v>
          </cell>
        </row>
        <row r="572">
          <cell r="A572" t="str">
            <v>29-1292</v>
          </cell>
          <cell r="B572" t="str">
            <v>Dental Hygienists</v>
          </cell>
          <cell r="C572">
            <v>207190</v>
          </cell>
          <cell r="D572">
            <v>2.1</v>
          </cell>
          <cell r="E572">
            <v>81360</v>
          </cell>
          <cell r="F572">
            <v>0.6</v>
          </cell>
          <cell r="G572">
            <v>77810</v>
          </cell>
        </row>
        <row r="573">
          <cell r="A573" t="str">
            <v>29-1299</v>
          </cell>
          <cell r="B573" t="str">
            <v>Healthcare Diagnosing or Treating Practitioners, All Other</v>
          </cell>
          <cell r="C573">
            <v>26250</v>
          </cell>
          <cell r="D573">
            <v>2.6</v>
          </cell>
          <cell r="E573">
            <v>113230</v>
          </cell>
          <cell r="F573">
            <v>1.8</v>
          </cell>
          <cell r="G573">
            <v>100300</v>
          </cell>
        </row>
        <row r="574">
          <cell r="A574" t="str">
            <v>29-2000</v>
          </cell>
          <cell r="B574" t="str">
            <v>Health Technologists and Technicians</v>
          </cell>
          <cell r="C574">
            <v>2887210</v>
          </cell>
          <cell r="D574">
            <v>0.3</v>
          </cell>
          <cell r="E574">
            <v>50300</v>
          </cell>
          <cell r="F574">
            <v>0.2</v>
          </cell>
          <cell r="G574">
            <v>46910</v>
          </cell>
        </row>
        <row r="575">
          <cell r="A575" t="str">
            <v>29-2010</v>
          </cell>
          <cell r="B575" t="str">
            <v>Clinical Laboratory Technologists and Technicians</v>
          </cell>
          <cell r="C575">
            <v>318780</v>
          </cell>
          <cell r="D575">
            <v>0.8</v>
          </cell>
          <cell r="E575">
            <v>56910</v>
          </cell>
          <cell r="F575">
            <v>0.3</v>
          </cell>
          <cell r="G575">
            <v>57800</v>
          </cell>
        </row>
        <row r="576">
          <cell r="A576" t="str">
            <v>29-2010</v>
          </cell>
          <cell r="B576" t="str">
            <v>Clinical Laboratory Technologists and Technicians</v>
          </cell>
          <cell r="C576">
            <v>318780</v>
          </cell>
          <cell r="D576">
            <v>0.8</v>
          </cell>
          <cell r="E576">
            <v>56910</v>
          </cell>
          <cell r="F576">
            <v>0.3</v>
          </cell>
          <cell r="G576">
            <v>57800</v>
          </cell>
        </row>
        <row r="577">
          <cell r="A577" t="str">
            <v>29-2030</v>
          </cell>
          <cell r="B577" t="str">
            <v>Diagnostic Related Technologists and Technicians</v>
          </cell>
          <cell r="C577">
            <v>408390</v>
          </cell>
          <cell r="D577">
            <v>0.8</v>
          </cell>
          <cell r="E577">
            <v>70780</v>
          </cell>
          <cell r="F577">
            <v>0.3</v>
          </cell>
          <cell r="G577">
            <v>67100</v>
          </cell>
        </row>
        <row r="578">
          <cell r="A578" t="str">
            <v>29-2031</v>
          </cell>
          <cell r="B578" t="str">
            <v>Cardiovascular Technologists and Technicians</v>
          </cell>
          <cell r="C578">
            <v>55760</v>
          </cell>
          <cell r="D578">
            <v>2.1</v>
          </cell>
          <cell r="E578">
            <v>62020</v>
          </cell>
          <cell r="F578">
            <v>0.4</v>
          </cell>
          <cell r="G578">
            <v>60570</v>
          </cell>
        </row>
        <row r="579">
          <cell r="A579" t="str">
            <v>29-2032</v>
          </cell>
          <cell r="B579" t="str">
            <v>Diagnostic Medical Sonographers</v>
          </cell>
          <cell r="C579">
            <v>78640</v>
          </cell>
          <cell r="D579">
            <v>1.7</v>
          </cell>
          <cell r="E579">
            <v>80680</v>
          </cell>
          <cell r="F579">
            <v>0.4</v>
          </cell>
          <cell r="G579">
            <v>77740</v>
          </cell>
        </row>
        <row r="580">
          <cell r="A580" t="str">
            <v>29-2033</v>
          </cell>
          <cell r="B580" t="str">
            <v>Nuclear Medicine Technologists</v>
          </cell>
          <cell r="C580">
            <v>17140</v>
          </cell>
          <cell r="D580">
            <v>1.8</v>
          </cell>
          <cell r="E580">
            <v>84850</v>
          </cell>
          <cell r="F580">
            <v>0.9</v>
          </cell>
          <cell r="G580">
            <v>78760</v>
          </cell>
        </row>
        <row r="581">
          <cell r="A581" t="str">
            <v>29-2034</v>
          </cell>
          <cell r="B581" t="str">
            <v>Radiologic Technologists and Technicians</v>
          </cell>
          <cell r="C581">
            <v>216380</v>
          </cell>
          <cell r="D581">
            <v>1.1000000000000001</v>
          </cell>
          <cell r="E581">
            <v>66490</v>
          </cell>
          <cell r="F581">
            <v>0.4</v>
          </cell>
          <cell r="G581">
            <v>61370</v>
          </cell>
        </row>
        <row r="582">
          <cell r="A582" t="str">
            <v>29-2035</v>
          </cell>
          <cell r="B582" t="str">
            <v>Magnetic Resonance Imaging Technologists</v>
          </cell>
          <cell r="C582">
            <v>38070</v>
          </cell>
          <cell r="D582">
            <v>1.8</v>
          </cell>
          <cell r="E582">
            <v>77820</v>
          </cell>
          <cell r="F582">
            <v>0.4</v>
          </cell>
          <cell r="G582">
            <v>77360</v>
          </cell>
        </row>
        <row r="583">
          <cell r="A583" t="str">
            <v>29-2036</v>
          </cell>
          <cell r="B583" t="str">
            <v>Medical Dosimetrists</v>
          </cell>
          <cell r="C583">
            <v>2400</v>
          </cell>
          <cell r="D583">
            <v>4.5999999999999996</v>
          </cell>
          <cell r="E583">
            <v>124750</v>
          </cell>
          <cell r="F583">
            <v>0.9</v>
          </cell>
          <cell r="G583">
            <v>127270</v>
          </cell>
        </row>
        <row r="584">
          <cell r="A584" t="str">
            <v>29-2040</v>
          </cell>
          <cell r="B584" t="str">
            <v>Emergency Medical Technicians and Paramedics</v>
          </cell>
          <cell r="C584">
            <v>257910</v>
          </cell>
          <cell r="D584">
            <v>1.1000000000000001</v>
          </cell>
          <cell r="E584">
            <v>41480</v>
          </cell>
          <cell r="F584">
            <v>0.3</v>
          </cell>
          <cell r="G584">
            <v>36930</v>
          </cell>
        </row>
        <row r="585">
          <cell r="A585" t="str">
            <v>29-2042</v>
          </cell>
          <cell r="B585" t="str">
            <v>Emergency Medical Technicians</v>
          </cell>
          <cell r="C585">
            <v>161400</v>
          </cell>
          <cell r="D585">
            <v>1.1000000000000001</v>
          </cell>
          <cell r="E585">
            <v>36690</v>
          </cell>
          <cell r="F585">
            <v>0.4</v>
          </cell>
          <cell r="G585">
            <v>35470</v>
          </cell>
        </row>
        <row r="586">
          <cell r="A586" t="str">
            <v>29-2043</v>
          </cell>
          <cell r="B586" t="str">
            <v>Paramedics</v>
          </cell>
          <cell r="C586">
            <v>96510</v>
          </cell>
          <cell r="D586">
            <v>1.7</v>
          </cell>
          <cell r="E586">
            <v>49500</v>
          </cell>
          <cell r="F586">
            <v>0.5</v>
          </cell>
          <cell r="G586">
            <v>46770</v>
          </cell>
        </row>
        <row r="587">
          <cell r="A587" t="str">
            <v>29-2050</v>
          </cell>
          <cell r="B587" t="str">
            <v>Health Practitioner Support Technologists and Technicians</v>
          </cell>
          <cell r="C587">
            <v>845080</v>
          </cell>
          <cell r="D587">
            <v>0.6</v>
          </cell>
          <cell r="E587">
            <v>40170</v>
          </cell>
          <cell r="F587">
            <v>0.2</v>
          </cell>
          <cell r="G587">
            <v>36980</v>
          </cell>
        </row>
        <row r="588">
          <cell r="A588" t="str">
            <v>29-2051</v>
          </cell>
          <cell r="B588" t="str">
            <v>Dietetic Technicians</v>
          </cell>
          <cell r="C588">
            <v>21610</v>
          </cell>
          <cell r="D588">
            <v>2.7</v>
          </cell>
          <cell r="E588">
            <v>34160</v>
          </cell>
          <cell r="F588">
            <v>0.8</v>
          </cell>
          <cell r="G588">
            <v>29520</v>
          </cell>
        </row>
        <row r="589">
          <cell r="A589" t="str">
            <v>29-2052</v>
          </cell>
          <cell r="B589" t="str">
            <v>Pharmacy Technicians</v>
          </cell>
          <cell r="C589">
            <v>436630</v>
          </cell>
          <cell r="D589">
            <v>0.7</v>
          </cell>
          <cell r="E589">
            <v>37970</v>
          </cell>
          <cell r="F589">
            <v>0.3</v>
          </cell>
          <cell r="G589">
            <v>36740</v>
          </cell>
        </row>
        <row r="590">
          <cell r="A590" t="str">
            <v>29-2053</v>
          </cell>
          <cell r="B590" t="str">
            <v>Psychiatric Technicians</v>
          </cell>
          <cell r="C590">
            <v>93410</v>
          </cell>
          <cell r="D590">
            <v>2.4</v>
          </cell>
          <cell r="E590">
            <v>38000</v>
          </cell>
          <cell r="F590">
            <v>0.8</v>
          </cell>
          <cell r="G590">
            <v>36570</v>
          </cell>
        </row>
        <row r="591">
          <cell r="A591" t="str">
            <v>29-2055</v>
          </cell>
          <cell r="B591" t="str">
            <v>Surgical Technologists</v>
          </cell>
          <cell r="C591">
            <v>109060</v>
          </cell>
          <cell r="D591">
            <v>1.1000000000000001</v>
          </cell>
          <cell r="E591">
            <v>53590</v>
          </cell>
          <cell r="F591">
            <v>0.3</v>
          </cell>
          <cell r="G591">
            <v>48530</v>
          </cell>
        </row>
        <row r="592">
          <cell r="A592" t="str">
            <v>29-2056</v>
          </cell>
          <cell r="B592" t="str">
            <v>Veterinary Technologists and Technicians</v>
          </cell>
          <cell r="C592">
            <v>118670</v>
          </cell>
          <cell r="D592">
            <v>1.4</v>
          </cell>
          <cell r="E592">
            <v>38250</v>
          </cell>
          <cell r="F592">
            <v>0.4</v>
          </cell>
          <cell r="G592">
            <v>36850</v>
          </cell>
        </row>
        <row r="593">
          <cell r="A593" t="str">
            <v>29-2057</v>
          </cell>
          <cell r="B593" t="str">
            <v>Ophthalmic Medical Technicians</v>
          </cell>
          <cell r="C593">
            <v>65700</v>
          </cell>
          <cell r="D593">
            <v>4.0999999999999996</v>
          </cell>
          <cell r="E593">
            <v>41120</v>
          </cell>
          <cell r="F593">
            <v>1.4</v>
          </cell>
          <cell r="G593">
            <v>37180</v>
          </cell>
        </row>
        <row r="594">
          <cell r="A594" t="str">
            <v>29-2060</v>
          </cell>
          <cell r="B594" t="str">
            <v>Licensed Practical and Licensed Vocational Nurses</v>
          </cell>
          <cell r="C594">
            <v>641240</v>
          </cell>
          <cell r="D594">
            <v>0.7</v>
          </cell>
          <cell r="E594">
            <v>51850</v>
          </cell>
          <cell r="F594">
            <v>0.4</v>
          </cell>
          <cell r="G594">
            <v>48070</v>
          </cell>
        </row>
        <row r="595">
          <cell r="A595" t="str">
            <v>29-2061</v>
          </cell>
          <cell r="B595" t="str">
            <v>Licensed Practical and Licensed Vocational Nurses</v>
          </cell>
          <cell r="C595">
            <v>641240</v>
          </cell>
          <cell r="D595">
            <v>0.7</v>
          </cell>
          <cell r="E595">
            <v>51850</v>
          </cell>
          <cell r="F595">
            <v>0.4</v>
          </cell>
          <cell r="G595">
            <v>48070</v>
          </cell>
        </row>
        <row r="596">
          <cell r="A596" t="str">
            <v>29-2070</v>
          </cell>
          <cell r="B596" t="str">
            <v>Medical Records Specialists</v>
          </cell>
          <cell r="C596">
            <v>180570</v>
          </cell>
          <cell r="D596">
            <v>1.5</v>
          </cell>
          <cell r="E596">
            <v>48310</v>
          </cell>
          <cell r="F596">
            <v>0.4</v>
          </cell>
          <cell r="G596">
            <v>46660</v>
          </cell>
        </row>
        <row r="597">
          <cell r="A597" t="str">
            <v>29-2072</v>
          </cell>
          <cell r="B597" t="str">
            <v>Medical Records Specialists</v>
          </cell>
          <cell r="C597">
            <v>180570</v>
          </cell>
          <cell r="D597">
            <v>1.5</v>
          </cell>
          <cell r="E597">
            <v>48310</v>
          </cell>
          <cell r="F597">
            <v>0.4</v>
          </cell>
          <cell r="G597">
            <v>46660</v>
          </cell>
        </row>
        <row r="598">
          <cell r="A598" t="str">
            <v>29-2080</v>
          </cell>
          <cell r="B598" t="str">
            <v>Opticians, Dispensing</v>
          </cell>
          <cell r="C598">
            <v>73270</v>
          </cell>
          <cell r="D598">
            <v>1.9</v>
          </cell>
          <cell r="E598">
            <v>43060</v>
          </cell>
          <cell r="F598">
            <v>1.2</v>
          </cell>
          <cell r="G598">
            <v>37570</v>
          </cell>
        </row>
        <row r="599">
          <cell r="A599" t="str">
            <v>29-2081</v>
          </cell>
          <cell r="B599" t="str">
            <v>Opticians, Dispensing</v>
          </cell>
          <cell r="C599">
            <v>73270</v>
          </cell>
          <cell r="D599">
            <v>1.9</v>
          </cell>
          <cell r="E599">
            <v>43060</v>
          </cell>
          <cell r="F599">
            <v>1.2</v>
          </cell>
          <cell r="G599">
            <v>37570</v>
          </cell>
        </row>
        <row r="600">
          <cell r="A600" t="str">
            <v>29-2090</v>
          </cell>
          <cell r="B600" t="str">
            <v>Miscellaneous Health Technologists and Technicians</v>
          </cell>
          <cell r="C600">
            <v>161980</v>
          </cell>
          <cell r="D600">
            <v>1.5</v>
          </cell>
          <cell r="E600">
            <v>51910</v>
          </cell>
          <cell r="F600">
            <v>0.6</v>
          </cell>
          <cell r="G600">
            <v>46640</v>
          </cell>
        </row>
        <row r="601">
          <cell r="A601" t="str">
            <v>29-2091</v>
          </cell>
          <cell r="B601" t="str">
            <v>Orthotists and Prosthetists</v>
          </cell>
          <cell r="C601">
            <v>10410</v>
          </cell>
          <cell r="D601">
            <v>4.5</v>
          </cell>
          <cell r="E601">
            <v>79820</v>
          </cell>
          <cell r="F601">
            <v>1.8</v>
          </cell>
          <cell r="G601">
            <v>75440</v>
          </cell>
        </row>
        <row r="602">
          <cell r="A602" t="str">
            <v>29-2092</v>
          </cell>
          <cell r="B602" t="str">
            <v>Hearing Aid Specialists</v>
          </cell>
          <cell r="C602">
            <v>10790</v>
          </cell>
          <cell r="D602">
            <v>6</v>
          </cell>
          <cell r="E602">
            <v>59960</v>
          </cell>
          <cell r="F602">
            <v>2.7</v>
          </cell>
          <cell r="G602">
            <v>59500</v>
          </cell>
        </row>
        <row r="603">
          <cell r="A603" t="str">
            <v>29-2099</v>
          </cell>
          <cell r="B603" t="str">
            <v>Health Technologists and Technicians, All Other</v>
          </cell>
          <cell r="C603">
            <v>140770</v>
          </cell>
          <cell r="D603">
            <v>1.6</v>
          </cell>
          <cell r="E603">
            <v>49230</v>
          </cell>
          <cell r="F603">
            <v>0.6</v>
          </cell>
          <cell r="G603">
            <v>45720</v>
          </cell>
        </row>
        <row r="604">
          <cell r="A604" t="str">
            <v>29-9000</v>
          </cell>
          <cell r="B604" t="str">
            <v>Other Healthcare Practitioners and Technical Occupations</v>
          </cell>
          <cell r="C604">
            <v>128060</v>
          </cell>
          <cell r="D604">
            <v>1.5</v>
          </cell>
          <cell r="E604">
            <v>61470</v>
          </cell>
          <cell r="F604">
            <v>1.2</v>
          </cell>
          <cell r="G604">
            <v>54480</v>
          </cell>
        </row>
        <row r="605">
          <cell r="A605" t="str">
            <v>29-9020</v>
          </cell>
          <cell r="B605" t="str">
            <v>Health Information Technologists and Medical Registrars</v>
          </cell>
          <cell r="C605">
            <v>37900</v>
          </cell>
          <cell r="D605">
            <v>2.1</v>
          </cell>
          <cell r="E605">
            <v>61410</v>
          </cell>
          <cell r="F605">
            <v>1.3</v>
          </cell>
          <cell r="G605">
            <v>55560</v>
          </cell>
        </row>
        <row r="606">
          <cell r="A606" t="str">
            <v>29-9021</v>
          </cell>
          <cell r="B606" t="str">
            <v>Health Information Technologists and Medical Registrars</v>
          </cell>
          <cell r="C606">
            <v>37900</v>
          </cell>
          <cell r="D606">
            <v>2.1</v>
          </cell>
          <cell r="E606">
            <v>61410</v>
          </cell>
          <cell r="F606">
            <v>1.3</v>
          </cell>
          <cell r="G606">
            <v>55560</v>
          </cell>
        </row>
        <row r="607">
          <cell r="A607" t="str">
            <v>29-9090</v>
          </cell>
          <cell r="B607" t="str">
            <v>Miscellaneous Health Practitioners and Technical Workers</v>
          </cell>
          <cell r="C607">
            <v>90160</v>
          </cell>
          <cell r="D607">
            <v>1.9</v>
          </cell>
          <cell r="E607">
            <v>61490</v>
          </cell>
          <cell r="F607">
            <v>1.7</v>
          </cell>
          <cell r="G607">
            <v>54010</v>
          </cell>
        </row>
        <row r="608">
          <cell r="A608" t="str">
            <v>29-9091</v>
          </cell>
          <cell r="B608" t="str">
            <v>Athletic Trainers</v>
          </cell>
          <cell r="C608">
            <v>26070</v>
          </cell>
          <cell r="D608">
            <v>2.5</v>
          </cell>
          <cell r="E608">
            <v>54650</v>
          </cell>
          <cell r="F608">
            <v>0.7</v>
          </cell>
          <cell r="G608">
            <v>48420</v>
          </cell>
        </row>
        <row r="609">
          <cell r="A609" t="str">
            <v>29-9092</v>
          </cell>
          <cell r="B609" t="str">
            <v>Genetic Counselors</v>
          </cell>
          <cell r="C609">
            <v>2740</v>
          </cell>
          <cell r="D609">
            <v>5.5</v>
          </cell>
          <cell r="E609">
            <v>86640</v>
          </cell>
          <cell r="F609">
            <v>1.1000000000000001</v>
          </cell>
          <cell r="G609">
            <v>80150</v>
          </cell>
        </row>
        <row r="610">
          <cell r="A610" t="str">
            <v>29-9093</v>
          </cell>
          <cell r="B610" t="str">
            <v>Surgical Assistants</v>
          </cell>
          <cell r="C610">
            <v>17250</v>
          </cell>
          <cell r="D610">
            <v>5.6</v>
          </cell>
          <cell r="E610">
            <v>59170</v>
          </cell>
          <cell r="F610">
            <v>8.1999999999999993</v>
          </cell>
          <cell r="G610">
            <v>48320</v>
          </cell>
        </row>
        <row r="611">
          <cell r="A611" t="str">
            <v>29-9099</v>
          </cell>
          <cell r="B611" t="str">
            <v>Healthcare Practitioners and Technical Workers, All Other</v>
          </cell>
          <cell r="C611">
            <v>44100</v>
          </cell>
          <cell r="D611">
            <v>2.1</v>
          </cell>
          <cell r="E611">
            <v>64880</v>
          </cell>
          <cell r="F611">
            <v>2.1</v>
          </cell>
          <cell r="G611">
            <v>58750</v>
          </cell>
        </row>
        <row r="612">
          <cell r="A612" t="str">
            <v>31-0000</v>
          </cell>
          <cell r="B612" t="str">
            <v>Healthcare Support Occupations</v>
          </cell>
          <cell r="C612">
            <v>6603680</v>
          </cell>
          <cell r="D612">
            <v>0.2</v>
          </cell>
          <cell r="E612">
            <v>33330</v>
          </cell>
          <cell r="F612">
            <v>0.2</v>
          </cell>
          <cell r="G612">
            <v>29880</v>
          </cell>
        </row>
        <row r="613">
          <cell r="A613" t="str">
            <v>31-1100</v>
          </cell>
          <cell r="B613" t="str">
            <v>Home Health and Personal Care Aides; and Nursing Assistants, Orderlies, and Psychiatric Aides</v>
          </cell>
          <cell r="C613">
            <v>4765620</v>
          </cell>
          <cell r="D613">
            <v>0.3</v>
          </cell>
          <cell r="E613">
            <v>30440</v>
          </cell>
          <cell r="F613">
            <v>0.2</v>
          </cell>
          <cell r="G613">
            <v>29620</v>
          </cell>
        </row>
        <row r="614">
          <cell r="A614" t="str">
            <v>31-1120</v>
          </cell>
          <cell r="B614" t="str">
            <v>Home Health and Personal Care Aides</v>
          </cell>
          <cell r="C614">
            <v>3366480</v>
          </cell>
          <cell r="D614">
            <v>0.4</v>
          </cell>
          <cell r="E614">
            <v>29260</v>
          </cell>
          <cell r="F614">
            <v>0.2</v>
          </cell>
          <cell r="G614">
            <v>29430</v>
          </cell>
        </row>
        <row r="615">
          <cell r="A615" t="str">
            <v>31-1120</v>
          </cell>
          <cell r="B615" t="str">
            <v>Home Health and Personal Care Aides</v>
          </cell>
          <cell r="C615">
            <v>3366480</v>
          </cell>
          <cell r="D615">
            <v>0.4</v>
          </cell>
          <cell r="E615">
            <v>29260</v>
          </cell>
          <cell r="F615">
            <v>0.2</v>
          </cell>
          <cell r="G615">
            <v>29430</v>
          </cell>
        </row>
        <row r="616">
          <cell r="A616" t="str">
            <v>31-1130</v>
          </cell>
          <cell r="B616" t="str">
            <v>Nursing Assistants, Orderlies, and Psychiatric Aides</v>
          </cell>
          <cell r="C616">
            <v>1399130</v>
          </cell>
          <cell r="D616">
            <v>0.5</v>
          </cell>
          <cell r="E616">
            <v>33290</v>
          </cell>
          <cell r="F616">
            <v>0.2</v>
          </cell>
          <cell r="G616">
            <v>30290</v>
          </cell>
        </row>
        <row r="617">
          <cell r="A617" t="str">
            <v>31-1131</v>
          </cell>
          <cell r="B617" t="str">
            <v>Nursing Assistants</v>
          </cell>
          <cell r="C617">
            <v>1314830</v>
          </cell>
          <cell r="D617">
            <v>0.5</v>
          </cell>
          <cell r="E617">
            <v>33250</v>
          </cell>
          <cell r="F617">
            <v>0.2</v>
          </cell>
          <cell r="G617">
            <v>30310</v>
          </cell>
        </row>
        <row r="618">
          <cell r="A618" t="str">
            <v>31-1132</v>
          </cell>
          <cell r="B618" t="str">
            <v>Orderlies</v>
          </cell>
          <cell r="C618">
            <v>45160</v>
          </cell>
          <cell r="D618">
            <v>0.9</v>
          </cell>
          <cell r="E618">
            <v>33440</v>
          </cell>
          <cell r="F618">
            <v>0.2</v>
          </cell>
          <cell r="G618">
            <v>29990</v>
          </cell>
        </row>
        <row r="619">
          <cell r="A619" t="str">
            <v>31-1133</v>
          </cell>
          <cell r="B619" t="str">
            <v>Psychiatric Aides</v>
          </cell>
          <cell r="C619">
            <v>39140</v>
          </cell>
          <cell r="D619">
            <v>2.5</v>
          </cell>
          <cell r="E619">
            <v>34640</v>
          </cell>
          <cell r="F619">
            <v>0.6</v>
          </cell>
          <cell r="G619">
            <v>30260</v>
          </cell>
        </row>
        <row r="620">
          <cell r="A620" t="str">
            <v>31-2000</v>
          </cell>
          <cell r="B620" t="str">
            <v>Occupational Therapy and Physical Therapist Assistants and Aides</v>
          </cell>
          <cell r="C620">
            <v>181410</v>
          </cell>
          <cell r="D620">
            <v>1.2</v>
          </cell>
          <cell r="E620">
            <v>53900</v>
          </cell>
          <cell r="F620">
            <v>0.7</v>
          </cell>
          <cell r="G620">
            <v>57980</v>
          </cell>
        </row>
        <row r="621">
          <cell r="A621" t="str">
            <v>31-2010</v>
          </cell>
          <cell r="B621" t="str">
            <v>Occupational Therapy Assistants and Aides</v>
          </cell>
          <cell r="C621">
            <v>45350</v>
          </cell>
          <cell r="D621">
            <v>2.4</v>
          </cell>
          <cell r="E621">
            <v>61760</v>
          </cell>
          <cell r="F621">
            <v>0.7</v>
          </cell>
          <cell r="G621">
            <v>61520</v>
          </cell>
        </row>
        <row r="622">
          <cell r="A622" t="str">
            <v>31-2011</v>
          </cell>
          <cell r="B622" t="str">
            <v>Occupational Therapy Assistants</v>
          </cell>
          <cell r="C622">
            <v>41980</v>
          </cell>
          <cell r="D622">
            <v>2.6</v>
          </cell>
          <cell r="E622">
            <v>63560</v>
          </cell>
          <cell r="F622">
            <v>0.6</v>
          </cell>
          <cell r="G622">
            <v>61730</v>
          </cell>
        </row>
        <row r="623">
          <cell r="A623" t="str">
            <v>31-2012</v>
          </cell>
          <cell r="B623" t="str">
            <v>Occupational Therapy Aides</v>
          </cell>
          <cell r="C623">
            <v>3370</v>
          </cell>
          <cell r="D623">
            <v>7.8</v>
          </cell>
          <cell r="E623">
            <v>39230</v>
          </cell>
          <cell r="F623">
            <v>3.4</v>
          </cell>
          <cell r="G623">
            <v>33560</v>
          </cell>
        </row>
        <row r="624">
          <cell r="A624" t="str">
            <v>31-2020</v>
          </cell>
          <cell r="B624" t="str">
            <v>Physical Therapist Assistants and Aides</v>
          </cell>
          <cell r="C624">
            <v>136050</v>
          </cell>
          <cell r="D624">
            <v>1.4</v>
          </cell>
          <cell r="E624">
            <v>51280</v>
          </cell>
          <cell r="F624">
            <v>0.9</v>
          </cell>
          <cell r="G624">
            <v>49180</v>
          </cell>
        </row>
        <row r="625">
          <cell r="A625" t="str">
            <v>31-2021</v>
          </cell>
          <cell r="B625" t="str">
            <v>Physical Therapist Assistants</v>
          </cell>
          <cell r="C625">
            <v>93660</v>
          </cell>
          <cell r="D625">
            <v>1.7</v>
          </cell>
          <cell r="E625">
            <v>60740</v>
          </cell>
          <cell r="F625">
            <v>0.7</v>
          </cell>
          <cell r="G625">
            <v>61180</v>
          </cell>
        </row>
        <row r="626">
          <cell r="A626" t="str">
            <v>31-2022</v>
          </cell>
          <cell r="B626" t="str">
            <v>Physical Therapist Aides</v>
          </cell>
          <cell r="C626">
            <v>42390</v>
          </cell>
          <cell r="D626">
            <v>2.9</v>
          </cell>
          <cell r="E626">
            <v>30370</v>
          </cell>
          <cell r="F626">
            <v>1</v>
          </cell>
          <cell r="G626">
            <v>29200</v>
          </cell>
        </row>
        <row r="627">
          <cell r="A627" t="str">
            <v>31-9000</v>
          </cell>
          <cell r="B627" t="str">
            <v>Other Healthcare Support Occupations</v>
          </cell>
          <cell r="C627">
            <v>1656660</v>
          </cell>
          <cell r="D627">
            <v>0.5</v>
          </cell>
          <cell r="E627">
            <v>39360</v>
          </cell>
          <cell r="F627">
            <v>0.3</v>
          </cell>
          <cell r="G627">
            <v>37370</v>
          </cell>
        </row>
        <row r="628">
          <cell r="A628" t="str">
            <v>31-9010</v>
          </cell>
          <cell r="B628" t="str">
            <v>Massage Therapists</v>
          </cell>
          <cell r="C628">
            <v>81030</v>
          </cell>
          <cell r="D628">
            <v>2.6</v>
          </cell>
          <cell r="E628">
            <v>49260</v>
          </cell>
          <cell r="F628">
            <v>1.2</v>
          </cell>
          <cell r="G628">
            <v>46910</v>
          </cell>
        </row>
        <row r="629">
          <cell r="A629" t="str">
            <v>31-9011</v>
          </cell>
          <cell r="B629" t="str">
            <v>Massage Therapists</v>
          </cell>
          <cell r="C629">
            <v>81030</v>
          </cell>
          <cell r="D629">
            <v>2.6</v>
          </cell>
          <cell r="E629">
            <v>49260</v>
          </cell>
          <cell r="F629">
            <v>1.2</v>
          </cell>
          <cell r="G629">
            <v>46910</v>
          </cell>
        </row>
        <row r="630">
          <cell r="A630" t="str">
            <v>31-9090</v>
          </cell>
          <cell r="B630" t="str">
            <v>Miscellaneous Healthcare Support Occupations</v>
          </cell>
          <cell r="C630">
            <v>1575620</v>
          </cell>
          <cell r="D630">
            <v>0.5</v>
          </cell>
          <cell r="E630">
            <v>38860</v>
          </cell>
          <cell r="F630">
            <v>0.3</v>
          </cell>
          <cell r="G630">
            <v>37310</v>
          </cell>
        </row>
        <row r="631">
          <cell r="A631" t="str">
            <v>31-9091</v>
          </cell>
          <cell r="B631" t="str">
            <v>Dental Assistants</v>
          </cell>
          <cell r="C631">
            <v>347170</v>
          </cell>
          <cell r="D631">
            <v>1.2</v>
          </cell>
          <cell r="E631">
            <v>42510</v>
          </cell>
          <cell r="F631">
            <v>0.5</v>
          </cell>
          <cell r="G631">
            <v>38660</v>
          </cell>
        </row>
        <row r="632">
          <cell r="A632" t="str">
            <v>31-9092</v>
          </cell>
          <cell r="B632" t="str">
            <v>Medical Assistants</v>
          </cell>
          <cell r="C632">
            <v>727760</v>
          </cell>
          <cell r="D632">
            <v>0.8</v>
          </cell>
          <cell r="E632">
            <v>38190</v>
          </cell>
          <cell r="F632">
            <v>0.3</v>
          </cell>
          <cell r="G632">
            <v>37190</v>
          </cell>
        </row>
        <row r="633">
          <cell r="A633" t="str">
            <v>31-9093</v>
          </cell>
          <cell r="B633" t="str">
            <v>Medical Equipment Preparers</v>
          </cell>
          <cell r="C633">
            <v>61170</v>
          </cell>
          <cell r="D633">
            <v>1.1000000000000001</v>
          </cell>
          <cell r="E633">
            <v>42420</v>
          </cell>
          <cell r="F633">
            <v>0.5</v>
          </cell>
          <cell r="G633">
            <v>38220</v>
          </cell>
        </row>
        <row r="634">
          <cell r="A634" t="str">
            <v>31-9094</v>
          </cell>
          <cell r="B634" t="str">
            <v>Medical Transcriptionists</v>
          </cell>
          <cell r="C634">
            <v>55830</v>
          </cell>
          <cell r="D634">
            <v>3.7</v>
          </cell>
          <cell r="E634">
            <v>34220</v>
          </cell>
          <cell r="F634">
            <v>0.9</v>
          </cell>
          <cell r="G634">
            <v>30100</v>
          </cell>
        </row>
        <row r="635">
          <cell r="A635" t="str">
            <v>31-9095</v>
          </cell>
          <cell r="B635" t="str">
            <v>Pharmacy Aides</v>
          </cell>
          <cell r="C635">
            <v>43560</v>
          </cell>
          <cell r="D635">
            <v>3.7</v>
          </cell>
          <cell r="E635">
            <v>34560</v>
          </cell>
          <cell r="F635">
            <v>1.1000000000000001</v>
          </cell>
          <cell r="G635">
            <v>29930</v>
          </cell>
        </row>
        <row r="636">
          <cell r="A636" t="str">
            <v>31-9096</v>
          </cell>
          <cell r="B636" t="str">
            <v>Veterinary Assistants and Laboratory Animal Caretakers</v>
          </cell>
          <cell r="C636">
            <v>98970</v>
          </cell>
          <cell r="D636">
            <v>1.8</v>
          </cell>
          <cell r="E636">
            <v>31780</v>
          </cell>
          <cell r="F636">
            <v>0.4</v>
          </cell>
          <cell r="G636">
            <v>29780</v>
          </cell>
        </row>
        <row r="637">
          <cell r="A637" t="str">
            <v>31-9097</v>
          </cell>
          <cell r="B637" t="str">
            <v>Phlebotomists</v>
          </cell>
          <cell r="C637">
            <v>132750</v>
          </cell>
          <cell r="D637">
            <v>1.4</v>
          </cell>
          <cell r="E637">
            <v>38450</v>
          </cell>
          <cell r="F637">
            <v>0.3</v>
          </cell>
          <cell r="G637">
            <v>37380</v>
          </cell>
        </row>
        <row r="638">
          <cell r="A638" t="str">
            <v>31-9099</v>
          </cell>
          <cell r="B638" t="str">
            <v>Healthcare Support Workers, All Other</v>
          </cell>
          <cell r="C638">
            <v>108410</v>
          </cell>
          <cell r="D638">
            <v>1.6</v>
          </cell>
          <cell r="E638">
            <v>40690</v>
          </cell>
          <cell r="F638">
            <v>0.4</v>
          </cell>
          <cell r="G638">
            <v>37740</v>
          </cell>
        </row>
        <row r="639">
          <cell r="A639" t="str">
            <v>33-0000</v>
          </cell>
          <cell r="B639" t="str">
            <v>Protective Service Occupations</v>
          </cell>
          <cell r="C639">
            <v>3385030</v>
          </cell>
          <cell r="D639">
            <v>0.3</v>
          </cell>
          <cell r="E639">
            <v>53420</v>
          </cell>
          <cell r="F639">
            <v>0.3</v>
          </cell>
          <cell r="G639">
            <v>46590</v>
          </cell>
        </row>
        <row r="640">
          <cell r="A640" t="str">
            <v>33-1000</v>
          </cell>
          <cell r="B640" t="str">
            <v>Supervisors of Protective Service Workers</v>
          </cell>
          <cell r="C640">
            <v>342810</v>
          </cell>
          <cell r="D640">
            <v>0.5</v>
          </cell>
          <cell r="E640">
            <v>81010</v>
          </cell>
          <cell r="F640">
            <v>0.3</v>
          </cell>
          <cell r="G640">
            <v>77290</v>
          </cell>
        </row>
        <row r="641">
          <cell r="A641" t="str">
            <v>33-1010</v>
          </cell>
          <cell r="B641" t="str">
            <v>First-Line Supervisors of Law Enforcement Workers</v>
          </cell>
          <cell r="C641">
            <v>182700</v>
          </cell>
          <cell r="D641">
            <v>0.4</v>
          </cell>
          <cell r="E641">
            <v>90110</v>
          </cell>
          <cell r="F641">
            <v>0.3</v>
          </cell>
          <cell r="G641">
            <v>81430</v>
          </cell>
        </row>
        <row r="642">
          <cell r="A642" t="str">
            <v>33-1011</v>
          </cell>
          <cell r="B642" t="str">
            <v>First-Line Supervisors of Correctional Officers</v>
          </cell>
          <cell r="C642">
            <v>54470</v>
          </cell>
          <cell r="D642">
            <v>0.3</v>
          </cell>
          <cell r="E642">
            <v>69750</v>
          </cell>
          <cell r="F642">
            <v>0.2</v>
          </cell>
          <cell r="G642">
            <v>62220</v>
          </cell>
        </row>
        <row r="643">
          <cell r="A643" t="str">
            <v>33-1012</v>
          </cell>
          <cell r="B643" t="str">
            <v>First-Line Supervisors of Police and Detectives</v>
          </cell>
          <cell r="C643">
            <v>128230</v>
          </cell>
          <cell r="D643">
            <v>0.6</v>
          </cell>
          <cell r="E643">
            <v>98760</v>
          </cell>
          <cell r="F643">
            <v>0.3</v>
          </cell>
          <cell r="G643">
            <v>99330</v>
          </cell>
        </row>
        <row r="644">
          <cell r="A644" t="str">
            <v>33-1020</v>
          </cell>
          <cell r="B644" t="str">
            <v>First-Line Supervisors of Firefighting and Prevention Workers</v>
          </cell>
          <cell r="C644">
            <v>80890</v>
          </cell>
          <cell r="D644">
            <v>1.3</v>
          </cell>
          <cell r="E644">
            <v>83270</v>
          </cell>
          <cell r="F644">
            <v>0.5</v>
          </cell>
          <cell r="G644">
            <v>78230</v>
          </cell>
        </row>
        <row r="645">
          <cell r="A645" t="str">
            <v>33-1021</v>
          </cell>
          <cell r="B645" t="str">
            <v>First-Line Supervisors of Firefighting and Prevention Workers</v>
          </cell>
          <cell r="C645">
            <v>80890</v>
          </cell>
          <cell r="D645">
            <v>1.3</v>
          </cell>
          <cell r="E645">
            <v>83270</v>
          </cell>
          <cell r="F645">
            <v>0.5</v>
          </cell>
          <cell r="G645">
            <v>78230</v>
          </cell>
        </row>
        <row r="646">
          <cell r="A646" t="str">
            <v>33-1090</v>
          </cell>
          <cell r="B646" t="str">
            <v>Miscellaneous First-Line Supervisors, Protective Service Workers</v>
          </cell>
          <cell r="C646">
            <v>79230</v>
          </cell>
          <cell r="D646">
            <v>1.1000000000000001</v>
          </cell>
          <cell r="E646">
            <v>57730</v>
          </cell>
          <cell r="F646">
            <v>0.5</v>
          </cell>
          <cell r="G646">
            <v>52480</v>
          </cell>
        </row>
        <row r="647">
          <cell r="A647" t="str">
            <v>33-1091</v>
          </cell>
          <cell r="B647" t="str">
            <v>First-Line Supervisors of Security Workers</v>
          </cell>
          <cell r="C647">
            <v>55450</v>
          </cell>
          <cell r="D647">
            <v>1.4</v>
          </cell>
          <cell r="E647">
            <v>55080</v>
          </cell>
          <cell r="F647">
            <v>0.7</v>
          </cell>
          <cell r="G647">
            <v>50240</v>
          </cell>
        </row>
        <row r="648">
          <cell r="A648" t="str">
            <v>33-1099</v>
          </cell>
          <cell r="B648" t="str">
            <v>First-Line Supervisors of Protective Service Workers, All Other</v>
          </cell>
          <cell r="C648">
            <v>23780</v>
          </cell>
          <cell r="D648">
            <v>1.4</v>
          </cell>
          <cell r="E648">
            <v>63910</v>
          </cell>
          <cell r="F648">
            <v>0.6</v>
          </cell>
          <cell r="G648">
            <v>61010</v>
          </cell>
        </row>
        <row r="649">
          <cell r="A649" t="str">
            <v>33-2000</v>
          </cell>
          <cell r="B649" t="str">
            <v>Firefighting and Prevention Workers</v>
          </cell>
          <cell r="C649">
            <v>334670</v>
          </cell>
          <cell r="D649">
            <v>1.1000000000000001</v>
          </cell>
          <cell r="E649">
            <v>55910</v>
          </cell>
          <cell r="F649">
            <v>0.6</v>
          </cell>
          <cell r="G649">
            <v>50930</v>
          </cell>
        </row>
        <row r="650">
          <cell r="A650" t="str">
            <v>33-2010</v>
          </cell>
          <cell r="B650" t="str">
            <v>Firefighters</v>
          </cell>
          <cell r="C650">
            <v>317310</v>
          </cell>
          <cell r="D650">
            <v>1.2</v>
          </cell>
          <cell r="E650">
            <v>55290</v>
          </cell>
          <cell r="F650">
            <v>0.6</v>
          </cell>
          <cell r="G650">
            <v>50700</v>
          </cell>
        </row>
        <row r="651">
          <cell r="A651" t="str">
            <v>33-2011</v>
          </cell>
          <cell r="B651" t="str">
            <v>Firefighters</v>
          </cell>
          <cell r="C651">
            <v>317310</v>
          </cell>
          <cell r="D651">
            <v>1.2</v>
          </cell>
          <cell r="E651">
            <v>55290</v>
          </cell>
          <cell r="F651">
            <v>0.6</v>
          </cell>
          <cell r="G651">
            <v>50700</v>
          </cell>
        </row>
        <row r="652">
          <cell r="A652" t="str">
            <v>33-2020</v>
          </cell>
          <cell r="B652" t="str">
            <v>Fire Inspectors</v>
          </cell>
          <cell r="C652">
            <v>17370</v>
          </cell>
          <cell r="D652">
            <v>3.5</v>
          </cell>
          <cell r="E652">
            <v>67230</v>
          </cell>
          <cell r="F652">
            <v>1.4</v>
          </cell>
          <cell r="G652">
            <v>63080</v>
          </cell>
        </row>
        <row r="653">
          <cell r="A653" t="str">
            <v>33-2021</v>
          </cell>
          <cell r="B653" t="str">
            <v>Fire Inspectors and Investigators</v>
          </cell>
          <cell r="C653">
            <v>14600</v>
          </cell>
          <cell r="D653">
            <v>4.2</v>
          </cell>
          <cell r="E653">
            <v>69680</v>
          </cell>
          <cell r="F653">
            <v>1.6</v>
          </cell>
          <cell r="G653">
            <v>64600</v>
          </cell>
        </row>
        <row r="654">
          <cell r="A654" t="str">
            <v>33-2022</v>
          </cell>
          <cell r="B654" t="str">
            <v>Forest Fire Inspectors and Prevention Specialists</v>
          </cell>
          <cell r="C654">
            <v>2770</v>
          </cell>
          <cell r="D654">
            <v>2.8</v>
          </cell>
          <cell r="E654">
            <v>54340</v>
          </cell>
          <cell r="F654">
            <v>1.7</v>
          </cell>
          <cell r="G654">
            <v>42600</v>
          </cell>
        </row>
        <row r="655">
          <cell r="A655" t="str">
            <v>33-3000</v>
          </cell>
          <cell r="B655" t="str">
            <v>Law Enforcement Workers</v>
          </cell>
          <cell r="C655">
            <v>1200060</v>
          </cell>
          <cell r="D655">
            <v>0.3</v>
          </cell>
          <cell r="E655">
            <v>66370</v>
          </cell>
          <cell r="F655">
            <v>0.3</v>
          </cell>
          <cell r="G655">
            <v>61190</v>
          </cell>
        </row>
        <row r="656">
          <cell r="A656" t="str">
            <v>33-3010</v>
          </cell>
          <cell r="B656" t="str">
            <v>Bailiffs, Correctional Officers, and Jailers</v>
          </cell>
          <cell r="C656">
            <v>409020</v>
          </cell>
          <cell r="D656">
            <v>0.4</v>
          </cell>
          <cell r="E656">
            <v>53380</v>
          </cell>
          <cell r="F656">
            <v>0.3</v>
          </cell>
          <cell r="G656">
            <v>47920</v>
          </cell>
        </row>
        <row r="657">
          <cell r="A657" t="str">
            <v>33-3011</v>
          </cell>
          <cell r="B657" t="str">
            <v>Bailiffs</v>
          </cell>
          <cell r="C657">
            <v>16420</v>
          </cell>
          <cell r="D657">
            <v>1.5</v>
          </cell>
          <cell r="E657">
            <v>52340</v>
          </cell>
          <cell r="F657">
            <v>0.8</v>
          </cell>
          <cell r="G657">
            <v>48320</v>
          </cell>
        </row>
        <row r="658">
          <cell r="A658" t="str">
            <v>33-3012</v>
          </cell>
          <cell r="B658" t="str">
            <v>Correctional Officers and Jailers</v>
          </cell>
          <cell r="C658">
            <v>392600</v>
          </cell>
          <cell r="D658">
            <v>0.4</v>
          </cell>
          <cell r="E658">
            <v>53420</v>
          </cell>
          <cell r="F658">
            <v>0.3</v>
          </cell>
          <cell r="G658">
            <v>47920</v>
          </cell>
        </row>
        <row r="659">
          <cell r="A659" t="str">
            <v>33-3020</v>
          </cell>
          <cell r="B659" t="str">
            <v>Detectives and Criminal Investigators</v>
          </cell>
          <cell r="C659">
            <v>107890</v>
          </cell>
          <cell r="D659">
            <v>0.3</v>
          </cell>
          <cell r="E659">
            <v>90370</v>
          </cell>
          <cell r="F659">
            <v>0.2</v>
          </cell>
          <cell r="G659">
            <v>83640</v>
          </cell>
        </row>
        <row r="660">
          <cell r="A660" t="str">
            <v>33-3021</v>
          </cell>
          <cell r="B660" t="str">
            <v>Detectives and Criminal Investigators</v>
          </cell>
          <cell r="C660">
            <v>107890</v>
          </cell>
          <cell r="D660">
            <v>0.3</v>
          </cell>
          <cell r="E660">
            <v>90370</v>
          </cell>
          <cell r="F660">
            <v>0.2</v>
          </cell>
          <cell r="G660">
            <v>83640</v>
          </cell>
        </row>
        <row r="661">
          <cell r="A661" t="str">
            <v>33-3030</v>
          </cell>
          <cell r="B661" t="str">
            <v>Fish and Game Wardens</v>
          </cell>
          <cell r="C661">
            <v>6730</v>
          </cell>
          <cell r="D661">
            <v>0.3</v>
          </cell>
          <cell r="E661">
            <v>58190</v>
          </cell>
          <cell r="F661">
            <v>0.3</v>
          </cell>
          <cell r="G661">
            <v>60730</v>
          </cell>
        </row>
        <row r="662">
          <cell r="A662" t="str">
            <v>33-3031</v>
          </cell>
          <cell r="B662" t="str">
            <v>Fish and Game Wardens</v>
          </cell>
          <cell r="C662">
            <v>6730</v>
          </cell>
          <cell r="D662">
            <v>0.3</v>
          </cell>
          <cell r="E662">
            <v>58190</v>
          </cell>
          <cell r="F662">
            <v>0.3</v>
          </cell>
          <cell r="G662">
            <v>60730</v>
          </cell>
        </row>
        <row r="663">
          <cell r="A663" t="str">
            <v>33-3040</v>
          </cell>
          <cell r="B663" t="str">
            <v>Parking Enforcement Workers</v>
          </cell>
          <cell r="C663">
            <v>7450</v>
          </cell>
          <cell r="D663">
            <v>3.4</v>
          </cell>
          <cell r="E663">
            <v>46050</v>
          </cell>
          <cell r="F663">
            <v>0.9</v>
          </cell>
          <cell r="G663">
            <v>46590</v>
          </cell>
        </row>
        <row r="664">
          <cell r="A664" t="str">
            <v>33-3041</v>
          </cell>
          <cell r="B664" t="str">
            <v>Parking Enforcement Workers</v>
          </cell>
          <cell r="C664">
            <v>7450</v>
          </cell>
          <cell r="D664">
            <v>3.4</v>
          </cell>
          <cell r="E664">
            <v>46050</v>
          </cell>
          <cell r="F664">
            <v>0.9</v>
          </cell>
          <cell r="G664">
            <v>46590</v>
          </cell>
        </row>
        <row r="665">
          <cell r="A665" t="str">
            <v>33-3050</v>
          </cell>
          <cell r="B665" t="str">
            <v>Police Officers</v>
          </cell>
          <cell r="C665">
            <v>668970</v>
          </cell>
          <cell r="D665">
            <v>0.4</v>
          </cell>
          <cell r="E665">
            <v>70740</v>
          </cell>
          <cell r="F665">
            <v>0.3</v>
          </cell>
          <cell r="G665">
            <v>64610</v>
          </cell>
        </row>
        <row r="666">
          <cell r="A666" t="str">
            <v>33-3051</v>
          </cell>
          <cell r="B666" t="str">
            <v>Police and Sheriff's Patrol Officers</v>
          </cell>
          <cell r="C666">
            <v>665380</v>
          </cell>
          <cell r="D666">
            <v>0.4</v>
          </cell>
          <cell r="E666">
            <v>70750</v>
          </cell>
          <cell r="F666">
            <v>0.3</v>
          </cell>
          <cell r="G666">
            <v>64610</v>
          </cell>
        </row>
        <row r="667">
          <cell r="A667" t="str">
            <v>33-3052</v>
          </cell>
          <cell r="B667" t="str">
            <v>Transit and Railroad Police</v>
          </cell>
          <cell r="C667">
            <v>3590</v>
          </cell>
          <cell r="D667">
            <v>4.3</v>
          </cell>
          <cell r="E667">
            <v>69570</v>
          </cell>
          <cell r="F667">
            <v>1.6</v>
          </cell>
          <cell r="G667">
            <v>64930</v>
          </cell>
        </row>
        <row r="668">
          <cell r="A668" t="str">
            <v>33-9000</v>
          </cell>
          <cell r="B668" t="str">
            <v>Other Protective Service Workers</v>
          </cell>
          <cell r="C668">
            <v>1507480</v>
          </cell>
          <cell r="D668">
            <v>0.5</v>
          </cell>
          <cell r="E668">
            <v>36280</v>
          </cell>
          <cell r="F668">
            <v>0.4</v>
          </cell>
          <cell r="G668">
            <v>31550</v>
          </cell>
        </row>
        <row r="669">
          <cell r="A669" t="str">
            <v>33-9010</v>
          </cell>
          <cell r="B669" t="str">
            <v>Animal Control Workers</v>
          </cell>
          <cell r="C669">
            <v>11600</v>
          </cell>
          <cell r="D669">
            <v>1.7</v>
          </cell>
          <cell r="E669">
            <v>42620</v>
          </cell>
          <cell r="F669">
            <v>0.8</v>
          </cell>
          <cell r="G669">
            <v>39160</v>
          </cell>
        </row>
        <row r="670">
          <cell r="A670" t="str">
            <v>33-9011</v>
          </cell>
          <cell r="B670" t="str">
            <v>Animal Control Workers</v>
          </cell>
          <cell r="C670">
            <v>11600</v>
          </cell>
          <cell r="D670">
            <v>1.7</v>
          </cell>
          <cell r="E670">
            <v>42620</v>
          </cell>
          <cell r="F670">
            <v>0.8</v>
          </cell>
          <cell r="G670">
            <v>39160</v>
          </cell>
        </row>
        <row r="671">
          <cell r="A671" t="str">
            <v>33-9020</v>
          </cell>
          <cell r="B671" t="str">
            <v>Private Detectives and Investigators</v>
          </cell>
          <cell r="C671">
            <v>28860</v>
          </cell>
          <cell r="D671">
            <v>4</v>
          </cell>
          <cell r="E671">
            <v>60970</v>
          </cell>
          <cell r="F671">
            <v>1.5</v>
          </cell>
          <cell r="G671">
            <v>59380</v>
          </cell>
        </row>
        <row r="672">
          <cell r="A672" t="str">
            <v>33-9021</v>
          </cell>
          <cell r="B672" t="str">
            <v>Private Detectives and Investigators</v>
          </cell>
          <cell r="C672">
            <v>28860</v>
          </cell>
          <cell r="D672">
            <v>4</v>
          </cell>
          <cell r="E672">
            <v>60970</v>
          </cell>
          <cell r="F672">
            <v>1.5</v>
          </cell>
          <cell r="G672">
            <v>59380</v>
          </cell>
        </row>
        <row r="673">
          <cell r="A673" t="str">
            <v>33-9030</v>
          </cell>
          <cell r="B673" t="str">
            <v>Security Guards and Gambling Surveillance Officers</v>
          </cell>
          <cell r="C673">
            <v>1066280</v>
          </cell>
          <cell r="D673">
            <v>0.4</v>
          </cell>
          <cell r="E673">
            <v>35860</v>
          </cell>
          <cell r="F673">
            <v>0.4</v>
          </cell>
          <cell r="G673">
            <v>31470</v>
          </cell>
        </row>
        <row r="674">
          <cell r="A674" t="str">
            <v>33-9031</v>
          </cell>
          <cell r="B674" t="str">
            <v>Gambling Surveillance Officers and Gambling Investigators</v>
          </cell>
          <cell r="C674">
            <v>9190</v>
          </cell>
          <cell r="D674">
            <v>2.1</v>
          </cell>
          <cell r="E674">
            <v>38080</v>
          </cell>
          <cell r="F674">
            <v>0.7</v>
          </cell>
          <cell r="G674">
            <v>35450</v>
          </cell>
        </row>
        <row r="675">
          <cell r="A675" t="str">
            <v>33-9032</v>
          </cell>
          <cell r="B675" t="str">
            <v>Security Guards</v>
          </cell>
          <cell r="C675">
            <v>1057100</v>
          </cell>
          <cell r="D675">
            <v>0.4</v>
          </cell>
          <cell r="E675">
            <v>35830</v>
          </cell>
          <cell r="F675">
            <v>0.4</v>
          </cell>
          <cell r="G675">
            <v>31470</v>
          </cell>
        </row>
        <row r="676">
          <cell r="A676" t="str">
            <v>33-9090</v>
          </cell>
          <cell r="B676" t="str">
            <v>Miscellaneous Protective Service Workers</v>
          </cell>
          <cell r="C676">
            <v>400740</v>
          </cell>
          <cell r="D676">
            <v>1.4</v>
          </cell>
          <cell r="E676">
            <v>35450</v>
          </cell>
          <cell r="F676">
            <v>0.6</v>
          </cell>
          <cell r="G676">
            <v>31430</v>
          </cell>
        </row>
        <row r="677">
          <cell r="A677" t="str">
            <v>33-9091</v>
          </cell>
          <cell r="B677" t="str">
            <v>Crossing Guards and Flaggers</v>
          </cell>
          <cell r="C677">
            <v>82690</v>
          </cell>
          <cell r="D677">
            <v>2.9</v>
          </cell>
          <cell r="E677">
            <v>35670</v>
          </cell>
          <cell r="F677">
            <v>1</v>
          </cell>
          <cell r="G677">
            <v>31450</v>
          </cell>
        </row>
        <row r="678">
          <cell r="A678" t="str">
            <v>33-9092</v>
          </cell>
          <cell r="B678" t="str">
            <v>Lifeguards, Ski Patrol, and Other Recreational Protective Service Workers</v>
          </cell>
          <cell r="C678">
            <v>114320</v>
          </cell>
          <cell r="D678">
            <v>4</v>
          </cell>
          <cell r="E678">
            <v>27320</v>
          </cell>
          <cell r="F678">
            <v>1.3</v>
          </cell>
          <cell r="G678">
            <v>25630</v>
          </cell>
        </row>
        <row r="679">
          <cell r="A679" t="str">
            <v>33-9093</v>
          </cell>
          <cell r="B679" t="str">
            <v>Transportation Security Screeners</v>
          </cell>
          <cell r="C679">
            <v>48320</v>
          </cell>
          <cell r="D679">
            <v>0.4</v>
          </cell>
          <cell r="E679">
            <v>46380</v>
          </cell>
          <cell r="F679">
            <v>0.2</v>
          </cell>
          <cell r="G679">
            <v>45470</v>
          </cell>
        </row>
        <row r="680">
          <cell r="A680" t="str">
            <v>33-9094</v>
          </cell>
          <cell r="B680" t="str">
            <v>School Bus Monitors</v>
          </cell>
          <cell r="C680">
            <v>55310</v>
          </cell>
          <cell r="D680">
            <v>2</v>
          </cell>
          <cell r="E680">
            <v>30220</v>
          </cell>
          <cell r="F680">
            <v>0.6</v>
          </cell>
          <cell r="G680">
            <v>29100</v>
          </cell>
        </row>
        <row r="681">
          <cell r="A681" t="str">
            <v>33-9099</v>
          </cell>
          <cell r="B681" t="str">
            <v>Protective Service Workers, All Other</v>
          </cell>
          <cell r="C681">
            <v>100110</v>
          </cell>
          <cell r="D681">
            <v>2.4</v>
          </cell>
          <cell r="E681">
            <v>42160</v>
          </cell>
          <cell r="F681">
            <v>0.7</v>
          </cell>
          <cell r="G681">
            <v>38210</v>
          </cell>
        </row>
        <row r="682">
          <cell r="A682" t="str">
            <v>35-0000</v>
          </cell>
          <cell r="B682" t="str">
            <v>Food Preparation and Serving Related Occupations</v>
          </cell>
          <cell r="C682">
            <v>11201480</v>
          </cell>
          <cell r="D682">
            <v>0.2</v>
          </cell>
          <cell r="E682">
            <v>29450</v>
          </cell>
          <cell r="F682">
            <v>0.4</v>
          </cell>
          <cell r="G682">
            <v>28400</v>
          </cell>
        </row>
        <row r="683">
          <cell r="A683" t="str">
            <v>35-1000</v>
          </cell>
          <cell r="B683" t="str">
            <v>Supervisors of Food Preparation and Serving Workers</v>
          </cell>
          <cell r="C683">
            <v>1170410</v>
          </cell>
          <cell r="D683">
            <v>0.8</v>
          </cell>
          <cell r="E683">
            <v>41130</v>
          </cell>
          <cell r="F683">
            <v>0.6</v>
          </cell>
          <cell r="G683">
            <v>37130</v>
          </cell>
        </row>
        <row r="684">
          <cell r="A684" t="str">
            <v>35-1010</v>
          </cell>
          <cell r="B684" t="str">
            <v>Supervisors of Food Preparation and Serving Workers</v>
          </cell>
          <cell r="C684">
            <v>1170410</v>
          </cell>
          <cell r="D684">
            <v>0.8</v>
          </cell>
          <cell r="E684">
            <v>41130</v>
          </cell>
          <cell r="F684">
            <v>0.6</v>
          </cell>
          <cell r="G684">
            <v>37130</v>
          </cell>
        </row>
        <row r="685">
          <cell r="A685" t="str">
            <v>35-1011</v>
          </cell>
          <cell r="B685" t="str">
            <v>Chefs and Head Cooks</v>
          </cell>
          <cell r="C685">
            <v>129810</v>
          </cell>
          <cell r="D685">
            <v>2.7</v>
          </cell>
          <cell r="E685">
            <v>56920</v>
          </cell>
          <cell r="F685">
            <v>1.8</v>
          </cell>
          <cell r="G685">
            <v>50160</v>
          </cell>
        </row>
        <row r="686">
          <cell r="A686" t="str">
            <v>35-1012</v>
          </cell>
          <cell r="B686" t="str">
            <v>First-Line Supervisors of Food Preparation and Serving Workers</v>
          </cell>
          <cell r="C686">
            <v>1040600</v>
          </cell>
          <cell r="D686">
            <v>0.9</v>
          </cell>
          <cell r="E686">
            <v>39150</v>
          </cell>
          <cell r="F686">
            <v>0.6</v>
          </cell>
          <cell r="G686">
            <v>36570</v>
          </cell>
        </row>
        <row r="687">
          <cell r="A687" t="str">
            <v>35-2000</v>
          </cell>
          <cell r="B687" t="str">
            <v>Cooks and Food Preparation Workers</v>
          </cell>
          <cell r="C687">
            <v>3281610</v>
          </cell>
          <cell r="D687">
            <v>0.7</v>
          </cell>
          <cell r="E687">
            <v>29380</v>
          </cell>
          <cell r="F687">
            <v>0.4</v>
          </cell>
          <cell r="G687">
            <v>29100</v>
          </cell>
        </row>
        <row r="688">
          <cell r="A688" t="str">
            <v>35-2010</v>
          </cell>
          <cell r="B688" t="str">
            <v>Cooks</v>
          </cell>
          <cell r="C688">
            <v>2498260</v>
          </cell>
          <cell r="D688">
            <v>0.8</v>
          </cell>
          <cell r="E688">
            <v>29560</v>
          </cell>
          <cell r="F688">
            <v>0.5</v>
          </cell>
          <cell r="G688">
            <v>29120</v>
          </cell>
        </row>
        <row r="689">
          <cell r="A689" t="str">
            <v>35-2011</v>
          </cell>
          <cell r="B689" t="str">
            <v>Cooks, Fast Food</v>
          </cell>
          <cell r="C689">
            <v>768130</v>
          </cell>
          <cell r="D689">
            <v>2.2000000000000002</v>
          </cell>
          <cell r="E689">
            <v>25490</v>
          </cell>
          <cell r="F689">
            <v>0.6</v>
          </cell>
          <cell r="G689">
            <v>24180</v>
          </cell>
        </row>
        <row r="690">
          <cell r="A690" t="str">
            <v>35-2012</v>
          </cell>
          <cell r="B690" t="str">
            <v>Cooks, Institution and Cafeteria</v>
          </cell>
          <cell r="C690">
            <v>392860</v>
          </cell>
          <cell r="D690">
            <v>0.7</v>
          </cell>
          <cell r="E690">
            <v>31520</v>
          </cell>
          <cell r="F690">
            <v>0.4</v>
          </cell>
          <cell r="G690">
            <v>29910</v>
          </cell>
        </row>
        <row r="691">
          <cell r="A691" t="str">
            <v>35-2013</v>
          </cell>
          <cell r="B691" t="str">
            <v>Cooks, Private Household</v>
          </cell>
          <cell r="C691">
            <v>440</v>
          </cell>
          <cell r="D691">
            <v>25.2</v>
          </cell>
          <cell r="E691">
            <v>43260</v>
          </cell>
          <cell r="F691">
            <v>12.3</v>
          </cell>
          <cell r="G691">
            <v>42920</v>
          </cell>
        </row>
        <row r="692">
          <cell r="A692" t="str">
            <v>35-2014</v>
          </cell>
          <cell r="B692" t="str">
            <v>Cooks, Restaurant</v>
          </cell>
          <cell r="C692">
            <v>1193860</v>
          </cell>
          <cell r="D692">
            <v>1.1000000000000001</v>
          </cell>
          <cell r="E692">
            <v>31630</v>
          </cell>
          <cell r="F692">
            <v>0.6</v>
          </cell>
          <cell r="G692">
            <v>30010</v>
          </cell>
        </row>
        <row r="693">
          <cell r="A693" t="str">
            <v>35-2015</v>
          </cell>
          <cell r="B693" t="str">
            <v>Cooks, Short Order</v>
          </cell>
          <cell r="C693">
            <v>124800</v>
          </cell>
          <cell r="D693">
            <v>6.2</v>
          </cell>
          <cell r="E693">
            <v>28110</v>
          </cell>
          <cell r="F693">
            <v>1.3</v>
          </cell>
          <cell r="G693">
            <v>28560</v>
          </cell>
        </row>
        <row r="694">
          <cell r="A694" t="str">
            <v>35-2019</v>
          </cell>
          <cell r="B694" t="str">
            <v>Cooks, All Other</v>
          </cell>
          <cell r="C694">
            <v>18170</v>
          </cell>
          <cell r="D694">
            <v>9.3000000000000007</v>
          </cell>
          <cell r="E694">
            <v>33390</v>
          </cell>
          <cell r="F694">
            <v>1.6</v>
          </cell>
          <cell r="G694">
            <v>30720</v>
          </cell>
        </row>
        <row r="695">
          <cell r="A695" t="str">
            <v>35-2020</v>
          </cell>
          <cell r="B695" t="str">
            <v>Food Preparation Workers</v>
          </cell>
          <cell r="C695">
            <v>783350</v>
          </cell>
          <cell r="D695">
            <v>1.7</v>
          </cell>
          <cell r="E695">
            <v>28810</v>
          </cell>
          <cell r="F695">
            <v>0.5</v>
          </cell>
          <cell r="G695">
            <v>28780</v>
          </cell>
        </row>
        <row r="696">
          <cell r="A696" t="str">
            <v>35-2021</v>
          </cell>
          <cell r="B696" t="str">
            <v>Food Preparation Workers</v>
          </cell>
          <cell r="C696">
            <v>783350</v>
          </cell>
          <cell r="D696">
            <v>1.7</v>
          </cell>
          <cell r="E696">
            <v>28810</v>
          </cell>
          <cell r="F696">
            <v>0.5</v>
          </cell>
          <cell r="G696">
            <v>28780</v>
          </cell>
        </row>
        <row r="697">
          <cell r="A697" t="str">
            <v>35-3000</v>
          </cell>
          <cell r="B697" t="str">
            <v>Food and Beverage Serving Workers</v>
          </cell>
          <cell r="C697">
            <v>5627500</v>
          </cell>
          <cell r="D697">
            <v>0.5</v>
          </cell>
          <cell r="E697">
            <v>27520</v>
          </cell>
          <cell r="F697">
            <v>0.4</v>
          </cell>
          <cell r="G697">
            <v>26000</v>
          </cell>
        </row>
        <row r="698">
          <cell r="A698" t="str">
            <v>35-3010</v>
          </cell>
          <cell r="B698" t="str">
            <v>Bartenders</v>
          </cell>
          <cell r="C698">
            <v>485330</v>
          </cell>
          <cell r="D698">
            <v>1.4</v>
          </cell>
          <cell r="E698">
            <v>30340</v>
          </cell>
          <cell r="F698">
            <v>1</v>
          </cell>
          <cell r="G698">
            <v>26350</v>
          </cell>
        </row>
        <row r="699">
          <cell r="A699" t="str">
            <v>35-3011</v>
          </cell>
          <cell r="B699" t="str">
            <v>Bartenders</v>
          </cell>
          <cell r="C699">
            <v>485330</v>
          </cell>
          <cell r="D699">
            <v>1.4</v>
          </cell>
          <cell r="E699">
            <v>30340</v>
          </cell>
          <cell r="F699">
            <v>1</v>
          </cell>
          <cell r="G699">
            <v>26350</v>
          </cell>
        </row>
        <row r="700">
          <cell r="A700" t="str">
            <v>35-3020</v>
          </cell>
          <cell r="B700" t="str">
            <v>Fast Food and Counter Workers</v>
          </cell>
          <cell r="C700">
            <v>3095120</v>
          </cell>
          <cell r="D700">
            <v>0.9</v>
          </cell>
          <cell r="E700">
            <v>26060</v>
          </cell>
          <cell r="F700">
            <v>0.4</v>
          </cell>
          <cell r="G700">
            <v>25100</v>
          </cell>
        </row>
        <row r="701">
          <cell r="A701" t="str">
            <v>35-3023</v>
          </cell>
          <cell r="B701" t="str">
            <v>Fast Food and Counter Workers</v>
          </cell>
          <cell r="C701">
            <v>3095120</v>
          </cell>
          <cell r="D701">
            <v>0.9</v>
          </cell>
          <cell r="E701">
            <v>26060</v>
          </cell>
          <cell r="F701">
            <v>0.4</v>
          </cell>
          <cell r="G701">
            <v>25100</v>
          </cell>
        </row>
        <row r="702">
          <cell r="A702" t="str">
            <v>35-3030</v>
          </cell>
          <cell r="B702" t="str">
            <v>Waiters and Waitresses</v>
          </cell>
          <cell r="C702">
            <v>1804030</v>
          </cell>
          <cell r="D702">
            <v>0.8</v>
          </cell>
          <cell r="E702">
            <v>29010</v>
          </cell>
          <cell r="F702">
            <v>0.7</v>
          </cell>
          <cell r="G702">
            <v>26000</v>
          </cell>
        </row>
        <row r="703">
          <cell r="A703" t="str">
            <v>35-3031</v>
          </cell>
          <cell r="B703" t="str">
            <v>Waiters and Waitresses</v>
          </cell>
          <cell r="C703">
            <v>1804030</v>
          </cell>
          <cell r="D703">
            <v>0.8</v>
          </cell>
          <cell r="E703">
            <v>29010</v>
          </cell>
          <cell r="F703">
            <v>0.7</v>
          </cell>
          <cell r="G703">
            <v>26000</v>
          </cell>
        </row>
        <row r="704">
          <cell r="A704" t="str">
            <v>35-3040</v>
          </cell>
          <cell r="B704" t="str">
            <v>Food Servers, Nonrestaurant</v>
          </cell>
          <cell r="C704">
            <v>243030</v>
          </cell>
          <cell r="D704">
            <v>1.6</v>
          </cell>
          <cell r="E704">
            <v>29500</v>
          </cell>
          <cell r="F704">
            <v>0.6</v>
          </cell>
          <cell r="G704">
            <v>28730</v>
          </cell>
        </row>
        <row r="705">
          <cell r="A705" t="str">
            <v>35-3041</v>
          </cell>
          <cell r="B705" t="str">
            <v>Food Servers, Nonrestaurant</v>
          </cell>
          <cell r="C705">
            <v>243030</v>
          </cell>
          <cell r="D705">
            <v>1.6</v>
          </cell>
          <cell r="E705">
            <v>29500</v>
          </cell>
          <cell r="F705">
            <v>0.6</v>
          </cell>
          <cell r="G705">
            <v>28730</v>
          </cell>
        </row>
        <row r="706">
          <cell r="A706" t="str">
            <v>35-9000</v>
          </cell>
          <cell r="B706" t="str">
            <v>Other Food Preparation and Serving Related Workers</v>
          </cell>
          <cell r="C706">
            <v>1121960</v>
          </cell>
          <cell r="D706">
            <v>1.1000000000000001</v>
          </cell>
          <cell r="E706">
            <v>27170</v>
          </cell>
          <cell r="F706">
            <v>0.5</v>
          </cell>
          <cell r="G706">
            <v>27400</v>
          </cell>
        </row>
        <row r="707">
          <cell r="A707" t="str">
            <v>35-9010</v>
          </cell>
          <cell r="B707" t="str">
            <v>Dining Room and Cafeteria Attendants and Bartender Helpers</v>
          </cell>
          <cell r="C707">
            <v>336970</v>
          </cell>
          <cell r="D707">
            <v>2.4</v>
          </cell>
          <cell r="E707">
            <v>27690</v>
          </cell>
          <cell r="F707">
            <v>1</v>
          </cell>
          <cell r="G707">
            <v>27170</v>
          </cell>
        </row>
        <row r="708">
          <cell r="A708" t="str">
            <v>35-9011</v>
          </cell>
          <cell r="B708" t="str">
            <v>Dining Room and Cafeteria Attendants and Bartender Helpers</v>
          </cell>
          <cell r="C708">
            <v>336970</v>
          </cell>
          <cell r="D708">
            <v>2.4</v>
          </cell>
          <cell r="E708">
            <v>27690</v>
          </cell>
          <cell r="F708">
            <v>1</v>
          </cell>
          <cell r="G708">
            <v>27170</v>
          </cell>
        </row>
        <row r="709">
          <cell r="A709" t="str">
            <v>35-9020</v>
          </cell>
          <cell r="B709" t="str">
            <v>Dishwashers</v>
          </cell>
          <cell r="C709">
            <v>377040</v>
          </cell>
          <cell r="D709">
            <v>1.6</v>
          </cell>
          <cell r="E709">
            <v>27350</v>
          </cell>
          <cell r="F709">
            <v>0.5</v>
          </cell>
          <cell r="G709">
            <v>28130</v>
          </cell>
        </row>
        <row r="710">
          <cell r="A710" t="str">
            <v>35-9021</v>
          </cell>
          <cell r="B710" t="str">
            <v>Dishwashers</v>
          </cell>
          <cell r="C710">
            <v>377040</v>
          </cell>
          <cell r="D710">
            <v>1.6</v>
          </cell>
          <cell r="E710">
            <v>27350</v>
          </cell>
          <cell r="F710">
            <v>0.5</v>
          </cell>
          <cell r="G710">
            <v>28130</v>
          </cell>
        </row>
        <row r="711">
          <cell r="A711" t="str">
            <v>35-9030</v>
          </cell>
          <cell r="B711" t="str">
            <v>Hosts and Hostesses, Restaurant, Lounge, and Coffee Shop</v>
          </cell>
          <cell r="C711">
            <v>324690</v>
          </cell>
          <cell r="D711">
            <v>1.7</v>
          </cell>
          <cell r="E711">
            <v>26000</v>
          </cell>
          <cell r="F711">
            <v>0.6</v>
          </cell>
          <cell r="G711">
            <v>24600</v>
          </cell>
        </row>
        <row r="712">
          <cell r="A712" t="str">
            <v>35-9031</v>
          </cell>
          <cell r="B712" t="str">
            <v>Hosts and Hostesses, Restaurant, Lounge, and Coffee Shop</v>
          </cell>
          <cell r="C712">
            <v>324690</v>
          </cell>
          <cell r="D712">
            <v>1.7</v>
          </cell>
          <cell r="E712">
            <v>26000</v>
          </cell>
          <cell r="F712">
            <v>0.6</v>
          </cell>
          <cell r="G712">
            <v>24600</v>
          </cell>
        </row>
        <row r="713">
          <cell r="A713" t="str">
            <v>35-9090</v>
          </cell>
          <cell r="B713" t="str">
            <v>Miscellaneous Food Preparation and Serving Related Workers</v>
          </cell>
          <cell r="C713">
            <v>83240</v>
          </cell>
          <cell r="D713">
            <v>5.8</v>
          </cell>
          <cell r="E713">
            <v>28760</v>
          </cell>
          <cell r="F713">
            <v>1.3</v>
          </cell>
          <cell r="G713">
            <v>29120</v>
          </cell>
        </row>
        <row r="714">
          <cell r="A714" t="str">
            <v>35-9099</v>
          </cell>
          <cell r="B714" t="str">
            <v>Food Preparation and Serving Related Workers, All Other</v>
          </cell>
          <cell r="C714">
            <v>83240</v>
          </cell>
          <cell r="D714">
            <v>5.8</v>
          </cell>
          <cell r="E714">
            <v>28760</v>
          </cell>
          <cell r="F714">
            <v>1.3</v>
          </cell>
          <cell r="G714">
            <v>29120</v>
          </cell>
        </row>
        <row r="715">
          <cell r="A715" t="str">
            <v>37-0000</v>
          </cell>
          <cell r="B715" t="str">
            <v>Building and Grounds Cleaning and Maintenance Occupations</v>
          </cell>
          <cell r="C715">
            <v>4108810</v>
          </cell>
          <cell r="D715">
            <v>0.3</v>
          </cell>
          <cell r="E715">
            <v>33750</v>
          </cell>
          <cell r="F715">
            <v>0.2</v>
          </cell>
          <cell r="G715">
            <v>30240</v>
          </cell>
        </row>
        <row r="716">
          <cell r="A716" t="str">
            <v>37-1000</v>
          </cell>
          <cell r="B716" t="str">
            <v>Supervisors of Building and Grounds Cleaning and Maintenance Workers</v>
          </cell>
          <cell r="C716">
            <v>270020</v>
          </cell>
          <cell r="D716">
            <v>1</v>
          </cell>
          <cell r="E716">
            <v>48620</v>
          </cell>
          <cell r="F716">
            <v>0.4</v>
          </cell>
          <cell r="G716">
            <v>46640</v>
          </cell>
        </row>
        <row r="717">
          <cell r="A717" t="str">
            <v>37-1010</v>
          </cell>
          <cell r="B717" t="str">
            <v>First-Line Supervisors of Building and Grounds Cleaning and Maintenance Workers</v>
          </cell>
          <cell r="C717">
            <v>270020</v>
          </cell>
          <cell r="D717">
            <v>1</v>
          </cell>
          <cell r="E717">
            <v>48620</v>
          </cell>
          <cell r="F717">
            <v>0.4</v>
          </cell>
          <cell r="G717">
            <v>46640</v>
          </cell>
        </row>
        <row r="718">
          <cell r="A718" t="str">
            <v>37-1011</v>
          </cell>
          <cell r="B718" t="str">
            <v>First-Line Supervisors of Housekeeping and Janitorial Workers</v>
          </cell>
          <cell r="C718">
            <v>153640</v>
          </cell>
          <cell r="D718">
            <v>1.1000000000000001</v>
          </cell>
          <cell r="E718">
            <v>45100</v>
          </cell>
          <cell r="F718">
            <v>0.4</v>
          </cell>
          <cell r="G718">
            <v>39630</v>
          </cell>
        </row>
        <row r="719">
          <cell r="A719" t="str">
            <v>37-1012</v>
          </cell>
          <cell r="B719" t="str">
            <v>First-Line Supervisors of Landscaping, Lawn Service, and Groundskeeping Workers</v>
          </cell>
          <cell r="C719">
            <v>116380</v>
          </cell>
          <cell r="D719">
            <v>1.9</v>
          </cell>
          <cell r="E719">
            <v>53270</v>
          </cell>
          <cell r="F719">
            <v>0.7</v>
          </cell>
          <cell r="G719">
            <v>48800</v>
          </cell>
        </row>
        <row r="720">
          <cell r="A720" t="str">
            <v>37-2000</v>
          </cell>
          <cell r="B720" t="str">
            <v>Building Cleaning and Pest Control Workers</v>
          </cell>
          <cell r="C720">
            <v>2862840</v>
          </cell>
          <cell r="D720">
            <v>0.3</v>
          </cell>
          <cell r="E720">
            <v>31590</v>
          </cell>
          <cell r="F720">
            <v>0.3</v>
          </cell>
          <cell r="G720">
            <v>29640</v>
          </cell>
        </row>
        <row r="721">
          <cell r="A721" t="str">
            <v>37-2010</v>
          </cell>
          <cell r="B721" t="str">
            <v>Building Cleaning Workers</v>
          </cell>
          <cell r="C721">
            <v>2777470</v>
          </cell>
          <cell r="D721">
            <v>0.3</v>
          </cell>
          <cell r="E721">
            <v>31310</v>
          </cell>
          <cell r="F721">
            <v>0.3</v>
          </cell>
          <cell r="G721">
            <v>29540</v>
          </cell>
        </row>
        <row r="722">
          <cell r="A722" t="str">
            <v>37-2011</v>
          </cell>
          <cell r="B722" t="str">
            <v>Janitors and Cleaners, Except Maids and Housekeeping Cleaners</v>
          </cell>
          <cell r="C722">
            <v>2036680</v>
          </cell>
          <cell r="D722">
            <v>0.4</v>
          </cell>
          <cell r="E722">
            <v>31860</v>
          </cell>
          <cell r="F722">
            <v>0.3</v>
          </cell>
          <cell r="G722">
            <v>29760</v>
          </cell>
        </row>
        <row r="723">
          <cell r="A723" t="str">
            <v>37-2012</v>
          </cell>
          <cell r="B723" t="str">
            <v>Maids and Housekeeping Cleaners</v>
          </cell>
          <cell r="C723">
            <v>723430</v>
          </cell>
          <cell r="D723">
            <v>1.2</v>
          </cell>
          <cell r="E723">
            <v>29580</v>
          </cell>
          <cell r="F723">
            <v>0.3</v>
          </cell>
          <cell r="G723">
            <v>28780</v>
          </cell>
        </row>
        <row r="724">
          <cell r="A724" t="str">
            <v>37-2019</v>
          </cell>
          <cell r="B724" t="str">
            <v>Building Cleaning Workers, All Other</v>
          </cell>
          <cell r="C724">
            <v>17350</v>
          </cell>
          <cell r="D724">
            <v>7.2</v>
          </cell>
          <cell r="E724">
            <v>38530</v>
          </cell>
          <cell r="F724">
            <v>3.1</v>
          </cell>
          <cell r="G724">
            <v>34350</v>
          </cell>
        </row>
        <row r="725">
          <cell r="A725" t="str">
            <v>37-2020</v>
          </cell>
          <cell r="B725" t="str">
            <v>Pest Control Workers</v>
          </cell>
          <cell r="C725">
            <v>85370</v>
          </cell>
          <cell r="D725">
            <v>1</v>
          </cell>
          <cell r="E725">
            <v>40640</v>
          </cell>
          <cell r="F725">
            <v>0.8</v>
          </cell>
          <cell r="G725">
            <v>37540</v>
          </cell>
        </row>
        <row r="726">
          <cell r="A726" t="str">
            <v>37-2021</v>
          </cell>
          <cell r="B726" t="str">
            <v>Pest Control Workers</v>
          </cell>
          <cell r="C726">
            <v>85370</v>
          </cell>
          <cell r="D726">
            <v>1</v>
          </cell>
          <cell r="E726">
            <v>40640</v>
          </cell>
          <cell r="F726">
            <v>0.8</v>
          </cell>
          <cell r="G726">
            <v>37540</v>
          </cell>
        </row>
        <row r="727">
          <cell r="A727" t="str">
            <v>37-3000</v>
          </cell>
          <cell r="B727" t="str">
            <v>Grounds Maintenance Workers</v>
          </cell>
          <cell r="C727">
            <v>975950</v>
          </cell>
          <cell r="D727">
            <v>0.5</v>
          </cell>
          <cell r="E727">
            <v>35960</v>
          </cell>
          <cell r="F727">
            <v>0.3</v>
          </cell>
          <cell r="G727">
            <v>35460</v>
          </cell>
        </row>
        <row r="728">
          <cell r="A728" t="str">
            <v>37-3010</v>
          </cell>
          <cell r="B728" t="str">
            <v>Grounds Maintenance Workers</v>
          </cell>
          <cell r="C728">
            <v>975950</v>
          </cell>
          <cell r="D728">
            <v>0.5</v>
          </cell>
          <cell r="E728">
            <v>35960</v>
          </cell>
          <cell r="F728">
            <v>0.3</v>
          </cell>
          <cell r="G728">
            <v>35460</v>
          </cell>
        </row>
        <row r="729">
          <cell r="A729" t="str">
            <v>37-3011</v>
          </cell>
          <cell r="B729" t="str">
            <v>Landscaping and Groundskeeping Workers</v>
          </cell>
          <cell r="C729">
            <v>892450</v>
          </cell>
          <cell r="D729">
            <v>0.6</v>
          </cell>
          <cell r="E729">
            <v>35240</v>
          </cell>
          <cell r="F729">
            <v>0.3</v>
          </cell>
          <cell r="G729">
            <v>34430</v>
          </cell>
        </row>
        <row r="730">
          <cell r="A730" t="str">
            <v>37-3012</v>
          </cell>
          <cell r="B730" t="str">
            <v>Pesticide Handlers, Sprayers, and Applicators, Vegetation</v>
          </cell>
          <cell r="C730">
            <v>25820</v>
          </cell>
          <cell r="D730">
            <v>4.0999999999999996</v>
          </cell>
          <cell r="E730">
            <v>40500</v>
          </cell>
          <cell r="F730">
            <v>1</v>
          </cell>
          <cell r="G730">
            <v>38270</v>
          </cell>
        </row>
        <row r="731">
          <cell r="A731" t="str">
            <v>37-3013</v>
          </cell>
          <cell r="B731" t="str">
            <v>Tree Trimmers and Pruners</v>
          </cell>
          <cell r="C731">
            <v>41920</v>
          </cell>
          <cell r="D731">
            <v>5.8</v>
          </cell>
          <cell r="E731">
            <v>47450</v>
          </cell>
          <cell r="F731">
            <v>1.2</v>
          </cell>
          <cell r="G731">
            <v>46970</v>
          </cell>
        </row>
        <row r="732">
          <cell r="A732" t="str">
            <v>37-3019</v>
          </cell>
          <cell r="B732" t="str">
            <v>Grounds Maintenance Workers, All Other</v>
          </cell>
          <cell r="C732">
            <v>15770</v>
          </cell>
          <cell r="D732">
            <v>7.7</v>
          </cell>
          <cell r="E732">
            <v>39120</v>
          </cell>
          <cell r="F732">
            <v>1.6</v>
          </cell>
          <cell r="G732">
            <v>36540</v>
          </cell>
        </row>
        <row r="733">
          <cell r="A733" t="str">
            <v>39-0000</v>
          </cell>
          <cell r="B733" t="str">
            <v>Personal Care and Service Occupations</v>
          </cell>
          <cell r="C733">
            <v>2566440</v>
          </cell>
          <cell r="D733">
            <v>0.6</v>
          </cell>
          <cell r="E733">
            <v>33620</v>
          </cell>
          <cell r="F733">
            <v>0.5</v>
          </cell>
          <cell r="G733">
            <v>29450</v>
          </cell>
        </row>
        <row r="734">
          <cell r="A734" t="str">
            <v>39-1000</v>
          </cell>
          <cell r="B734" t="str">
            <v>Supervisors of Personal Care and Service Workers</v>
          </cell>
          <cell r="C734">
            <v>187400</v>
          </cell>
          <cell r="D734">
            <v>1</v>
          </cell>
          <cell r="E734">
            <v>46950</v>
          </cell>
          <cell r="F734">
            <v>0.6</v>
          </cell>
          <cell r="G734">
            <v>45070</v>
          </cell>
        </row>
        <row r="735">
          <cell r="A735" t="str">
            <v>39-1010</v>
          </cell>
          <cell r="B735" t="str">
            <v>First-Line Supervisors of Entertainment and Recreation Workers</v>
          </cell>
          <cell r="C735">
            <v>86370</v>
          </cell>
          <cell r="D735">
            <v>1.5</v>
          </cell>
          <cell r="E735">
            <v>48370</v>
          </cell>
          <cell r="F735">
            <v>0.6</v>
          </cell>
          <cell r="G735">
            <v>47040</v>
          </cell>
        </row>
        <row r="736">
          <cell r="A736" t="str">
            <v>39-1013</v>
          </cell>
          <cell r="B736" t="str">
            <v>First-Line Supervisors of Gambling Services Workers</v>
          </cell>
          <cell r="C736">
            <v>19510</v>
          </cell>
          <cell r="D736">
            <v>2.2999999999999998</v>
          </cell>
          <cell r="E736">
            <v>52590</v>
          </cell>
          <cell r="F736">
            <v>0.8</v>
          </cell>
          <cell r="G736">
            <v>49140</v>
          </cell>
        </row>
        <row r="737">
          <cell r="A737" t="str">
            <v>39-1014</v>
          </cell>
          <cell r="B737" t="str">
            <v>First-Line Supervisors of Entertainment and Recreation Workers, Except Gambling Services</v>
          </cell>
          <cell r="C737">
            <v>66860</v>
          </cell>
          <cell r="D737">
            <v>1.9</v>
          </cell>
          <cell r="E737">
            <v>47130</v>
          </cell>
          <cell r="F737">
            <v>0.6</v>
          </cell>
          <cell r="G737">
            <v>44870</v>
          </cell>
        </row>
        <row r="738">
          <cell r="A738" t="str">
            <v>39-1020</v>
          </cell>
          <cell r="B738" t="str">
            <v>First-Line Supervisors of Personal Service Workers</v>
          </cell>
          <cell r="C738">
            <v>101030</v>
          </cell>
          <cell r="D738">
            <v>1.5</v>
          </cell>
          <cell r="E738">
            <v>45730</v>
          </cell>
          <cell r="F738">
            <v>0.9</v>
          </cell>
          <cell r="G738">
            <v>40390</v>
          </cell>
        </row>
        <row r="739">
          <cell r="A739" t="str">
            <v>39-1022</v>
          </cell>
          <cell r="B739" t="str">
            <v>First-Line Supervisors of Personal Service Workers</v>
          </cell>
          <cell r="C739">
            <v>101030</v>
          </cell>
          <cell r="D739">
            <v>1.5</v>
          </cell>
          <cell r="E739">
            <v>45730</v>
          </cell>
          <cell r="F739">
            <v>0.9</v>
          </cell>
          <cell r="G739">
            <v>40390</v>
          </cell>
        </row>
        <row r="740">
          <cell r="A740" t="str">
            <v>39-2000</v>
          </cell>
          <cell r="B740" t="str">
            <v>Animal Care and Service Workers</v>
          </cell>
          <cell r="C740">
            <v>241520</v>
          </cell>
          <cell r="D740">
            <v>1.3</v>
          </cell>
          <cell r="E740">
            <v>30100</v>
          </cell>
          <cell r="F740">
            <v>0.5</v>
          </cell>
          <cell r="G740">
            <v>28730</v>
          </cell>
        </row>
        <row r="741">
          <cell r="A741" t="str">
            <v>39-2010</v>
          </cell>
          <cell r="B741" t="str">
            <v>Animal Trainers</v>
          </cell>
          <cell r="C741">
            <v>15840</v>
          </cell>
          <cell r="D741">
            <v>3.4</v>
          </cell>
          <cell r="E741">
            <v>38230</v>
          </cell>
          <cell r="F741">
            <v>2.8</v>
          </cell>
          <cell r="G741">
            <v>31280</v>
          </cell>
        </row>
        <row r="742">
          <cell r="A742" t="str">
            <v>39-2011</v>
          </cell>
          <cell r="B742" t="str">
            <v>Animal Trainers</v>
          </cell>
          <cell r="C742">
            <v>15840</v>
          </cell>
          <cell r="D742">
            <v>3.4</v>
          </cell>
          <cell r="E742">
            <v>38230</v>
          </cell>
          <cell r="F742">
            <v>2.8</v>
          </cell>
          <cell r="G742">
            <v>31280</v>
          </cell>
        </row>
        <row r="743">
          <cell r="A743" t="str">
            <v>39-2020</v>
          </cell>
          <cell r="B743" t="str">
            <v>Animal Caretakers</v>
          </cell>
          <cell r="C743">
            <v>225680</v>
          </cell>
          <cell r="D743">
            <v>1.4</v>
          </cell>
          <cell r="E743">
            <v>29520</v>
          </cell>
          <cell r="F743">
            <v>0.5</v>
          </cell>
          <cell r="G743">
            <v>28600</v>
          </cell>
        </row>
        <row r="744">
          <cell r="A744" t="str">
            <v>39-2021</v>
          </cell>
          <cell r="B744" t="str">
            <v>Animal Caretakers</v>
          </cell>
          <cell r="C744">
            <v>225680</v>
          </cell>
          <cell r="D744">
            <v>1.4</v>
          </cell>
          <cell r="E744">
            <v>29520</v>
          </cell>
          <cell r="F744">
            <v>0.5</v>
          </cell>
          <cell r="G744">
            <v>28600</v>
          </cell>
        </row>
        <row r="745">
          <cell r="A745" t="str">
            <v>39-3000</v>
          </cell>
          <cell r="B745" t="str">
            <v>Entertainment Attendants and Related Workers</v>
          </cell>
          <cell r="C745">
            <v>418960</v>
          </cell>
          <cell r="D745">
            <v>1.5</v>
          </cell>
          <cell r="E745">
            <v>27170</v>
          </cell>
          <cell r="F745">
            <v>0.6</v>
          </cell>
          <cell r="G745">
            <v>24960</v>
          </cell>
        </row>
        <row r="746">
          <cell r="A746" t="str">
            <v>39-3010</v>
          </cell>
          <cell r="B746" t="str">
            <v>Gambling Services Workers</v>
          </cell>
          <cell r="C746">
            <v>82860</v>
          </cell>
          <cell r="D746">
            <v>1.7</v>
          </cell>
          <cell r="E746">
            <v>29340</v>
          </cell>
          <cell r="F746">
            <v>1.3</v>
          </cell>
          <cell r="G746">
            <v>25630</v>
          </cell>
        </row>
        <row r="747">
          <cell r="A747" t="str">
            <v>39-3011</v>
          </cell>
          <cell r="B747" t="str">
            <v>Gambling Dealers</v>
          </cell>
          <cell r="C747">
            <v>64700</v>
          </cell>
          <cell r="D747">
            <v>1.7</v>
          </cell>
          <cell r="E747">
            <v>28960</v>
          </cell>
          <cell r="F747">
            <v>1.6</v>
          </cell>
          <cell r="G747">
            <v>24960</v>
          </cell>
        </row>
        <row r="748">
          <cell r="A748" t="str">
            <v>39-3012</v>
          </cell>
          <cell r="B748" t="str">
            <v>Gambling and Sports Book Writers and Runners</v>
          </cell>
          <cell r="C748">
            <v>7340</v>
          </cell>
          <cell r="D748">
            <v>5.8</v>
          </cell>
          <cell r="E748">
            <v>29110</v>
          </cell>
          <cell r="F748">
            <v>2.2999999999999998</v>
          </cell>
          <cell r="G748">
            <v>27530</v>
          </cell>
        </row>
        <row r="749">
          <cell r="A749" t="str">
            <v>39-3019</v>
          </cell>
          <cell r="B749" t="str">
            <v>Gambling Service Workers, All Other</v>
          </cell>
          <cell r="C749">
            <v>10820</v>
          </cell>
          <cell r="D749">
            <v>5</v>
          </cell>
          <cell r="E749">
            <v>31790</v>
          </cell>
          <cell r="F749">
            <v>1.7</v>
          </cell>
          <cell r="G749">
            <v>28990</v>
          </cell>
        </row>
        <row r="750">
          <cell r="A750" t="str">
            <v>39-3020</v>
          </cell>
          <cell r="B750" t="str">
            <v>Motion Picture Projectionists</v>
          </cell>
          <cell r="C750">
            <v>1620</v>
          </cell>
          <cell r="D750">
            <v>8.9</v>
          </cell>
          <cell r="E750">
            <v>32970</v>
          </cell>
          <cell r="F750">
            <v>2.6</v>
          </cell>
          <cell r="G750">
            <v>29350</v>
          </cell>
        </row>
        <row r="751">
          <cell r="A751" t="str">
            <v>39-3021</v>
          </cell>
          <cell r="B751" t="str">
            <v>Motion Picture Projectionists</v>
          </cell>
          <cell r="C751">
            <v>1620</v>
          </cell>
          <cell r="D751">
            <v>8.9</v>
          </cell>
          <cell r="E751">
            <v>32970</v>
          </cell>
          <cell r="F751">
            <v>2.6</v>
          </cell>
          <cell r="G751">
            <v>29350</v>
          </cell>
        </row>
        <row r="752">
          <cell r="A752" t="str">
            <v>39-3030</v>
          </cell>
          <cell r="B752" t="str">
            <v>Ushers, Lobby Attendants, and Ticket Takers</v>
          </cell>
          <cell r="C752">
            <v>54970</v>
          </cell>
          <cell r="D752">
            <v>3.1</v>
          </cell>
          <cell r="E752">
            <v>26390</v>
          </cell>
          <cell r="F752">
            <v>1.2</v>
          </cell>
          <cell r="G752">
            <v>24440</v>
          </cell>
        </row>
        <row r="753">
          <cell r="A753" t="str">
            <v>39-3031</v>
          </cell>
          <cell r="B753" t="str">
            <v>Ushers, Lobby Attendants, and Ticket Takers</v>
          </cell>
          <cell r="C753">
            <v>54970</v>
          </cell>
          <cell r="D753">
            <v>3.1</v>
          </cell>
          <cell r="E753">
            <v>26390</v>
          </cell>
          <cell r="F753">
            <v>1.2</v>
          </cell>
          <cell r="G753">
            <v>24440</v>
          </cell>
        </row>
        <row r="754">
          <cell r="A754" t="str">
            <v>39-3090</v>
          </cell>
          <cell r="B754" t="str">
            <v>Miscellaneous Entertainment Attendants and Related Workers</v>
          </cell>
          <cell r="C754">
            <v>279510</v>
          </cell>
          <cell r="D754">
            <v>2.2000000000000002</v>
          </cell>
          <cell r="E754">
            <v>26650</v>
          </cell>
          <cell r="F754">
            <v>0.5</v>
          </cell>
          <cell r="G754">
            <v>24800</v>
          </cell>
        </row>
        <row r="755">
          <cell r="A755" t="str">
            <v>39-3091</v>
          </cell>
          <cell r="B755" t="str">
            <v>Amusement and Recreation Attendants</v>
          </cell>
          <cell r="C755">
            <v>262170</v>
          </cell>
          <cell r="D755">
            <v>2.2999999999999998</v>
          </cell>
          <cell r="E755">
            <v>26110</v>
          </cell>
          <cell r="F755">
            <v>0.4</v>
          </cell>
          <cell r="G755">
            <v>24500</v>
          </cell>
        </row>
        <row r="756">
          <cell r="A756" t="str">
            <v>39-3092</v>
          </cell>
          <cell r="B756" t="str">
            <v>Costume Attendants</v>
          </cell>
          <cell r="C756">
            <v>3380</v>
          </cell>
          <cell r="D756">
            <v>11.6</v>
          </cell>
          <cell r="E756">
            <v>54590</v>
          </cell>
          <cell r="F756">
            <v>4.5</v>
          </cell>
          <cell r="G756">
            <v>47850</v>
          </cell>
        </row>
        <row r="757">
          <cell r="A757" t="str">
            <v>39-3093</v>
          </cell>
          <cell r="B757" t="str">
            <v>Locker Room, Coatroom, and Dressing Room Attendants</v>
          </cell>
          <cell r="C757">
            <v>9670</v>
          </cell>
          <cell r="D757">
            <v>5.7</v>
          </cell>
          <cell r="E757">
            <v>30220</v>
          </cell>
          <cell r="F757">
            <v>1.4</v>
          </cell>
          <cell r="G757">
            <v>28570</v>
          </cell>
        </row>
        <row r="758">
          <cell r="A758" t="str">
            <v>39-3099</v>
          </cell>
          <cell r="B758" t="str">
            <v>Entertainment Attendants and Related Workers, All Other</v>
          </cell>
          <cell r="C758">
            <v>4290</v>
          </cell>
          <cell r="D758">
            <v>11.3</v>
          </cell>
          <cell r="E758">
            <v>29680</v>
          </cell>
          <cell r="F758">
            <v>3.6</v>
          </cell>
          <cell r="G758">
            <v>24170</v>
          </cell>
        </row>
        <row r="759">
          <cell r="A759" t="str">
            <v>39-4000</v>
          </cell>
          <cell r="B759" t="str">
            <v>Funeral Service Workers</v>
          </cell>
          <cell r="C759">
            <v>63300</v>
          </cell>
          <cell r="D759">
            <v>1.1000000000000001</v>
          </cell>
          <cell r="E759">
            <v>42800</v>
          </cell>
          <cell r="F759">
            <v>0.9</v>
          </cell>
          <cell r="G759">
            <v>36490</v>
          </cell>
        </row>
        <row r="760">
          <cell r="A760" t="str">
            <v>39-4010</v>
          </cell>
          <cell r="B760" t="str">
            <v>Embalmers and Crematory Operators</v>
          </cell>
          <cell r="C760">
            <v>6110</v>
          </cell>
          <cell r="D760">
            <v>5</v>
          </cell>
          <cell r="E760">
            <v>47350</v>
          </cell>
          <cell r="F760">
            <v>1.8</v>
          </cell>
          <cell r="G760">
            <v>44960</v>
          </cell>
        </row>
        <row r="761">
          <cell r="A761" t="str">
            <v>39-4011</v>
          </cell>
          <cell r="B761" t="str">
            <v>Embalmers</v>
          </cell>
          <cell r="C761">
            <v>4070</v>
          </cell>
          <cell r="D761">
            <v>5.5</v>
          </cell>
          <cell r="E761">
            <v>51210</v>
          </cell>
          <cell r="F761">
            <v>2.1</v>
          </cell>
          <cell r="G761">
            <v>47780</v>
          </cell>
        </row>
        <row r="762">
          <cell r="A762" t="str">
            <v>39-4012</v>
          </cell>
          <cell r="B762" t="str">
            <v>Crematory Operators</v>
          </cell>
          <cell r="C762">
            <v>2040</v>
          </cell>
          <cell r="D762">
            <v>11.8</v>
          </cell>
          <cell r="E762">
            <v>39660</v>
          </cell>
          <cell r="F762">
            <v>1.5</v>
          </cell>
          <cell r="G762">
            <v>37490</v>
          </cell>
        </row>
        <row r="763">
          <cell r="A763" t="str">
            <v>39-4020</v>
          </cell>
          <cell r="B763" t="str">
            <v>Funeral Attendants</v>
          </cell>
          <cell r="C763">
            <v>32490</v>
          </cell>
          <cell r="D763">
            <v>1.7</v>
          </cell>
          <cell r="E763">
            <v>31630</v>
          </cell>
          <cell r="F763">
            <v>1.1000000000000001</v>
          </cell>
          <cell r="G763">
            <v>29230</v>
          </cell>
        </row>
        <row r="764">
          <cell r="A764" t="str">
            <v>39-4021</v>
          </cell>
          <cell r="B764" t="str">
            <v>Funeral Attendants</v>
          </cell>
          <cell r="C764">
            <v>32490</v>
          </cell>
          <cell r="D764">
            <v>1.7</v>
          </cell>
          <cell r="E764">
            <v>31630</v>
          </cell>
          <cell r="F764">
            <v>1.1000000000000001</v>
          </cell>
          <cell r="G764">
            <v>29230</v>
          </cell>
        </row>
        <row r="765">
          <cell r="A765" t="str">
            <v>39-4030</v>
          </cell>
          <cell r="B765" t="str">
            <v>Morticians, Undertakers, and Funeral Arrangers</v>
          </cell>
          <cell r="C765">
            <v>24700</v>
          </cell>
          <cell r="D765">
            <v>2.1</v>
          </cell>
          <cell r="E765">
            <v>56360</v>
          </cell>
          <cell r="F765">
            <v>1.2</v>
          </cell>
          <cell r="G765">
            <v>48950</v>
          </cell>
        </row>
        <row r="766">
          <cell r="A766" t="str">
            <v>39-4031</v>
          </cell>
          <cell r="B766" t="str">
            <v>Morticians, Undertakers, and Funeral Arrangers</v>
          </cell>
          <cell r="C766">
            <v>24700</v>
          </cell>
          <cell r="D766">
            <v>2.1</v>
          </cell>
          <cell r="E766">
            <v>56360</v>
          </cell>
          <cell r="F766">
            <v>1.2</v>
          </cell>
          <cell r="G766">
            <v>48950</v>
          </cell>
        </row>
        <row r="767">
          <cell r="A767" t="str">
            <v>39-5000</v>
          </cell>
          <cell r="B767" t="str">
            <v>Personal Appearance Workers</v>
          </cell>
          <cell r="C767">
            <v>481530</v>
          </cell>
          <cell r="D767">
            <v>1.1000000000000001</v>
          </cell>
          <cell r="E767">
            <v>35350</v>
          </cell>
          <cell r="F767">
            <v>1.2</v>
          </cell>
          <cell r="G767">
            <v>29590</v>
          </cell>
        </row>
        <row r="768">
          <cell r="A768" t="str">
            <v>39-5010</v>
          </cell>
          <cell r="B768" t="str">
            <v>Barbers, Hairdressers, Hairstylists and Cosmetologists</v>
          </cell>
          <cell r="C768">
            <v>298880</v>
          </cell>
          <cell r="D768">
            <v>1.5</v>
          </cell>
          <cell r="E768">
            <v>35980</v>
          </cell>
          <cell r="F768">
            <v>1.3</v>
          </cell>
          <cell r="G768">
            <v>29680</v>
          </cell>
        </row>
        <row r="769">
          <cell r="A769" t="str">
            <v>39-5011</v>
          </cell>
          <cell r="B769" t="str">
            <v>Barbers</v>
          </cell>
          <cell r="C769">
            <v>12910</v>
          </cell>
          <cell r="D769">
            <v>8.1</v>
          </cell>
          <cell r="E769">
            <v>35700</v>
          </cell>
          <cell r="F769">
            <v>3.2</v>
          </cell>
          <cell r="G769">
            <v>29970</v>
          </cell>
        </row>
        <row r="770">
          <cell r="A770" t="str">
            <v>39-5012</v>
          </cell>
          <cell r="B770" t="str">
            <v>Hairdressers, Hairstylists, and Cosmetologists</v>
          </cell>
          <cell r="C770">
            <v>285980</v>
          </cell>
          <cell r="D770">
            <v>1.6</v>
          </cell>
          <cell r="E770">
            <v>35990</v>
          </cell>
          <cell r="F770">
            <v>1.3</v>
          </cell>
          <cell r="G770">
            <v>29670</v>
          </cell>
        </row>
        <row r="771">
          <cell r="A771" t="str">
            <v>39-5090</v>
          </cell>
          <cell r="B771" t="str">
            <v>Miscellaneous Personal Appearance Workers</v>
          </cell>
          <cell r="C771">
            <v>182640</v>
          </cell>
          <cell r="D771">
            <v>3.6</v>
          </cell>
          <cell r="E771">
            <v>34310</v>
          </cell>
          <cell r="F771">
            <v>1.9</v>
          </cell>
          <cell r="G771">
            <v>29450</v>
          </cell>
        </row>
        <row r="772">
          <cell r="A772" t="str">
            <v>39-5091</v>
          </cell>
          <cell r="B772" t="str">
            <v>Makeup Artists, Theatrical and Performance</v>
          </cell>
          <cell r="C772">
            <v>1960</v>
          </cell>
          <cell r="D772">
            <v>39</v>
          </cell>
          <cell r="E772">
            <v>124380</v>
          </cell>
          <cell r="F772">
            <v>12.2</v>
          </cell>
          <cell r="G772">
            <v>134750</v>
          </cell>
        </row>
        <row r="773">
          <cell r="A773" t="str">
            <v>39-5092</v>
          </cell>
          <cell r="B773" t="str">
            <v>Manicurists and Pedicurists</v>
          </cell>
          <cell r="C773">
            <v>120540</v>
          </cell>
          <cell r="D773">
            <v>2.1</v>
          </cell>
          <cell r="E773">
            <v>30480</v>
          </cell>
          <cell r="F773">
            <v>1</v>
          </cell>
          <cell r="G773">
            <v>29210</v>
          </cell>
        </row>
        <row r="774">
          <cell r="A774" t="str">
            <v>39-5093</v>
          </cell>
          <cell r="B774" t="str">
            <v>Shampooers</v>
          </cell>
          <cell r="C774">
            <v>9560</v>
          </cell>
          <cell r="D774">
            <v>11.2</v>
          </cell>
          <cell r="E774">
            <v>25160</v>
          </cell>
          <cell r="F774">
            <v>2.6</v>
          </cell>
          <cell r="G774">
            <v>24440</v>
          </cell>
        </row>
        <row r="775">
          <cell r="A775" t="str">
            <v>39-5094</v>
          </cell>
          <cell r="B775" t="str">
            <v>Skincare Specialists</v>
          </cell>
          <cell r="C775">
            <v>50580</v>
          </cell>
          <cell r="D775">
            <v>9.1</v>
          </cell>
          <cell r="E775">
            <v>41700</v>
          </cell>
          <cell r="F775">
            <v>2.4</v>
          </cell>
          <cell r="G775">
            <v>37300</v>
          </cell>
        </row>
        <row r="776">
          <cell r="A776" t="str">
            <v>39-6000</v>
          </cell>
          <cell r="B776" t="str">
            <v>Baggage Porters, Bellhops, and Concierges</v>
          </cell>
          <cell r="C776">
            <v>54100</v>
          </cell>
          <cell r="D776">
            <v>4.3</v>
          </cell>
          <cell r="E776">
            <v>34680</v>
          </cell>
          <cell r="F776">
            <v>2</v>
          </cell>
          <cell r="G776">
            <v>30720</v>
          </cell>
        </row>
        <row r="777">
          <cell r="A777" t="str">
            <v>39-6010</v>
          </cell>
          <cell r="B777" t="str">
            <v>Baggage Porters, Bellhops, and Concierges</v>
          </cell>
          <cell r="C777">
            <v>54100</v>
          </cell>
          <cell r="D777">
            <v>4.3</v>
          </cell>
          <cell r="E777">
            <v>34680</v>
          </cell>
          <cell r="F777">
            <v>2</v>
          </cell>
          <cell r="G777">
            <v>30720</v>
          </cell>
        </row>
        <row r="778">
          <cell r="A778" t="str">
            <v>39-6011</v>
          </cell>
          <cell r="B778" t="str">
            <v>Baggage Porters and Bellhops</v>
          </cell>
          <cell r="C778">
            <v>20530</v>
          </cell>
          <cell r="D778">
            <v>4.9000000000000004</v>
          </cell>
          <cell r="E778">
            <v>30040</v>
          </cell>
          <cell r="F778">
            <v>2.5</v>
          </cell>
          <cell r="G778">
            <v>29120</v>
          </cell>
        </row>
        <row r="779">
          <cell r="A779" t="str">
            <v>39-6012</v>
          </cell>
          <cell r="B779" t="str">
            <v>Concierges</v>
          </cell>
          <cell r="C779">
            <v>33560</v>
          </cell>
          <cell r="D779">
            <v>6.1</v>
          </cell>
          <cell r="E779">
            <v>37520</v>
          </cell>
          <cell r="F779">
            <v>2.2000000000000002</v>
          </cell>
          <cell r="G779">
            <v>35210</v>
          </cell>
        </row>
        <row r="780">
          <cell r="A780" t="str">
            <v>39-7000</v>
          </cell>
          <cell r="B780" t="str">
            <v>Tour and Travel Guides</v>
          </cell>
          <cell r="C780">
            <v>30980</v>
          </cell>
          <cell r="D780">
            <v>3.1</v>
          </cell>
          <cell r="E780">
            <v>33200</v>
          </cell>
          <cell r="F780">
            <v>1.7</v>
          </cell>
          <cell r="G780">
            <v>29780</v>
          </cell>
        </row>
        <row r="781">
          <cell r="A781" t="str">
            <v>39-7010</v>
          </cell>
          <cell r="B781" t="str">
            <v>Tour and Travel Guides</v>
          </cell>
          <cell r="C781">
            <v>30980</v>
          </cell>
          <cell r="D781">
            <v>3.1</v>
          </cell>
          <cell r="E781">
            <v>33200</v>
          </cell>
          <cell r="F781">
            <v>1.7</v>
          </cell>
          <cell r="G781">
            <v>29780</v>
          </cell>
        </row>
        <row r="782">
          <cell r="A782" t="str">
            <v>39-7010</v>
          </cell>
          <cell r="B782" t="str">
            <v>Tour and Travel Guides</v>
          </cell>
          <cell r="C782">
            <v>30980</v>
          </cell>
          <cell r="D782">
            <v>3.1</v>
          </cell>
          <cell r="E782">
            <v>33200</v>
          </cell>
          <cell r="F782">
            <v>1.7</v>
          </cell>
          <cell r="G782">
            <v>29780</v>
          </cell>
        </row>
        <row r="783">
          <cell r="A783" t="str">
            <v>39-9000</v>
          </cell>
          <cell r="B783" t="str">
            <v>Other Personal Care and Service Workers</v>
          </cell>
          <cell r="C783">
            <v>1088670</v>
          </cell>
          <cell r="D783">
            <v>1.2</v>
          </cell>
          <cell r="E783">
            <v>33260</v>
          </cell>
          <cell r="F783">
            <v>0.5</v>
          </cell>
          <cell r="G783">
            <v>29540</v>
          </cell>
        </row>
        <row r="784">
          <cell r="A784" t="str">
            <v>39-9010</v>
          </cell>
          <cell r="B784" t="str">
            <v>Childcare Workers</v>
          </cell>
          <cell r="C784">
            <v>438520</v>
          </cell>
          <cell r="D784">
            <v>1.6</v>
          </cell>
          <cell r="E784">
            <v>27680</v>
          </cell>
          <cell r="F784">
            <v>0.5</v>
          </cell>
          <cell r="G784">
            <v>27490</v>
          </cell>
        </row>
        <row r="785">
          <cell r="A785" t="str">
            <v>39-9011</v>
          </cell>
          <cell r="B785" t="str">
            <v>Childcare Workers</v>
          </cell>
          <cell r="C785">
            <v>438520</v>
          </cell>
          <cell r="D785">
            <v>1.6</v>
          </cell>
          <cell r="E785">
            <v>27680</v>
          </cell>
          <cell r="F785">
            <v>0.5</v>
          </cell>
          <cell r="G785">
            <v>27490</v>
          </cell>
        </row>
        <row r="786">
          <cell r="A786" t="str">
            <v>39-9030</v>
          </cell>
          <cell r="B786" t="str">
            <v>Recreation and Fitness Workers</v>
          </cell>
          <cell r="C786">
            <v>485620</v>
          </cell>
          <cell r="D786">
            <v>1</v>
          </cell>
          <cell r="E786">
            <v>38340</v>
          </cell>
          <cell r="F786">
            <v>0.7</v>
          </cell>
          <cell r="G786">
            <v>30930</v>
          </cell>
        </row>
        <row r="787">
          <cell r="A787" t="str">
            <v>39-9031</v>
          </cell>
          <cell r="B787" t="str">
            <v>Exercise Trainers and Group Fitness Instructors</v>
          </cell>
          <cell r="C787">
            <v>221600</v>
          </cell>
          <cell r="D787">
            <v>1.6</v>
          </cell>
          <cell r="E787">
            <v>45870</v>
          </cell>
          <cell r="F787">
            <v>1</v>
          </cell>
          <cell r="G787">
            <v>40700</v>
          </cell>
        </row>
        <row r="788">
          <cell r="A788" t="str">
            <v>39-9032</v>
          </cell>
          <cell r="B788" t="str">
            <v>Recreation Workers</v>
          </cell>
          <cell r="C788">
            <v>264020</v>
          </cell>
          <cell r="D788">
            <v>1</v>
          </cell>
          <cell r="E788">
            <v>32020</v>
          </cell>
          <cell r="F788">
            <v>0.4</v>
          </cell>
          <cell r="G788">
            <v>29680</v>
          </cell>
        </row>
        <row r="789">
          <cell r="A789" t="str">
            <v>39-9040</v>
          </cell>
          <cell r="B789" t="str">
            <v>Residential Advisors</v>
          </cell>
          <cell r="C789">
            <v>92500</v>
          </cell>
          <cell r="D789">
            <v>1.9</v>
          </cell>
          <cell r="E789">
            <v>34950</v>
          </cell>
          <cell r="F789">
            <v>0.6</v>
          </cell>
          <cell r="G789">
            <v>31220</v>
          </cell>
        </row>
        <row r="790">
          <cell r="A790" t="str">
            <v>39-9041</v>
          </cell>
          <cell r="B790" t="str">
            <v>Residential Advisors</v>
          </cell>
          <cell r="C790">
            <v>92500</v>
          </cell>
          <cell r="D790">
            <v>1.9</v>
          </cell>
          <cell r="E790">
            <v>34950</v>
          </cell>
          <cell r="F790">
            <v>0.6</v>
          </cell>
          <cell r="G790">
            <v>31220</v>
          </cell>
        </row>
        <row r="791">
          <cell r="A791" t="str">
            <v>39-9090</v>
          </cell>
          <cell r="B791" t="str">
            <v>Miscellaneous Personal Care and Service Workers</v>
          </cell>
          <cell r="C791">
            <v>72030</v>
          </cell>
          <cell r="D791">
            <v>9.4</v>
          </cell>
          <cell r="E791">
            <v>30790</v>
          </cell>
          <cell r="F791">
            <v>1</v>
          </cell>
          <cell r="G791">
            <v>29610</v>
          </cell>
        </row>
        <row r="792">
          <cell r="A792" t="str">
            <v>39-9099</v>
          </cell>
          <cell r="B792" t="str">
            <v>Personal Care and Service Workers, All Other</v>
          </cell>
          <cell r="C792">
            <v>72030</v>
          </cell>
          <cell r="D792">
            <v>9.4</v>
          </cell>
          <cell r="E792">
            <v>30790</v>
          </cell>
          <cell r="F792">
            <v>1</v>
          </cell>
          <cell r="G792">
            <v>29610</v>
          </cell>
        </row>
        <row r="793">
          <cell r="A793" t="str">
            <v>41-0000</v>
          </cell>
          <cell r="B793" t="str">
            <v>Sales and Related Occupations</v>
          </cell>
          <cell r="C793">
            <v>13256290</v>
          </cell>
          <cell r="D793">
            <v>0.3</v>
          </cell>
          <cell r="E793">
            <v>46080</v>
          </cell>
          <cell r="F793">
            <v>0.2</v>
          </cell>
          <cell r="G793">
            <v>30600</v>
          </cell>
        </row>
        <row r="794">
          <cell r="A794" t="str">
            <v>41-1000</v>
          </cell>
          <cell r="B794" t="str">
            <v>Supervisors of Sales Workers</v>
          </cell>
          <cell r="C794">
            <v>1387190</v>
          </cell>
          <cell r="D794">
            <v>0.3</v>
          </cell>
          <cell r="E794">
            <v>54880</v>
          </cell>
          <cell r="F794">
            <v>0.3</v>
          </cell>
          <cell r="G794">
            <v>46850</v>
          </cell>
        </row>
        <row r="795">
          <cell r="A795" t="str">
            <v>41-1010</v>
          </cell>
          <cell r="B795" t="str">
            <v>First-Line Supervisors of Sales Workers</v>
          </cell>
          <cell r="C795">
            <v>1387190</v>
          </cell>
          <cell r="D795">
            <v>0.3</v>
          </cell>
          <cell r="E795">
            <v>54880</v>
          </cell>
          <cell r="F795">
            <v>0.3</v>
          </cell>
          <cell r="G795">
            <v>46850</v>
          </cell>
        </row>
        <row r="796">
          <cell r="A796" t="str">
            <v>41-1011</v>
          </cell>
          <cell r="B796" t="str">
            <v>First-Line Supervisors of Retail Sales Workers</v>
          </cell>
          <cell r="C796">
            <v>1143260</v>
          </cell>
          <cell r="D796">
            <v>0.4</v>
          </cell>
          <cell r="E796">
            <v>46890</v>
          </cell>
          <cell r="F796">
            <v>0.3</v>
          </cell>
          <cell r="G796">
            <v>39230</v>
          </cell>
        </row>
        <row r="797">
          <cell r="A797" t="str">
            <v>41-1012</v>
          </cell>
          <cell r="B797" t="str">
            <v>First-Line Supervisors of Non-Retail Sales Workers</v>
          </cell>
          <cell r="C797">
            <v>243920</v>
          </cell>
          <cell r="D797">
            <v>0.9</v>
          </cell>
          <cell r="E797">
            <v>92320</v>
          </cell>
          <cell r="F797">
            <v>0.7</v>
          </cell>
          <cell r="G797">
            <v>79680</v>
          </cell>
        </row>
        <row r="798">
          <cell r="A798" t="str">
            <v>41-2000</v>
          </cell>
          <cell r="B798" t="str">
            <v>Retail Sales Workers</v>
          </cell>
          <cell r="C798">
            <v>7665410</v>
          </cell>
          <cell r="D798">
            <v>0.3</v>
          </cell>
          <cell r="E798">
            <v>30060</v>
          </cell>
          <cell r="F798">
            <v>0.2</v>
          </cell>
          <cell r="G798">
            <v>28680</v>
          </cell>
        </row>
        <row r="799">
          <cell r="A799" t="str">
            <v>41-2010</v>
          </cell>
          <cell r="B799" t="str">
            <v>Cashiers</v>
          </cell>
          <cell r="C799">
            <v>3335170</v>
          </cell>
          <cell r="D799">
            <v>0.5</v>
          </cell>
          <cell r="E799">
            <v>26780</v>
          </cell>
          <cell r="F799">
            <v>0.2</v>
          </cell>
          <cell r="G799">
            <v>27280</v>
          </cell>
        </row>
        <row r="800">
          <cell r="A800" t="str">
            <v>41-2011</v>
          </cell>
          <cell r="B800" t="str">
            <v>Cashiers</v>
          </cell>
          <cell r="C800">
            <v>3318020</v>
          </cell>
          <cell r="D800">
            <v>0.5</v>
          </cell>
          <cell r="E800">
            <v>26770</v>
          </cell>
          <cell r="F800">
            <v>0.2</v>
          </cell>
          <cell r="G800">
            <v>27260</v>
          </cell>
        </row>
        <row r="801">
          <cell r="A801" t="str">
            <v>41-2012</v>
          </cell>
          <cell r="B801" t="str">
            <v>Gambling Change Persons and Booth Cashiers</v>
          </cell>
          <cell r="C801">
            <v>17150</v>
          </cell>
          <cell r="D801">
            <v>3.3</v>
          </cell>
          <cell r="E801">
            <v>29130</v>
          </cell>
          <cell r="F801">
            <v>1.1000000000000001</v>
          </cell>
          <cell r="G801">
            <v>28600</v>
          </cell>
        </row>
        <row r="802">
          <cell r="A802" t="str">
            <v>41-2020</v>
          </cell>
          <cell r="B802" t="str">
            <v>Counter and Rental Clerks and Parts Salespersons</v>
          </cell>
          <cell r="C802">
            <v>636750</v>
          </cell>
          <cell r="D802">
            <v>1.1000000000000001</v>
          </cell>
          <cell r="E802">
            <v>36480</v>
          </cell>
          <cell r="F802">
            <v>0.4</v>
          </cell>
          <cell r="G802">
            <v>31780</v>
          </cell>
        </row>
        <row r="803">
          <cell r="A803" t="str">
            <v>41-2021</v>
          </cell>
          <cell r="B803" t="str">
            <v>Counter and Rental Clerks</v>
          </cell>
          <cell r="C803">
            <v>371620</v>
          </cell>
          <cell r="D803">
            <v>1.5</v>
          </cell>
          <cell r="E803">
            <v>36170</v>
          </cell>
          <cell r="F803">
            <v>0.5</v>
          </cell>
          <cell r="G803">
            <v>31330</v>
          </cell>
        </row>
        <row r="804">
          <cell r="A804" t="str">
            <v>41-2022</v>
          </cell>
          <cell r="B804" t="str">
            <v>Parts Salespersons</v>
          </cell>
          <cell r="C804">
            <v>265130</v>
          </cell>
          <cell r="D804">
            <v>1</v>
          </cell>
          <cell r="E804">
            <v>36920</v>
          </cell>
          <cell r="F804">
            <v>0.5</v>
          </cell>
          <cell r="G804">
            <v>34260</v>
          </cell>
        </row>
        <row r="805">
          <cell r="A805" t="str">
            <v>41-2030</v>
          </cell>
          <cell r="B805" t="str">
            <v>Retail Salespersons</v>
          </cell>
          <cell r="C805">
            <v>3693490</v>
          </cell>
          <cell r="D805">
            <v>0.3</v>
          </cell>
          <cell r="E805">
            <v>31920</v>
          </cell>
          <cell r="F805">
            <v>0.2</v>
          </cell>
          <cell r="G805">
            <v>29120</v>
          </cell>
        </row>
        <row r="806">
          <cell r="A806" t="str">
            <v>41-2031</v>
          </cell>
          <cell r="B806" t="str">
            <v>Retail Salespersons</v>
          </cell>
          <cell r="C806">
            <v>3693490</v>
          </cell>
          <cell r="D806">
            <v>0.3</v>
          </cell>
          <cell r="E806">
            <v>31920</v>
          </cell>
          <cell r="F806">
            <v>0.2</v>
          </cell>
          <cell r="G806">
            <v>29120</v>
          </cell>
        </row>
        <row r="807">
          <cell r="A807" t="str">
            <v>41-3000</v>
          </cell>
          <cell r="B807" t="str">
            <v>Sales Representatives, Services</v>
          </cell>
          <cell r="C807">
            <v>2009700</v>
          </cell>
          <cell r="D807">
            <v>0.6</v>
          </cell>
          <cell r="E807">
            <v>74770</v>
          </cell>
          <cell r="F807">
            <v>0.4</v>
          </cell>
          <cell r="G807">
            <v>60550</v>
          </cell>
        </row>
        <row r="808">
          <cell r="A808" t="str">
            <v>41-3010</v>
          </cell>
          <cell r="B808" t="str">
            <v>Advertising Sales Agents</v>
          </cell>
          <cell r="C808">
            <v>96660</v>
          </cell>
          <cell r="D808">
            <v>2.8</v>
          </cell>
          <cell r="E808">
            <v>66540</v>
          </cell>
          <cell r="F808">
            <v>1</v>
          </cell>
          <cell r="G808">
            <v>52340</v>
          </cell>
        </row>
        <row r="809">
          <cell r="A809" t="str">
            <v>41-3011</v>
          </cell>
          <cell r="B809" t="str">
            <v>Advertising Sales Agents</v>
          </cell>
          <cell r="C809">
            <v>96660</v>
          </cell>
          <cell r="D809">
            <v>2.8</v>
          </cell>
          <cell r="E809">
            <v>66540</v>
          </cell>
          <cell r="F809">
            <v>1</v>
          </cell>
          <cell r="G809">
            <v>52340</v>
          </cell>
        </row>
        <row r="810">
          <cell r="A810" t="str">
            <v>41-3020</v>
          </cell>
          <cell r="B810" t="str">
            <v>Insurance Sales Agents</v>
          </cell>
          <cell r="C810">
            <v>422600</v>
          </cell>
          <cell r="D810">
            <v>1.1000000000000001</v>
          </cell>
          <cell r="E810">
            <v>69340</v>
          </cell>
          <cell r="F810">
            <v>1.2</v>
          </cell>
          <cell r="G810">
            <v>49840</v>
          </cell>
        </row>
        <row r="811">
          <cell r="A811" t="str">
            <v>41-3021</v>
          </cell>
          <cell r="B811" t="str">
            <v>Insurance Sales Agents</v>
          </cell>
          <cell r="C811">
            <v>422600</v>
          </cell>
          <cell r="D811">
            <v>1.1000000000000001</v>
          </cell>
          <cell r="E811">
            <v>69340</v>
          </cell>
          <cell r="F811">
            <v>1.2</v>
          </cell>
          <cell r="G811">
            <v>49840</v>
          </cell>
        </row>
        <row r="812">
          <cell r="A812" t="str">
            <v>41-3030</v>
          </cell>
          <cell r="B812" t="str">
            <v>Securities, Commodities, and Financial Services Sales Agents</v>
          </cell>
          <cell r="C812">
            <v>426870</v>
          </cell>
          <cell r="D812">
            <v>1.2</v>
          </cell>
          <cell r="E812">
            <v>93260</v>
          </cell>
          <cell r="F812">
            <v>0.8</v>
          </cell>
          <cell r="G812">
            <v>62910</v>
          </cell>
        </row>
        <row r="813">
          <cell r="A813" t="str">
            <v>41-3031</v>
          </cell>
          <cell r="B813" t="str">
            <v>Securities, Commodities, and Financial Services Sales Agents</v>
          </cell>
          <cell r="C813">
            <v>426870</v>
          </cell>
          <cell r="D813">
            <v>1.2</v>
          </cell>
          <cell r="E813">
            <v>93260</v>
          </cell>
          <cell r="F813">
            <v>0.8</v>
          </cell>
          <cell r="G813">
            <v>62910</v>
          </cell>
        </row>
        <row r="814">
          <cell r="A814" t="str">
            <v>41-3040</v>
          </cell>
          <cell r="B814" t="str">
            <v>Travel Agents</v>
          </cell>
          <cell r="C814">
            <v>37190</v>
          </cell>
          <cell r="D814">
            <v>2.4</v>
          </cell>
          <cell r="E814">
            <v>46580</v>
          </cell>
          <cell r="F814">
            <v>1.4</v>
          </cell>
          <cell r="G814">
            <v>43810</v>
          </cell>
        </row>
        <row r="815">
          <cell r="A815" t="str">
            <v>41-3041</v>
          </cell>
          <cell r="B815" t="str">
            <v>Travel Agents</v>
          </cell>
          <cell r="C815">
            <v>37190</v>
          </cell>
          <cell r="D815">
            <v>2.4</v>
          </cell>
          <cell r="E815">
            <v>46580</v>
          </cell>
          <cell r="F815">
            <v>1.4</v>
          </cell>
          <cell r="G815">
            <v>43810</v>
          </cell>
        </row>
        <row r="816">
          <cell r="A816" t="str">
            <v>41-3090</v>
          </cell>
          <cell r="B816" t="str">
            <v>Miscellaneous Sales Representatives, Services</v>
          </cell>
          <cell r="C816">
            <v>1026390</v>
          </cell>
          <cell r="D816">
            <v>0.7</v>
          </cell>
          <cell r="E816">
            <v>71110</v>
          </cell>
          <cell r="F816">
            <v>0.5</v>
          </cell>
          <cell r="G816">
            <v>60550</v>
          </cell>
        </row>
        <row r="817">
          <cell r="A817" t="str">
            <v>41-3091</v>
          </cell>
          <cell r="B817" t="str">
            <v>Sales Representatives of Services, Except Advertising, Insurance, Financial Services, and Travel</v>
          </cell>
          <cell r="C817">
            <v>1026390</v>
          </cell>
          <cell r="D817">
            <v>0.7</v>
          </cell>
          <cell r="E817">
            <v>71110</v>
          </cell>
          <cell r="F817">
            <v>0.5</v>
          </cell>
          <cell r="G817">
            <v>60550</v>
          </cell>
        </row>
        <row r="818">
          <cell r="A818" t="str">
            <v>41-4000</v>
          </cell>
          <cell r="B818" t="str">
            <v>Sales Representatives, Wholesale and Manufacturing</v>
          </cell>
          <cell r="C818">
            <v>1508660</v>
          </cell>
          <cell r="D818">
            <v>0.6</v>
          </cell>
          <cell r="E818">
            <v>77750</v>
          </cell>
          <cell r="F818">
            <v>0.4</v>
          </cell>
          <cell r="G818">
            <v>62890</v>
          </cell>
        </row>
        <row r="819">
          <cell r="A819" t="str">
            <v>41-4010</v>
          </cell>
          <cell r="B819" t="str">
            <v>Sales Representatives, Wholesale and Manufacturing</v>
          </cell>
          <cell r="C819">
            <v>1508660</v>
          </cell>
          <cell r="D819">
            <v>0.6</v>
          </cell>
          <cell r="E819">
            <v>77750</v>
          </cell>
          <cell r="F819">
            <v>0.4</v>
          </cell>
          <cell r="G819">
            <v>62890</v>
          </cell>
        </row>
        <row r="820">
          <cell r="A820" t="str">
            <v>41-4011</v>
          </cell>
          <cell r="B820" t="str">
            <v>Sales Representatives, Wholesale and Manufacturing, Technical and Scientific Products</v>
          </cell>
          <cell r="C820">
            <v>266160</v>
          </cell>
          <cell r="D820">
            <v>1.6</v>
          </cell>
          <cell r="E820">
            <v>102750</v>
          </cell>
          <cell r="F820">
            <v>0.8</v>
          </cell>
          <cell r="G820">
            <v>94840</v>
          </cell>
        </row>
        <row r="821">
          <cell r="A821" t="str">
            <v>41-4012</v>
          </cell>
          <cell r="B821" t="str">
            <v>Sales Representatives, Wholesale and Manufacturing, Except Technical and Scientific Products</v>
          </cell>
          <cell r="C821">
            <v>1242490</v>
          </cell>
          <cell r="D821">
            <v>0.7</v>
          </cell>
          <cell r="E821">
            <v>72390</v>
          </cell>
          <cell r="F821">
            <v>0.4</v>
          </cell>
          <cell r="G821">
            <v>61600</v>
          </cell>
        </row>
        <row r="822">
          <cell r="A822" t="str">
            <v>41-9000</v>
          </cell>
          <cell r="B822" t="str">
            <v>Other Sales and Related Workers</v>
          </cell>
          <cell r="C822">
            <v>685330</v>
          </cell>
          <cell r="D822">
            <v>1.2</v>
          </cell>
          <cell r="E822">
            <v>53580</v>
          </cell>
          <cell r="F822">
            <v>0.9</v>
          </cell>
          <cell r="G822">
            <v>36590</v>
          </cell>
        </row>
        <row r="823">
          <cell r="A823" t="str">
            <v>41-9010</v>
          </cell>
          <cell r="B823" t="str">
            <v>Models, Demonstrators, and Product Promoters</v>
          </cell>
          <cell r="C823">
            <v>42670</v>
          </cell>
          <cell r="D823">
            <v>3.8</v>
          </cell>
          <cell r="E823">
            <v>39550</v>
          </cell>
          <cell r="F823">
            <v>5.6</v>
          </cell>
          <cell r="G823">
            <v>32730</v>
          </cell>
        </row>
        <row r="824">
          <cell r="A824" t="str">
            <v>41-9011</v>
          </cell>
          <cell r="B824" t="str">
            <v>Demonstrators and Product Promoters</v>
          </cell>
          <cell r="C824">
            <v>40680</v>
          </cell>
          <cell r="D824">
            <v>3.9</v>
          </cell>
          <cell r="E824">
            <v>36990</v>
          </cell>
          <cell r="F824">
            <v>1.6</v>
          </cell>
          <cell r="G824">
            <v>32350</v>
          </cell>
        </row>
        <row r="825">
          <cell r="A825" t="str">
            <v>41-9012</v>
          </cell>
          <cell r="B825" t="str">
            <v>Models</v>
          </cell>
          <cell r="C825">
            <v>2000</v>
          </cell>
          <cell r="D825">
            <v>26.5</v>
          </cell>
          <cell r="E825" t="str">
            <v>*</v>
          </cell>
          <cell r="F825" t="str">
            <v>*</v>
          </cell>
          <cell r="G825" t="str">
            <v>*</v>
          </cell>
        </row>
        <row r="826">
          <cell r="A826" t="str">
            <v>41-9020</v>
          </cell>
          <cell r="B826" t="str">
            <v>Real Estate Brokers and Sales Agents</v>
          </cell>
          <cell r="C826">
            <v>224380</v>
          </cell>
          <cell r="D826">
            <v>2.2999999999999998</v>
          </cell>
          <cell r="E826">
            <v>66880</v>
          </cell>
          <cell r="F826">
            <v>1.7</v>
          </cell>
          <cell r="G826">
            <v>48770</v>
          </cell>
        </row>
        <row r="827">
          <cell r="A827" t="str">
            <v>41-9021</v>
          </cell>
          <cell r="B827" t="str">
            <v>Real Estate Brokers</v>
          </cell>
          <cell r="C827">
            <v>48460</v>
          </cell>
          <cell r="D827">
            <v>6.9</v>
          </cell>
          <cell r="E827">
            <v>86490</v>
          </cell>
          <cell r="F827">
            <v>4.5</v>
          </cell>
          <cell r="G827">
            <v>62010</v>
          </cell>
        </row>
        <row r="828">
          <cell r="A828" t="str">
            <v>41-9022</v>
          </cell>
          <cell r="B828" t="str">
            <v>Real Estate Sales Agents</v>
          </cell>
          <cell r="C828">
            <v>175920</v>
          </cell>
          <cell r="D828">
            <v>3.8</v>
          </cell>
          <cell r="E828">
            <v>61480</v>
          </cell>
          <cell r="F828">
            <v>1.8</v>
          </cell>
          <cell r="G828">
            <v>48340</v>
          </cell>
        </row>
        <row r="829">
          <cell r="A829" t="str">
            <v>41-9030</v>
          </cell>
          <cell r="B829" t="str">
            <v>Sales Engineers</v>
          </cell>
          <cell r="C829">
            <v>59550</v>
          </cell>
          <cell r="D829">
            <v>2.9</v>
          </cell>
          <cell r="E829">
            <v>118630</v>
          </cell>
          <cell r="F829">
            <v>0.9</v>
          </cell>
          <cell r="G829">
            <v>103710</v>
          </cell>
        </row>
        <row r="830">
          <cell r="A830" t="str">
            <v>41-9031</v>
          </cell>
          <cell r="B830" t="str">
            <v>Sales Engineers</v>
          </cell>
          <cell r="C830">
            <v>59550</v>
          </cell>
          <cell r="D830">
            <v>2.9</v>
          </cell>
          <cell r="E830">
            <v>118630</v>
          </cell>
          <cell r="F830">
            <v>0.9</v>
          </cell>
          <cell r="G830">
            <v>103710</v>
          </cell>
        </row>
        <row r="831">
          <cell r="A831" t="str">
            <v>41-9040</v>
          </cell>
          <cell r="B831" t="str">
            <v>Telemarketers</v>
          </cell>
          <cell r="C831">
            <v>115130</v>
          </cell>
          <cell r="D831">
            <v>3.2</v>
          </cell>
          <cell r="E831">
            <v>30670</v>
          </cell>
          <cell r="F831">
            <v>1.3</v>
          </cell>
          <cell r="G831">
            <v>28910</v>
          </cell>
        </row>
        <row r="832">
          <cell r="A832" t="str">
            <v>41-9041</v>
          </cell>
          <cell r="B832" t="str">
            <v>Telemarketers</v>
          </cell>
          <cell r="C832">
            <v>115130</v>
          </cell>
          <cell r="D832">
            <v>3.2</v>
          </cell>
          <cell r="E832">
            <v>30670</v>
          </cell>
          <cell r="F832">
            <v>1.3</v>
          </cell>
          <cell r="G832">
            <v>28910</v>
          </cell>
        </row>
        <row r="833">
          <cell r="A833" t="str">
            <v>41-9090</v>
          </cell>
          <cell r="B833" t="str">
            <v>Miscellaneous Sales and Related Workers</v>
          </cell>
          <cell r="C833">
            <v>243600</v>
          </cell>
          <cell r="D833">
            <v>1.5</v>
          </cell>
          <cell r="E833">
            <v>38720</v>
          </cell>
          <cell r="F833">
            <v>0.7</v>
          </cell>
          <cell r="G833">
            <v>29570</v>
          </cell>
        </row>
        <row r="834">
          <cell r="A834" t="str">
            <v>41-9091</v>
          </cell>
          <cell r="B834" t="str">
            <v>Door-to-Door Sales Workers, News and Street Vendors, and Related Workers</v>
          </cell>
          <cell r="C834">
            <v>7860</v>
          </cell>
          <cell r="D834">
            <v>8.9</v>
          </cell>
          <cell r="E834">
            <v>34970</v>
          </cell>
          <cell r="F834">
            <v>2.1</v>
          </cell>
          <cell r="G834">
            <v>29390</v>
          </cell>
        </row>
        <row r="835">
          <cell r="A835" t="str">
            <v>41-9099</v>
          </cell>
          <cell r="B835" t="str">
            <v>Sales and Related Workers, All Other</v>
          </cell>
          <cell r="C835">
            <v>235740</v>
          </cell>
          <cell r="D835">
            <v>1.5</v>
          </cell>
          <cell r="E835">
            <v>38840</v>
          </cell>
          <cell r="F835">
            <v>0.7</v>
          </cell>
          <cell r="G835">
            <v>29570</v>
          </cell>
        </row>
        <row r="836">
          <cell r="A836" t="str">
            <v>43-0000</v>
          </cell>
          <cell r="B836" t="str">
            <v>Office and Administrative Support Occupations</v>
          </cell>
          <cell r="C836">
            <v>18299380</v>
          </cell>
          <cell r="D836">
            <v>0.1</v>
          </cell>
          <cell r="E836">
            <v>43430</v>
          </cell>
          <cell r="F836">
            <v>0.1</v>
          </cell>
          <cell r="G836">
            <v>38050</v>
          </cell>
        </row>
        <row r="837">
          <cell r="A837" t="str">
            <v>43-1000</v>
          </cell>
          <cell r="B837" t="str">
            <v>Supervisors of Office and Administrative Support Workers</v>
          </cell>
          <cell r="C837">
            <v>1443630</v>
          </cell>
          <cell r="D837">
            <v>0.3</v>
          </cell>
          <cell r="E837">
            <v>63380</v>
          </cell>
          <cell r="F837">
            <v>0.1</v>
          </cell>
          <cell r="G837">
            <v>60590</v>
          </cell>
        </row>
        <row r="838">
          <cell r="A838" t="str">
            <v>43-1010</v>
          </cell>
          <cell r="B838" t="str">
            <v>First-Line Supervisors of Office and Administrative Support Workers</v>
          </cell>
          <cell r="C838">
            <v>1443630</v>
          </cell>
          <cell r="D838">
            <v>0.3</v>
          </cell>
          <cell r="E838">
            <v>63380</v>
          </cell>
          <cell r="F838">
            <v>0.1</v>
          </cell>
          <cell r="G838">
            <v>60590</v>
          </cell>
        </row>
        <row r="839">
          <cell r="A839" t="str">
            <v>43-1011</v>
          </cell>
          <cell r="B839" t="str">
            <v>First-Line Supervisors of Office and Administrative Support Workers</v>
          </cell>
          <cell r="C839">
            <v>1443630</v>
          </cell>
          <cell r="D839">
            <v>0.3</v>
          </cell>
          <cell r="E839">
            <v>63380</v>
          </cell>
          <cell r="F839">
            <v>0.1</v>
          </cell>
          <cell r="G839">
            <v>60590</v>
          </cell>
        </row>
        <row r="840">
          <cell r="A840" t="str">
            <v>43-2000</v>
          </cell>
          <cell r="B840" t="str">
            <v>Communications Equipment Operators</v>
          </cell>
          <cell r="C840">
            <v>53400</v>
          </cell>
          <cell r="D840">
            <v>1.7</v>
          </cell>
          <cell r="E840">
            <v>35310</v>
          </cell>
          <cell r="F840">
            <v>0.5</v>
          </cell>
          <cell r="G840">
            <v>30720</v>
          </cell>
        </row>
        <row r="841">
          <cell r="A841" t="str">
            <v>43-2010</v>
          </cell>
          <cell r="B841" t="str">
            <v>Switchboard Operators, Including Answering Service</v>
          </cell>
          <cell r="C841">
            <v>48190</v>
          </cell>
          <cell r="D841">
            <v>1.8</v>
          </cell>
          <cell r="E841">
            <v>34590</v>
          </cell>
          <cell r="F841">
            <v>0.5</v>
          </cell>
          <cell r="G841">
            <v>30150</v>
          </cell>
        </row>
        <row r="842">
          <cell r="A842" t="str">
            <v>43-2011</v>
          </cell>
          <cell r="B842" t="str">
            <v>Switchboard Operators, Including Answering Service</v>
          </cell>
          <cell r="C842">
            <v>48190</v>
          </cell>
          <cell r="D842">
            <v>1.8</v>
          </cell>
          <cell r="E842">
            <v>34590</v>
          </cell>
          <cell r="F842">
            <v>0.5</v>
          </cell>
          <cell r="G842">
            <v>30150</v>
          </cell>
        </row>
        <row r="843">
          <cell r="A843" t="str">
            <v>43-2020</v>
          </cell>
          <cell r="B843" t="str">
            <v>Telephone Operators</v>
          </cell>
          <cell r="C843">
            <v>3870</v>
          </cell>
          <cell r="D843">
            <v>7.3</v>
          </cell>
          <cell r="E843">
            <v>39370</v>
          </cell>
          <cell r="F843">
            <v>2.6</v>
          </cell>
          <cell r="G843">
            <v>37630</v>
          </cell>
        </row>
        <row r="844">
          <cell r="A844" t="str">
            <v>43-2021</v>
          </cell>
          <cell r="B844" t="str">
            <v>Telephone Operators</v>
          </cell>
          <cell r="C844">
            <v>3870</v>
          </cell>
          <cell r="D844">
            <v>7.3</v>
          </cell>
          <cell r="E844">
            <v>39370</v>
          </cell>
          <cell r="F844">
            <v>2.6</v>
          </cell>
          <cell r="G844">
            <v>37630</v>
          </cell>
        </row>
        <row r="845">
          <cell r="A845" t="str">
            <v>43-2090</v>
          </cell>
          <cell r="B845" t="str">
            <v>Miscellaneous Communications Equipment Operators</v>
          </cell>
          <cell r="C845">
            <v>1340</v>
          </cell>
          <cell r="D845">
            <v>3.6</v>
          </cell>
          <cell r="E845">
            <v>49470</v>
          </cell>
          <cell r="F845">
            <v>1.4</v>
          </cell>
          <cell r="G845">
            <v>47000</v>
          </cell>
        </row>
        <row r="846">
          <cell r="A846" t="str">
            <v>43-2099</v>
          </cell>
          <cell r="B846" t="str">
            <v>Communications Equipment Operators, All Other</v>
          </cell>
          <cell r="C846">
            <v>1340</v>
          </cell>
          <cell r="D846">
            <v>3.6</v>
          </cell>
          <cell r="E846">
            <v>49470</v>
          </cell>
          <cell r="F846">
            <v>1.4</v>
          </cell>
          <cell r="G846">
            <v>47000</v>
          </cell>
        </row>
        <row r="847">
          <cell r="A847" t="str">
            <v>43-3000</v>
          </cell>
          <cell r="B847" t="str">
            <v>Financial Clerks</v>
          </cell>
          <cell r="C847">
            <v>2768230</v>
          </cell>
          <cell r="D847">
            <v>0.4</v>
          </cell>
          <cell r="E847">
            <v>43340</v>
          </cell>
          <cell r="F847">
            <v>0.1</v>
          </cell>
          <cell r="G847">
            <v>38830</v>
          </cell>
        </row>
        <row r="848">
          <cell r="A848" t="str">
            <v>43-3010</v>
          </cell>
          <cell r="B848" t="str">
            <v>Bill and Account Collectors</v>
          </cell>
          <cell r="C848">
            <v>212900</v>
          </cell>
          <cell r="D848">
            <v>1.5</v>
          </cell>
          <cell r="E848">
            <v>41280</v>
          </cell>
          <cell r="F848">
            <v>0.6</v>
          </cell>
          <cell r="G848">
            <v>37700</v>
          </cell>
        </row>
        <row r="849">
          <cell r="A849" t="str">
            <v>43-3011</v>
          </cell>
          <cell r="B849" t="str">
            <v>Bill and Account Collectors</v>
          </cell>
          <cell r="C849">
            <v>212900</v>
          </cell>
          <cell r="D849">
            <v>1.5</v>
          </cell>
          <cell r="E849">
            <v>41280</v>
          </cell>
          <cell r="F849">
            <v>0.6</v>
          </cell>
          <cell r="G849">
            <v>37700</v>
          </cell>
        </row>
        <row r="850">
          <cell r="A850" t="str">
            <v>43-3020</v>
          </cell>
          <cell r="B850" t="str">
            <v>Billing and Posting Clerks</v>
          </cell>
          <cell r="C850">
            <v>429080</v>
          </cell>
          <cell r="D850">
            <v>1</v>
          </cell>
          <cell r="E850">
            <v>42750</v>
          </cell>
          <cell r="F850">
            <v>0.3</v>
          </cell>
          <cell r="G850">
            <v>38330</v>
          </cell>
        </row>
        <row r="851">
          <cell r="A851" t="str">
            <v>43-3021</v>
          </cell>
          <cell r="B851" t="str">
            <v>Billing and Posting Clerks</v>
          </cell>
          <cell r="C851">
            <v>429080</v>
          </cell>
          <cell r="D851">
            <v>1</v>
          </cell>
          <cell r="E851">
            <v>42750</v>
          </cell>
          <cell r="F851">
            <v>0.3</v>
          </cell>
          <cell r="G851">
            <v>38330</v>
          </cell>
        </row>
        <row r="852">
          <cell r="A852" t="str">
            <v>43-3030</v>
          </cell>
          <cell r="B852" t="str">
            <v>Bookkeeping, Accounting, and Auditing Clerks</v>
          </cell>
          <cell r="C852">
            <v>1509370</v>
          </cell>
          <cell r="D852">
            <v>0.6</v>
          </cell>
          <cell r="E852">
            <v>45140</v>
          </cell>
          <cell r="F852">
            <v>0.2</v>
          </cell>
          <cell r="G852">
            <v>45560</v>
          </cell>
        </row>
        <row r="853">
          <cell r="A853" t="str">
            <v>43-3031</v>
          </cell>
          <cell r="B853" t="str">
            <v>Bookkeeping, Accounting, and Auditing Clerks</v>
          </cell>
          <cell r="C853">
            <v>1509370</v>
          </cell>
          <cell r="D853">
            <v>0.6</v>
          </cell>
          <cell r="E853">
            <v>45140</v>
          </cell>
          <cell r="F853">
            <v>0.2</v>
          </cell>
          <cell r="G853">
            <v>45560</v>
          </cell>
        </row>
        <row r="854">
          <cell r="A854" t="str">
            <v>43-3040</v>
          </cell>
          <cell r="B854" t="str">
            <v>Gambling Cage Workers</v>
          </cell>
          <cell r="C854">
            <v>11140</v>
          </cell>
          <cell r="D854">
            <v>2.6</v>
          </cell>
          <cell r="E854">
            <v>30770</v>
          </cell>
          <cell r="F854">
            <v>0.8</v>
          </cell>
          <cell r="G854">
            <v>29360</v>
          </cell>
        </row>
        <row r="855">
          <cell r="A855" t="str">
            <v>43-3041</v>
          </cell>
          <cell r="B855" t="str">
            <v>Gambling Cage Workers</v>
          </cell>
          <cell r="C855">
            <v>11140</v>
          </cell>
          <cell r="D855">
            <v>2.6</v>
          </cell>
          <cell r="E855">
            <v>30770</v>
          </cell>
          <cell r="F855">
            <v>0.8</v>
          </cell>
          <cell r="G855">
            <v>29360</v>
          </cell>
        </row>
        <row r="856">
          <cell r="A856" t="str">
            <v>43-3050</v>
          </cell>
          <cell r="B856" t="str">
            <v>Payroll and Timekeeping Clerks</v>
          </cell>
          <cell r="C856">
            <v>149290</v>
          </cell>
          <cell r="D856">
            <v>1.3</v>
          </cell>
          <cell r="E856">
            <v>49560</v>
          </cell>
          <cell r="F856">
            <v>0.4</v>
          </cell>
          <cell r="G856">
            <v>47610</v>
          </cell>
        </row>
        <row r="857">
          <cell r="A857" t="str">
            <v>43-3051</v>
          </cell>
          <cell r="B857" t="str">
            <v>Payroll and Timekeeping Clerks</v>
          </cell>
          <cell r="C857">
            <v>149290</v>
          </cell>
          <cell r="D857">
            <v>1.3</v>
          </cell>
          <cell r="E857">
            <v>49560</v>
          </cell>
          <cell r="F857">
            <v>0.4</v>
          </cell>
          <cell r="G857">
            <v>47610</v>
          </cell>
        </row>
        <row r="858">
          <cell r="A858" t="str">
            <v>43-3060</v>
          </cell>
          <cell r="B858" t="str">
            <v>Procurement Clerks</v>
          </cell>
          <cell r="C858">
            <v>61930</v>
          </cell>
          <cell r="D858">
            <v>1.6</v>
          </cell>
          <cell r="E858">
            <v>44930</v>
          </cell>
          <cell r="F858">
            <v>0.5</v>
          </cell>
          <cell r="G858">
            <v>45150</v>
          </cell>
        </row>
        <row r="859">
          <cell r="A859" t="str">
            <v>43-3061</v>
          </cell>
          <cell r="B859" t="str">
            <v>Procurement Clerks</v>
          </cell>
          <cell r="C859">
            <v>61930</v>
          </cell>
          <cell r="D859">
            <v>1.6</v>
          </cell>
          <cell r="E859">
            <v>44930</v>
          </cell>
          <cell r="F859">
            <v>0.5</v>
          </cell>
          <cell r="G859">
            <v>45150</v>
          </cell>
        </row>
        <row r="860">
          <cell r="A860" t="str">
            <v>43-3070</v>
          </cell>
          <cell r="B860" t="str">
            <v>Tellers</v>
          </cell>
          <cell r="C860">
            <v>364210</v>
          </cell>
          <cell r="D860">
            <v>1</v>
          </cell>
          <cell r="E860">
            <v>34930</v>
          </cell>
          <cell r="F860">
            <v>0.3</v>
          </cell>
          <cell r="G860">
            <v>36310</v>
          </cell>
        </row>
        <row r="861">
          <cell r="A861" t="str">
            <v>43-3071</v>
          </cell>
          <cell r="B861" t="str">
            <v>Tellers</v>
          </cell>
          <cell r="C861">
            <v>364210</v>
          </cell>
          <cell r="D861">
            <v>1</v>
          </cell>
          <cell r="E861">
            <v>34930</v>
          </cell>
          <cell r="F861">
            <v>0.3</v>
          </cell>
          <cell r="G861">
            <v>36310</v>
          </cell>
        </row>
        <row r="862">
          <cell r="A862" t="str">
            <v>43-3090</v>
          </cell>
          <cell r="B862" t="str">
            <v>Miscellaneous Financial Clerks</v>
          </cell>
          <cell r="C862">
            <v>30310</v>
          </cell>
          <cell r="D862">
            <v>2.9</v>
          </cell>
          <cell r="E862">
            <v>47830</v>
          </cell>
          <cell r="F862">
            <v>0.9</v>
          </cell>
          <cell r="G862">
            <v>46900</v>
          </cell>
        </row>
        <row r="863">
          <cell r="A863" t="str">
            <v>43-3099</v>
          </cell>
          <cell r="B863" t="str">
            <v>Financial Clerks, All Other</v>
          </cell>
          <cell r="C863">
            <v>30310</v>
          </cell>
          <cell r="D863">
            <v>2.9</v>
          </cell>
          <cell r="E863">
            <v>47830</v>
          </cell>
          <cell r="F863">
            <v>0.9</v>
          </cell>
          <cell r="G863">
            <v>46900</v>
          </cell>
        </row>
        <row r="864">
          <cell r="A864" t="str">
            <v>43-4000</v>
          </cell>
          <cell r="B864" t="str">
            <v>Information and Record Clerks</v>
          </cell>
          <cell r="C864">
            <v>5461400</v>
          </cell>
          <cell r="D864">
            <v>0.3</v>
          </cell>
          <cell r="E864">
            <v>38670</v>
          </cell>
          <cell r="F864">
            <v>0.1</v>
          </cell>
          <cell r="G864">
            <v>36770</v>
          </cell>
        </row>
        <row r="865">
          <cell r="A865" t="str">
            <v>43-4010</v>
          </cell>
          <cell r="B865" t="str">
            <v>Brokerage Clerks</v>
          </cell>
          <cell r="C865">
            <v>39980</v>
          </cell>
          <cell r="D865">
            <v>3.6</v>
          </cell>
          <cell r="E865">
            <v>57710</v>
          </cell>
          <cell r="F865">
            <v>1.2</v>
          </cell>
          <cell r="G865">
            <v>54000</v>
          </cell>
        </row>
        <row r="866">
          <cell r="A866" t="str">
            <v>43-4011</v>
          </cell>
          <cell r="B866" t="str">
            <v>Brokerage Clerks</v>
          </cell>
          <cell r="C866">
            <v>39980</v>
          </cell>
          <cell r="D866">
            <v>3.6</v>
          </cell>
          <cell r="E866">
            <v>57710</v>
          </cell>
          <cell r="F866">
            <v>1.2</v>
          </cell>
          <cell r="G866">
            <v>54000</v>
          </cell>
        </row>
        <row r="867">
          <cell r="A867" t="str">
            <v>43-4020</v>
          </cell>
          <cell r="B867" t="str">
            <v>Correspondence Clerks</v>
          </cell>
          <cell r="C867">
            <v>7060</v>
          </cell>
          <cell r="D867">
            <v>6.2</v>
          </cell>
          <cell r="E867">
            <v>41710</v>
          </cell>
          <cell r="F867">
            <v>2.9</v>
          </cell>
          <cell r="G867">
            <v>37920</v>
          </cell>
        </row>
        <row r="868">
          <cell r="A868" t="str">
            <v>43-4021</v>
          </cell>
          <cell r="B868" t="str">
            <v>Correspondence Clerks</v>
          </cell>
          <cell r="C868">
            <v>7060</v>
          </cell>
          <cell r="D868">
            <v>6.2</v>
          </cell>
          <cell r="E868">
            <v>41710</v>
          </cell>
          <cell r="F868">
            <v>2.9</v>
          </cell>
          <cell r="G868">
            <v>37920</v>
          </cell>
        </row>
        <row r="869">
          <cell r="A869" t="str">
            <v>43-4030</v>
          </cell>
          <cell r="B869" t="str">
            <v>Court, Municipal, and License Clerks</v>
          </cell>
          <cell r="C869">
            <v>150170</v>
          </cell>
          <cell r="D869">
            <v>1</v>
          </cell>
          <cell r="E869">
            <v>44870</v>
          </cell>
          <cell r="F869">
            <v>0.2</v>
          </cell>
          <cell r="G869">
            <v>44610</v>
          </cell>
        </row>
        <row r="870">
          <cell r="A870" t="str">
            <v>43-4031</v>
          </cell>
          <cell r="B870" t="str">
            <v>Court, Municipal, and License Clerks</v>
          </cell>
          <cell r="C870">
            <v>150170</v>
          </cell>
          <cell r="D870">
            <v>1</v>
          </cell>
          <cell r="E870">
            <v>44870</v>
          </cell>
          <cell r="F870">
            <v>0.2</v>
          </cell>
          <cell r="G870">
            <v>44610</v>
          </cell>
        </row>
        <row r="871">
          <cell r="A871" t="str">
            <v>43-4040</v>
          </cell>
          <cell r="B871" t="str">
            <v>Credit Authorizers, Checkers, and Clerks</v>
          </cell>
          <cell r="C871">
            <v>16820</v>
          </cell>
          <cell r="D871">
            <v>2.5</v>
          </cell>
          <cell r="E871">
            <v>44540</v>
          </cell>
          <cell r="F871">
            <v>0.7</v>
          </cell>
          <cell r="G871">
            <v>44710</v>
          </cell>
        </row>
        <row r="872">
          <cell r="A872" t="str">
            <v>43-4041</v>
          </cell>
          <cell r="B872" t="str">
            <v>Credit Authorizers, Checkers, and Clerks</v>
          </cell>
          <cell r="C872">
            <v>16820</v>
          </cell>
          <cell r="D872">
            <v>2.5</v>
          </cell>
          <cell r="E872">
            <v>44540</v>
          </cell>
          <cell r="F872">
            <v>0.7</v>
          </cell>
          <cell r="G872">
            <v>44710</v>
          </cell>
        </row>
        <row r="873">
          <cell r="A873" t="str">
            <v>43-4050</v>
          </cell>
          <cell r="B873" t="str">
            <v>Customer Service Representatives</v>
          </cell>
          <cell r="C873">
            <v>2787070</v>
          </cell>
          <cell r="D873">
            <v>0.5</v>
          </cell>
          <cell r="E873">
            <v>39070</v>
          </cell>
          <cell r="F873">
            <v>0.1</v>
          </cell>
          <cell r="G873">
            <v>36920</v>
          </cell>
        </row>
        <row r="874">
          <cell r="A874" t="str">
            <v>43-4051</v>
          </cell>
          <cell r="B874" t="str">
            <v>Customer Service Representatives</v>
          </cell>
          <cell r="C874">
            <v>2787070</v>
          </cell>
          <cell r="D874">
            <v>0.5</v>
          </cell>
          <cell r="E874">
            <v>39070</v>
          </cell>
          <cell r="F874">
            <v>0.1</v>
          </cell>
          <cell r="G874">
            <v>36920</v>
          </cell>
        </row>
        <row r="875">
          <cell r="A875" t="str">
            <v>43-4060</v>
          </cell>
          <cell r="B875" t="str">
            <v>Eligibility Interviewers, Government Programs</v>
          </cell>
          <cell r="C875">
            <v>151340</v>
          </cell>
          <cell r="D875">
            <v>0.5</v>
          </cell>
          <cell r="E875">
            <v>48570</v>
          </cell>
          <cell r="F875">
            <v>0.1</v>
          </cell>
          <cell r="G875">
            <v>47420</v>
          </cell>
        </row>
        <row r="876">
          <cell r="A876" t="str">
            <v>43-4061</v>
          </cell>
          <cell r="B876" t="str">
            <v>Eligibility Interviewers, Government Programs</v>
          </cell>
          <cell r="C876">
            <v>151340</v>
          </cell>
          <cell r="D876">
            <v>0.5</v>
          </cell>
          <cell r="E876">
            <v>48570</v>
          </cell>
          <cell r="F876">
            <v>0.1</v>
          </cell>
          <cell r="G876">
            <v>47420</v>
          </cell>
        </row>
        <row r="877">
          <cell r="A877" t="str">
            <v>43-4070</v>
          </cell>
          <cell r="B877" t="str">
            <v>File Clerks</v>
          </cell>
          <cell r="C877">
            <v>85460</v>
          </cell>
          <cell r="D877">
            <v>3.2</v>
          </cell>
          <cell r="E877">
            <v>36820</v>
          </cell>
          <cell r="F877">
            <v>0.7</v>
          </cell>
          <cell r="G877">
            <v>36360</v>
          </cell>
        </row>
        <row r="878">
          <cell r="A878" t="str">
            <v>43-4071</v>
          </cell>
          <cell r="B878" t="str">
            <v>File Clerks</v>
          </cell>
          <cell r="C878">
            <v>85460</v>
          </cell>
          <cell r="D878">
            <v>3.2</v>
          </cell>
          <cell r="E878">
            <v>36820</v>
          </cell>
          <cell r="F878">
            <v>0.7</v>
          </cell>
          <cell r="G878">
            <v>36360</v>
          </cell>
        </row>
        <row r="879">
          <cell r="A879" t="str">
            <v>43-4080</v>
          </cell>
          <cell r="B879" t="str">
            <v>Hotel, Motel, and Resort Desk Clerks</v>
          </cell>
          <cell r="C879">
            <v>220380</v>
          </cell>
          <cell r="D879">
            <v>1</v>
          </cell>
          <cell r="E879">
            <v>28040</v>
          </cell>
          <cell r="F879">
            <v>0.4</v>
          </cell>
          <cell r="G879">
            <v>28080</v>
          </cell>
        </row>
        <row r="880">
          <cell r="A880" t="str">
            <v>43-4081</v>
          </cell>
          <cell r="B880" t="str">
            <v>Hotel, Motel, and Resort Desk Clerks</v>
          </cell>
          <cell r="C880">
            <v>220380</v>
          </cell>
          <cell r="D880">
            <v>1</v>
          </cell>
          <cell r="E880">
            <v>28040</v>
          </cell>
          <cell r="F880">
            <v>0.4</v>
          </cell>
          <cell r="G880">
            <v>28080</v>
          </cell>
        </row>
        <row r="881">
          <cell r="A881" t="str">
            <v>43-4110</v>
          </cell>
          <cell r="B881" t="str">
            <v>Interviewers, Except Eligibility and Loan</v>
          </cell>
          <cell r="C881">
            <v>169840</v>
          </cell>
          <cell r="D881">
            <v>1.3</v>
          </cell>
          <cell r="E881">
            <v>38840</v>
          </cell>
          <cell r="F881">
            <v>0.3</v>
          </cell>
          <cell r="G881">
            <v>37220</v>
          </cell>
        </row>
        <row r="882">
          <cell r="A882" t="str">
            <v>43-4111</v>
          </cell>
          <cell r="B882" t="str">
            <v>Interviewers, Except Eligibility and Loan</v>
          </cell>
          <cell r="C882">
            <v>169840</v>
          </cell>
          <cell r="D882">
            <v>1.3</v>
          </cell>
          <cell r="E882">
            <v>38840</v>
          </cell>
          <cell r="F882">
            <v>0.3</v>
          </cell>
          <cell r="G882">
            <v>37220</v>
          </cell>
        </row>
        <row r="883">
          <cell r="A883" t="str">
            <v>43-4120</v>
          </cell>
          <cell r="B883" t="str">
            <v>Library Assistants, Clerical</v>
          </cell>
          <cell r="C883">
            <v>78470</v>
          </cell>
          <cell r="D883">
            <v>2.1</v>
          </cell>
          <cell r="E883">
            <v>32490</v>
          </cell>
          <cell r="F883">
            <v>0.4</v>
          </cell>
          <cell r="G883">
            <v>29450</v>
          </cell>
        </row>
        <row r="884">
          <cell r="A884" t="str">
            <v>43-4121</v>
          </cell>
          <cell r="B884" t="str">
            <v>Library Assistants, Clerical</v>
          </cell>
          <cell r="C884">
            <v>78470</v>
          </cell>
          <cell r="D884">
            <v>2.1</v>
          </cell>
          <cell r="E884">
            <v>32490</v>
          </cell>
          <cell r="F884">
            <v>0.4</v>
          </cell>
          <cell r="G884">
            <v>29450</v>
          </cell>
        </row>
        <row r="885">
          <cell r="A885" t="str">
            <v>43-4130</v>
          </cell>
          <cell r="B885" t="str">
            <v>Loan Interviewers and Clerks</v>
          </cell>
          <cell r="C885">
            <v>238610</v>
          </cell>
          <cell r="D885">
            <v>1.2</v>
          </cell>
          <cell r="E885">
            <v>44910</v>
          </cell>
          <cell r="F885">
            <v>0.4</v>
          </cell>
          <cell r="G885">
            <v>45940</v>
          </cell>
        </row>
        <row r="886">
          <cell r="A886" t="str">
            <v>43-4131</v>
          </cell>
          <cell r="B886" t="str">
            <v>Loan Interviewers and Clerks</v>
          </cell>
          <cell r="C886">
            <v>238610</v>
          </cell>
          <cell r="D886">
            <v>1.2</v>
          </cell>
          <cell r="E886">
            <v>44910</v>
          </cell>
          <cell r="F886">
            <v>0.4</v>
          </cell>
          <cell r="G886">
            <v>45940</v>
          </cell>
        </row>
        <row r="887">
          <cell r="A887" t="str">
            <v>43-4140</v>
          </cell>
          <cell r="B887" t="str">
            <v>New Accounts Clerks</v>
          </cell>
          <cell r="C887">
            <v>40500</v>
          </cell>
          <cell r="D887">
            <v>3.5</v>
          </cell>
          <cell r="E887">
            <v>41250</v>
          </cell>
          <cell r="F887">
            <v>1</v>
          </cell>
          <cell r="G887">
            <v>37840</v>
          </cell>
        </row>
        <row r="888">
          <cell r="A888" t="str">
            <v>43-4141</v>
          </cell>
          <cell r="B888" t="str">
            <v>New Accounts Clerks</v>
          </cell>
          <cell r="C888">
            <v>40500</v>
          </cell>
          <cell r="D888">
            <v>3.5</v>
          </cell>
          <cell r="E888">
            <v>41250</v>
          </cell>
          <cell r="F888">
            <v>1</v>
          </cell>
          <cell r="G888">
            <v>37840</v>
          </cell>
        </row>
        <row r="889">
          <cell r="A889" t="str">
            <v>43-4150</v>
          </cell>
          <cell r="B889" t="str">
            <v>Order Clerks</v>
          </cell>
          <cell r="C889">
            <v>133850</v>
          </cell>
          <cell r="D889">
            <v>2.4</v>
          </cell>
          <cell r="E889">
            <v>41820</v>
          </cell>
          <cell r="F889">
            <v>0.7</v>
          </cell>
          <cell r="G889">
            <v>37920</v>
          </cell>
        </row>
        <row r="890">
          <cell r="A890" t="str">
            <v>43-4151</v>
          </cell>
          <cell r="B890" t="str">
            <v>Order Clerks</v>
          </cell>
          <cell r="C890">
            <v>133850</v>
          </cell>
          <cell r="D890">
            <v>2.4</v>
          </cell>
          <cell r="E890">
            <v>41820</v>
          </cell>
          <cell r="F890">
            <v>0.7</v>
          </cell>
          <cell r="G890">
            <v>37920</v>
          </cell>
        </row>
        <row r="891">
          <cell r="A891" t="str">
            <v>43-4160</v>
          </cell>
          <cell r="B891" t="str">
            <v>Human Resources Assistants, Except Payroll and Timekeeping</v>
          </cell>
          <cell r="C891">
            <v>102770</v>
          </cell>
          <cell r="D891">
            <v>1.3</v>
          </cell>
          <cell r="E891">
            <v>44840</v>
          </cell>
          <cell r="F891">
            <v>0.4</v>
          </cell>
          <cell r="G891">
            <v>45630</v>
          </cell>
        </row>
        <row r="892">
          <cell r="A892" t="str">
            <v>43-4161</v>
          </cell>
          <cell r="B892" t="str">
            <v>Human Resources Assistants, Except Payroll and Timekeeping</v>
          </cell>
          <cell r="C892">
            <v>102770</v>
          </cell>
          <cell r="D892">
            <v>1.3</v>
          </cell>
          <cell r="E892">
            <v>44840</v>
          </cell>
          <cell r="F892">
            <v>0.4</v>
          </cell>
          <cell r="G892">
            <v>45630</v>
          </cell>
        </row>
        <row r="893">
          <cell r="A893" t="str">
            <v>43-4170</v>
          </cell>
          <cell r="B893" t="str">
            <v>Receptionists and Information Clerks</v>
          </cell>
          <cell r="C893">
            <v>983150</v>
          </cell>
          <cell r="D893">
            <v>0.6</v>
          </cell>
          <cell r="E893">
            <v>32910</v>
          </cell>
          <cell r="F893">
            <v>0.2</v>
          </cell>
          <cell r="G893">
            <v>29950</v>
          </cell>
        </row>
        <row r="894">
          <cell r="A894" t="str">
            <v>43-4171</v>
          </cell>
          <cell r="B894" t="str">
            <v>Receptionists and Information Clerks</v>
          </cell>
          <cell r="C894">
            <v>983150</v>
          </cell>
          <cell r="D894">
            <v>0.6</v>
          </cell>
          <cell r="E894">
            <v>32910</v>
          </cell>
          <cell r="F894">
            <v>0.2</v>
          </cell>
          <cell r="G894">
            <v>29950</v>
          </cell>
        </row>
        <row r="895">
          <cell r="A895" t="str">
            <v>43-4180</v>
          </cell>
          <cell r="B895" t="str">
            <v>Reservation and Transportation Ticket Agents and Travel Clerks</v>
          </cell>
          <cell r="C895">
            <v>100860</v>
          </cell>
          <cell r="D895">
            <v>1.5</v>
          </cell>
          <cell r="E895">
            <v>45630</v>
          </cell>
          <cell r="F895">
            <v>0.4</v>
          </cell>
          <cell r="G895">
            <v>39900</v>
          </cell>
        </row>
        <row r="896">
          <cell r="A896" t="str">
            <v>43-4181</v>
          </cell>
          <cell r="B896" t="str">
            <v>Reservation and Transportation Ticket Agents and Travel Clerks</v>
          </cell>
          <cell r="C896">
            <v>100860</v>
          </cell>
          <cell r="D896">
            <v>1.5</v>
          </cell>
          <cell r="E896">
            <v>45630</v>
          </cell>
          <cell r="F896">
            <v>0.4</v>
          </cell>
          <cell r="G896">
            <v>39900</v>
          </cell>
        </row>
        <row r="897">
          <cell r="A897" t="str">
            <v>43-4190</v>
          </cell>
          <cell r="B897" t="str">
            <v>Miscellaneous Information and Record Clerks</v>
          </cell>
          <cell r="C897">
            <v>155080</v>
          </cell>
          <cell r="D897">
            <v>1</v>
          </cell>
          <cell r="E897">
            <v>43950</v>
          </cell>
          <cell r="F897">
            <v>0.3</v>
          </cell>
          <cell r="G897">
            <v>43160</v>
          </cell>
        </row>
        <row r="898">
          <cell r="A898" t="str">
            <v>43-4199</v>
          </cell>
          <cell r="B898" t="str">
            <v>Information and Record Clerks, All Other</v>
          </cell>
          <cell r="C898">
            <v>155080</v>
          </cell>
          <cell r="D898">
            <v>1</v>
          </cell>
          <cell r="E898">
            <v>43950</v>
          </cell>
          <cell r="F898">
            <v>0.3</v>
          </cell>
          <cell r="G898">
            <v>43160</v>
          </cell>
        </row>
        <row r="899">
          <cell r="A899" t="str">
            <v>43-5000</v>
          </cell>
          <cell r="B899" t="str">
            <v>Material Recording, Scheduling, Dispatching, and Distributing Workers</v>
          </cell>
          <cell r="C899">
            <v>2213750</v>
          </cell>
          <cell r="D899">
            <v>0.3</v>
          </cell>
          <cell r="E899">
            <v>45710</v>
          </cell>
          <cell r="F899">
            <v>0.1</v>
          </cell>
          <cell r="G899">
            <v>42030</v>
          </cell>
        </row>
        <row r="900">
          <cell r="A900" t="str">
            <v>43-5010</v>
          </cell>
          <cell r="B900" t="str">
            <v>Cargo and Freight Agents</v>
          </cell>
          <cell r="C900">
            <v>85750</v>
          </cell>
          <cell r="D900">
            <v>2.2000000000000002</v>
          </cell>
          <cell r="E900">
            <v>48420</v>
          </cell>
          <cell r="F900">
            <v>1.1000000000000001</v>
          </cell>
          <cell r="G900">
            <v>46910</v>
          </cell>
        </row>
        <row r="901">
          <cell r="A901" t="str">
            <v>43-5011</v>
          </cell>
          <cell r="B901" t="str">
            <v>Cargo and Freight Agents</v>
          </cell>
          <cell r="C901">
            <v>85750</v>
          </cell>
          <cell r="D901">
            <v>2.2000000000000002</v>
          </cell>
          <cell r="E901">
            <v>48420</v>
          </cell>
          <cell r="F901">
            <v>1.1000000000000001</v>
          </cell>
          <cell r="G901">
            <v>46910</v>
          </cell>
        </row>
        <row r="902">
          <cell r="A902" t="str">
            <v>43-5020</v>
          </cell>
          <cell r="B902" t="str">
            <v>Couriers and Messengers</v>
          </cell>
          <cell r="C902">
            <v>68310</v>
          </cell>
          <cell r="D902">
            <v>3.6</v>
          </cell>
          <cell r="E902">
            <v>34270</v>
          </cell>
          <cell r="F902">
            <v>0.6</v>
          </cell>
          <cell r="G902">
            <v>33050</v>
          </cell>
        </row>
        <row r="903">
          <cell r="A903" t="str">
            <v>43-5021</v>
          </cell>
          <cell r="B903" t="str">
            <v>Couriers and Messengers</v>
          </cell>
          <cell r="C903">
            <v>68310</v>
          </cell>
          <cell r="D903">
            <v>3.6</v>
          </cell>
          <cell r="E903">
            <v>34270</v>
          </cell>
          <cell r="F903">
            <v>0.6</v>
          </cell>
          <cell r="G903">
            <v>33050</v>
          </cell>
        </row>
        <row r="904">
          <cell r="A904" t="str">
            <v>43-5030</v>
          </cell>
          <cell r="B904" t="str">
            <v>Dispatchers</v>
          </cell>
          <cell r="C904">
            <v>291380</v>
          </cell>
          <cell r="D904">
            <v>0.9</v>
          </cell>
          <cell r="E904">
            <v>46780</v>
          </cell>
          <cell r="F904">
            <v>0.3</v>
          </cell>
          <cell r="G904">
            <v>45510</v>
          </cell>
        </row>
        <row r="905">
          <cell r="A905" t="str">
            <v>43-5031</v>
          </cell>
          <cell r="B905" t="str">
            <v>Public Safety Telecommunicators</v>
          </cell>
          <cell r="C905">
            <v>97050</v>
          </cell>
          <cell r="D905">
            <v>1.2</v>
          </cell>
          <cell r="E905">
            <v>47030</v>
          </cell>
          <cell r="F905">
            <v>0.4</v>
          </cell>
          <cell r="G905">
            <v>46670</v>
          </cell>
        </row>
        <row r="906">
          <cell r="A906" t="str">
            <v>43-5032</v>
          </cell>
          <cell r="B906" t="str">
            <v>Dispatchers, Except Police, Fire, and Ambulance</v>
          </cell>
          <cell r="C906">
            <v>194330</v>
          </cell>
          <cell r="D906">
            <v>1.1000000000000001</v>
          </cell>
          <cell r="E906">
            <v>46650</v>
          </cell>
          <cell r="F906">
            <v>0.4</v>
          </cell>
          <cell r="G906">
            <v>44050</v>
          </cell>
        </row>
        <row r="907">
          <cell r="A907" t="str">
            <v>43-5040</v>
          </cell>
          <cell r="B907" t="str">
            <v>Meter Readers, Utilities</v>
          </cell>
          <cell r="C907">
            <v>24000</v>
          </cell>
          <cell r="D907">
            <v>2.8</v>
          </cell>
          <cell r="E907">
            <v>47430</v>
          </cell>
          <cell r="F907">
            <v>0.8</v>
          </cell>
          <cell r="G907">
            <v>45720</v>
          </cell>
        </row>
        <row r="908">
          <cell r="A908" t="str">
            <v>43-5041</v>
          </cell>
          <cell r="B908" t="str">
            <v>Meter Readers, Utilities</v>
          </cell>
          <cell r="C908">
            <v>24000</v>
          </cell>
          <cell r="D908">
            <v>2.8</v>
          </cell>
          <cell r="E908">
            <v>47430</v>
          </cell>
          <cell r="F908">
            <v>0.8</v>
          </cell>
          <cell r="G908">
            <v>45720</v>
          </cell>
        </row>
        <row r="909">
          <cell r="A909" t="str">
            <v>43-5050</v>
          </cell>
          <cell r="B909" t="str">
            <v>Postal Service Workers</v>
          </cell>
          <cell r="C909">
            <v>527000</v>
          </cell>
          <cell r="D909">
            <v>0</v>
          </cell>
          <cell r="E909">
            <v>53480</v>
          </cell>
          <cell r="F909">
            <v>0</v>
          </cell>
          <cell r="G909">
            <v>51730</v>
          </cell>
        </row>
        <row r="910">
          <cell r="A910" t="str">
            <v>43-5051</v>
          </cell>
          <cell r="B910" t="str">
            <v>Postal Service Clerks</v>
          </cell>
          <cell r="C910">
            <v>79320</v>
          </cell>
          <cell r="D910">
            <v>0</v>
          </cell>
          <cell r="E910">
            <v>53210</v>
          </cell>
          <cell r="F910">
            <v>0</v>
          </cell>
          <cell r="G910">
            <v>52290</v>
          </cell>
        </row>
        <row r="911">
          <cell r="A911" t="str">
            <v>43-5052</v>
          </cell>
          <cell r="B911" t="str">
            <v>Postal Service Mail Carriers</v>
          </cell>
          <cell r="C911">
            <v>335540</v>
          </cell>
          <cell r="D911">
            <v>0</v>
          </cell>
          <cell r="E911">
            <v>54370</v>
          </cell>
          <cell r="F911">
            <v>0</v>
          </cell>
          <cell r="G911">
            <v>52440</v>
          </cell>
        </row>
        <row r="912">
          <cell r="A912" t="str">
            <v>43-5053</v>
          </cell>
          <cell r="B912" t="str">
            <v>Postal Service Mail Sorters, Processors, and Processing Machine Operators</v>
          </cell>
          <cell r="C912">
            <v>112130</v>
          </cell>
          <cell r="D912">
            <v>0.1</v>
          </cell>
          <cell r="E912">
            <v>51010</v>
          </cell>
          <cell r="F912">
            <v>0</v>
          </cell>
          <cell r="G912">
            <v>48550</v>
          </cell>
        </row>
        <row r="913">
          <cell r="A913" t="str">
            <v>43-5060</v>
          </cell>
          <cell r="B913" t="str">
            <v>Production, Planning, and Expediting Clerks</v>
          </cell>
          <cell r="C913">
            <v>367200</v>
          </cell>
          <cell r="D913">
            <v>0.8</v>
          </cell>
          <cell r="E913">
            <v>52220</v>
          </cell>
          <cell r="F913">
            <v>0.3</v>
          </cell>
          <cell r="G913">
            <v>48040</v>
          </cell>
        </row>
        <row r="914">
          <cell r="A914" t="str">
            <v>43-5061</v>
          </cell>
          <cell r="B914" t="str">
            <v>Production, Planning, and Expediting Clerks</v>
          </cell>
          <cell r="C914">
            <v>367200</v>
          </cell>
          <cell r="D914">
            <v>0.8</v>
          </cell>
          <cell r="E914">
            <v>52220</v>
          </cell>
          <cell r="F914">
            <v>0.3</v>
          </cell>
          <cell r="G914">
            <v>48040</v>
          </cell>
        </row>
        <row r="915">
          <cell r="A915" t="str">
            <v>43-5070</v>
          </cell>
          <cell r="B915" t="str">
            <v>Shipping, Receiving, and Inventory Clerks</v>
          </cell>
          <cell r="C915">
            <v>795360</v>
          </cell>
          <cell r="D915">
            <v>0.7</v>
          </cell>
          <cell r="E915">
            <v>38210</v>
          </cell>
          <cell r="F915">
            <v>0.2</v>
          </cell>
          <cell r="G915">
            <v>36890</v>
          </cell>
        </row>
        <row r="916">
          <cell r="A916" t="str">
            <v>43-5071</v>
          </cell>
          <cell r="B916" t="str">
            <v>Shipping, Receiving, and Inventory Clerks</v>
          </cell>
          <cell r="C916">
            <v>795360</v>
          </cell>
          <cell r="D916">
            <v>0.7</v>
          </cell>
          <cell r="E916">
            <v>38210</v>
          </cell>
          <cell r="F916">
            <v>0.2</v>
          </cell>
          <cell r="G916">
            <v>36890</v>
          </cell>
        </row>
        <row r="917">
          <cell r="A917" t="str">
            <v>43-5110</v>
          </cell>
          <cell r="B917" t="str">
            <v>Weighers, Measurers, Checkers, and Samplers, Recordkeeping</v>
          </cell>
          <cell r="C917">
            <v>54760</v>
          </cell>
          <cell r="D917">
            <v>1.7</v>
          </cell>
          <cell r="E917">
            <v>39540</v>
          </cell>
          <cell r="F917">
            <v>0.5</v>
          </cell>
          <cell r="G917">
            <v>37610</v>
          </cell>
        </row>
        <row r="918">
          <cell r="A918" t="str">
            <v>43-5111</v>
          </cell>
          <cell r="B918" t="str">
            <v>Weighers, Measurers, Checkers, and Samplers, Recordkeeping</v>
          </cell>
          <cell r="C918">
            <v>54760</v>
          </cell>
          <cell r="D918">
            <v>1.7</v>
          </cell>
          <cell r="E918">
            <v>39540</v>
          </cell>
          <cell r="F918">
            <v>0.5</v>
          </cell>
          <cell r="G918">
            <v>37610</v>
          </cell>
        </row>
        <row r="919">
          <cell r="A919" t="str">
            <v>43-6000</v>
          </cell>
          <cell r="B919" t="str">
            <v>Secretaries and Administrative Assistants</v>
          </cell>
          <cell r="C919">
            <v>3104790</v>
          </cell>
          <cell r="D919">
            <v>0.5</v>
          </cell>
          <cell r="E919">
            <v>45250</v>
          </cell>
          <cell r="F919">
            <v>0.1</v>
          </cell>
          <cell r="G919">
            <v>39680</v>
          </cell>
        </row>
        <row r="920">
          <cell r="A920" t="str">
            <v>43-6010</v>
          </cell>
          <cell r="B920" t="str">
            <v>Secretaries and Administrative Assistants</v>
          </cell>
          <cell r="C920">
            <v>3104790</v>
          </cell>
          <cell r="D920">
            <v>0.5</v>
          </cell>
          <cell r="E920">
            <v>45250</v>
          </cell>
          <cell r="F920">
            <v>0.1</v>
          </cell>
          <cell r="G920">
            <v>39680</v>
          </cell>
        </row>
        <row r="921">
          <cell r="A921" t="str">
            <v>43-6011</v>
          </cell>
          <cell r="B921" t="str">
            <v>Executive Secretaries and Executive Administrative Assistants</v>
          </cell>
          <cell r="C921">
            <v>466910</v>
          </cell>
          <cell r="D921">
            <v>1.1000000000000001</v>
          </cell>
          <cell r="E921">
            <v>66870</v>
          </cell>
          <cell r="F921">
            <v>0.3</v>
          </cell>
          <cell r="G921">
            <v>62060</v>
          </cell>
        </row>
        <row r="922">
          <cell r="A922" t="str">
            <v>43-6012</v>
          </cell>
          <cell r="B922" t="str">
            <v>Legal Secretaries and Administrative Assistants</v>
          </cell>
          <cell r="C922">
            <v>155250</v>
          </cell>
          <cell r="D922">
            <v>2.5</v>
          </cell>
          <cell r="E922">
            <v>52540</v>
          </cell>
          <cell r="F922">
            <v>0.9</v>
          </cell>
          <cell r="G922">
            <v>47710</v>
          </cell>
        </row>
        <row r="923">
          <cell r="A923" t="str">
            <v>43-6013</v>
          </cell>
          <cell r="B923" t="str">
            <v>Medical Secretaries and Administrative Assistants</v>
          </cell>
          <cell r="C923">
            <v>656640</v>
          </cell>
          <cell r="D923">
            <v>0.9</v>
          </cell>
          <cell r="E923">
            <v>39740</v>
          </cell>
          <cell r="F923">
            <v>0.3</v>
          </cell>
          <cell r="G923">
            <v>37450</v>
          </cell>
        </row>
        <row r="924">
          <cell r="A924" t="str">
            <v>43-6014</v>
          </cell>
          <cell r="B924" t="str">
            <v>Secretaries and Administrative Assistants, Except Legal, Medical, and Executive</v>
          </cell>
          <cell r="C924">
            <v>1825980</v>
          </cell>
          <cell r="D924">
            <v>0.5</v>
          </cell>
          <cell r="E924">
            <v>41080</v>
          </cell>
          <cell r="F924">
            <v>0.1</v>
          </cell>
          <cell r="G924">
            <v>37880</v>
          </cell>
        </row>
        <row r="925">
          <cell r="A925" t="str">
            <v>43-9000</v>
          </cell>
          <cell r="B925" t="str">
            <v>Other Office and Administrative Support Workers</v>
          </cell>
          <cell r="C925">
            <v>3254180</v>
          </cell>
          <cell r="D925">
            <v>0.4</v>
          </cell>
          <cell r="E925">
            <v>39480</v>
          </cell>
          <cell r="F925">
            <v>0.1</v>
          </cell>
          <cell r="G925">
            <v>37180</v>
          </cell>
        </row>
        <row r="926">
          <cell r="A926" t="str">
            <v>43-9020</v>
          </cell>
          <cell r="B926" t="str">
            <v>Data Entry and Information Processing Workers</v>
          </cell>
          <cell r="C926">
            <v>189100</v>
          </cell>
          <cell r="D926">
            <v>1.5</v>
          </cell>
          <cell r="E926">
            <v>37590</v>
          </cell>
          <cell r="F926">
            <v>0.4</v>
          </cell>
          <cell r="G926">
            <v>36850</v>
          </cell>
        </row>
        <row r="927">
          <cell r="A927" t="str">
            <v>43-9021</v>
          </cell>
          <cell r="B927" t="str">
            <v>Data Entry Keyers</v>
          </cell>
          <cell r="C927">
            <v>147170</v>
          </cell>
          <cell r="D927">
            <v>1.7</v>
          </cell>
          <cell r="E927">
            <v>35940</v>
          </cell>
          <cell r="F927">
            <v>0.4</v>
          </cell>
          <cell r="G927">
            <v>35630</v>
          </cell>
        </row>
        <row r="928">
          <cell r="A928" t="str">
            <v>43-9022</v>
          </cell>
          <cell r="B928" t="str">
            <v>Word Processors and Typists</v>
          </cell>
          <cell r="C928">
            <v>41930</v>
          </cell>
          <cell r="D928">
            <v>2.4</v>
          </cell>
          <cell r="E928">
            <v>43370</v>
          </cell>
          <cell r="F928">
            <v>0.6</v>
          </cell>
          <cell r="G928">
            <v>44030</v>
          </cell>
        </row>
        <row r="929">
          <cell r="A929" t="str">
            <v>43-9030</v>
          </cell>
          <cell r="B929" t="str">
            <v>Desktop Publishers</v>
          </cell>
          <cell r="C929">
            <v>7600</v>
          </cell>
          <cell r="D929">
            <v>13.6</v>
          </cell>
          <cell r="E929">
            <v>50930</v>
          </cell>
          <cell r="F929">
            <v>6.9</v>
          </cell>
          <cell r="G929">
            <v>46910</v>
          </cell>
        </row>
        <row r="930">
          <cell r="A930" t="str">
            <v>43-9031</v>
          </cell>
          <cell r="B930" t="str">
            <v>Desktop Publishers</v>
          </cell>
          <cell r="C930">
            <v>7600</v>
          </cell>
          <cell r="D930">
            <v>13.6</v>
          </cell>
          <cell r="E930">
            <v>50930</v>
          </cell>
          <cell r="F930">
            <v>6.9</v>
          </cell>
          <cell r="G930">
            <v>46910</v>
          </cell>
        </row>
        <row r="931">
          <cell r="A931" t="str">
            <v>43-9040</v>
          </cell>
          <cell r="B931" t="str">
            <v>Insurance Claims and Policy Processing Clerks</v>
          </cell>
          <cell r="C931">
            <v>218300</v>
          </cell>
          <cell r="D931">
            <v>1.5</v>
          </cell>
          <cell r="E931">
            <v>45790</v>
          </cell>
          <cell r="F931">
            <v>0.5</v>
          </cell>
          <cell r="G931">
            <v>45520</v>
          </cell>
        </row>
        <row r="932">
          <cell r="A932" t="str">
            <v>43-9041</v>
          </cell>
          <cell r="B932" t="str">
            <v>Insurance Claims and Policy Processing Clerks</v>
          </cell>
          <cell r="C932">
            <v>218300</v>
          </cell>
          <cell r="D932">
            <v>1.5</v>
          </cell>
          <cell r="E932">
            <v>45790</v>
          </cell>
          <cell r="F932">
            <v>0.5</v>
          </cell>
          <cell r="G932">
            <v>45520</v>
          </cell>
        </row>
        <row r="933">
          <cell r="A933" t="str">
            <v>43-9050</v>
          </cell>
          <cell r="B933" t="str">
            <v>Mail Clerks and Mail Machine Operators, Except Postal Service</v>
          </cell>
          <cell r="C933">
            <v>69400</v>
          </cell>
          <cell r="D933">
            <v>2.6</v>
          </cell>
          <cell r="E933">
            <v>34390</v>
          </cell>
          <cell r="F933">
            <v>0.5</v>
          </cell>
          <cell r="G933">
            <v>32550</v>
          </cell>
        </row>
        <row r="934">
          <cell r="A934" t="str">
            <v>43-9051</v>
          </cell>
          <cell r="B934" t="str">
            <v>Mail Clerks and Mail Machine Operators, Except Postal Service</v>
          </cell>
          <cell r="C934">
            <v>69400</v>
          </cell>
          <cell r="D934">
            <v>2.6</v>
          </cell>
          <cell r="E934">
            <v>34390</v>
          </cell>
          <cell r="F934">
            <v>0.5</v>
          </cell>
          <cell r="G934">
            <v>32550</v>
          </cell>
        </row>
        <row r="935">
          <cell r="A935" t="str">
            <v>43-9060</v>
          </cell>
          <cell r="B935" t="str">
            <v>Office Clerks, General</v>
          </cell>
          <cell r="C935">
            <v>2578180</v>
          </cell>
          <cell r="D935">
            <v>0.4</v>
          </cell>
          <cell r="E935">
            <v>38990</v>
          </cell>
          <cell r="F935">
            <v>0.1</v>
          </cell>
          <cell r="G935">
            <v>37030</v>
          </cell>
        </row>
        <row r="936">
          <cell r="A936" t="str">
            <v>43-9061</v>
          </cell>
          <cell r="B936" t="str">
            <v>Office Clerks, General</v>
          </cell>
          <cell r="C936">
            <v>2578180</v>
          </cell>
          <cell r="D936">
            <v>0.4</v>
          </cell>
          <cell r="E936">
            <v>38990</v>
          </cell>
          <cell r="F936">
            <v>0.1</v>
          </cell>
          <cell r="G936">
            <v>37030</v>
          </cell>
        </row>
        <row r="937">
          <cell r="A937" t="str">
            <v>43-9070</v>
          </cell>
          <cell r="B937" t="str">
            <v>Office Machine Operators, Except Computer</v>
          </cell>
          <cell r="C937">
            <v>32920</v>
          </cell>
          <cell r="D937">
            <v>3.4</v>
          </cell>
          <cell r="E937">
            <v>37110</v>
          </cell>
          <cell r="F937">
            <v>0.6</v>
          </cell>
          <cell r="G937">
            <v>36630</v>
          </cell>
        </row>
        <row r="938">
          <cell r="A938" t="str">
            <v>43-9071</v>
          </cell>
          <cell r="B938" t="str">
            <v>Office Machine Operators, Except Computer</v>
          </cell>
          <cell r="C938">
            <v>32920</v>
          </cell>
          <cell r="D938">
            <v>3.4</v>
          </cell>
          <cell r="E938">
            <v>37110</v>
          </cell>
          <cell r="F938">
            <v>0.6</v>
          </cell>
          <cell r="G938">
            <v>36630</v>
          </cell>
        </row>
        <row r="939">
          <cell r="A939" t="str">
            <v>43-9080</v>
          </cell>
          <cell r="B939" t="str">
            <v>Proofreaders and Copy Markers</v>
          </cell>
          <cell r="C939">
            <v>5340</v>
          </cell>
          <cell r="D939">
            <v>6.8</v>
          </cell>
          <cell r="E939">
            <v>46010</v>
          </cell>
          <cell r="F939">
            <v>2.1</v>
          </cell>
          <cell r="G939">
            <v>43940</v>
          </cell>
        </row>
        <row r="940">
          <cell r="A940" t="str">
            <v>43-9081</v>
          </cell>
          <cell r="B940" t="str">
            <v>Proofreaders and Copy Markers</v>
          </cell>
          <cell r="C940">
            <v>5340</v>
          </cell>
          <cell r="D940">
            <v>6.8</v>
          </cell>
          <cell r="E940">
            <v>46010</v>
          </cell>
          <cell r="F940">
            <v>2.1</v>
          </cell>
          <cell r="G940">
            <v>43940</v>
          </cell>
        </row>
        <row r="941">
          <cell r="A941" t="str">
            <v>43-9110</v>
          </cell>
          <cell r="B941" t="str">
            <v>Statistical Assistants</v>
          </cell>
          <cell r="C941">
            <v>6190</v>
          </cell>
          <cell r="D941">
            <v>3.2</v>
          </cell>
          <cell r="E941">
            <v>53420</v>
          </cell>
          <cell r="F941">
            <v>1.5</v>
          </cell>
          <cell r="G941">
            <v>48160</v>
          </cell>
        </row>
        <row r="942">
          <cell r="A942" t="str">
            <v>43-9111</v>
          </cell>
          <cell r="B942" t="str">
            <v>Statistical Assistants</v>
          </cell>
          <cell r="C942">
            <v>6190</v>
          </cell>
          <cell r="D942">
            <v>3.2</v>
          </cell>
          <cell r="E942">
            <v>53420</v>
          </cell>
          <cell r="F942">
            <v>1.5</v>
          </cell>
          <cell r="G942">
            <v>48160</v>
          </cell>
        </row>
        <row r="943">
          <cell r="A943" t="str">
            <v>43-9190</v>
          </cell>
          <cell r="B943" t="str">
            <v>Miscellaneous Office and Administrative Support Workers</v>
          </cell>
          <cell r="C943">
            <v>147140</v>
          </cell>
          <cell r="D943">
            <v>1.1000000000000001</v>
          </cell>
          <cell r="E943">
            <v>42580</v>
          </cell>
          <cell r="F943">
            <v>0.4</v>
          </cell>
          <cell r="G943">
            <v>37900</v>
          </cell>
        </row>
        <row r="944">
          <cell r="A944" t="str">
            <v>43-9199</v>
          </cell>
          <cell r="B944" t="str">
            <v>Office and Administrative Support Workers, All Other</v>
          </cell>
          <cell r="C944">
            <v>147140</v>
          </cell>
          <cell r="D944">
            <v>1.1000000000000001</v>
          </cell>
          <cell r="E944">
            <v>42580</v>
          </cell>
          <cell r="F944">
            <v>0.4</v>
          </cell>
          <cell r="G944">
            <v>37900</v>
          </cell>
        </row>
        <row r="945">
          <cell r="A945" t="str">
            <v>45-0000</v>
          </cell>
          <cell r="B945" t="str">
            <v>Farming, Fishing, and Forestry Occupations</v>
          </cell>
          <cell r="C945">
            <v>452490</v>
          </cell>
          <cell r="D945">
            <v>0.8</v>
          </cell>
          <cell r="E945">
            <v>34730</v>
          </cell>
          <cell r="F945">
            <v>0.7</v>
          </cell>
          <cell r="G945">
            <v>29860</v>
          </cell>
        </row>
        <row r="946">
          <cell r="A946" t="str">
            <v>45-1000</v>
          </cell>
          <cell r="B946" t="str">
            <v>Supervisors of Farming, Fishing, and Forestry Workers</v>
          </cell>
          <cell r="C946">
            <v>25770</v>
          </cell>
          <cell r="D946">
            <v>2.7</v>
          </cell>
          <cell r="E946">
            <v>54450</v>
          </cell>
          <cell r="F946">
            <v>0.9</v>
          </cell>
          <cell r="G946">
            <v>48640</v>
          </cell>
        </row>
        <row r="947">
          <cell r="A947" t="str">
            <v>45-1010</v>
          </cell>
          <cell r="B947" t="str">
            <v>First-Line Supervisors of Farming, Fishing, and Forestry Workers</v>
          </cell>
          <cell r="C947">
            <v>25770</v>
          </cell>
          <cell r="D947">
            <v>2.7</v>
          </cell>
          <cell r="E947">
            <v>54450</v>
          </cell>
          <cell r="F947">
            <v>0.9</v>
          </cell>
          <cell r="G947">
            <v>48640</v>
          </cell>
        </row>
        <row r="948">
          <cell r="A948" t="str">
            <v>45-1011</v>
          </cell>
          <cell r="B948" t="str">
            <v>First-Line Supervisors of Farming, Fishing, and Forestry Workers</v>
          </cell>
          <cell r="C948">
            <v>25770</v>
          </cell>
          <cell r="D948">
            <v>2.7</v>
          </cell>
          <cell r="E948">
            <v>54450</v>
          </cell>
          <cell r="F948">
            <v>0.9</v>
          </cell>
          <cell r="G948">
            <v>48640</v>
          </cell>
        </row>
        <row r="949">
          <cell r="A949" t="str">
            <v>45-2000</v>
          </cell>
          <cell r="B949" t="str">
            <v>Agricultural Workers</v>
          </cell>
          <cell r="C949">
            <v>383760</v>
          </cell>
          <cell r="D949">
            <v>0.8</v>
          </cell>
          <cell r="E949">
            <v>32450</v>
          </cell>
          <cell r="F949">
            <v>0.6</v>
          </cell>
          <cell r="G949">
            <v>29680</v>
          </cell>
        </row>
        <row r="950">
          <cell r="A950" t="str">
            <v>45-2010</v>
          </cell>
          <cell r="B950" t="str">
            <v>Agricultural Inspectors</v>
          </cell>
          <cell r="C950">
            <v>13630</v>
          </cell>
          <cell r="D950">
            <v>2.7</v>
          </cell>
          <cell r="E950">
            <v>47430</v>
          </cell>
          <cell r="F950">
            <v>0.8</v>
          </cell>
          <cell r="G950">
            <v>45140</v>
          </cell>
        </row>
        <row r="951">
          <cell r="A951" t="str">
            <v>45-2011</v>
          </cell>
          <cell r="B951" t="str">
            <v>Agricultural Inspectors</v>
          </cell>
          <cell r="C951">
            <v>13630</v>
          </cell>
          <cell r="D951">
            <v>2.7</v>
          </cell>
          <cell r="E951">
            <v>47430</v>
          </cell>
          <cell r="F951">
            <v>0.8</v>
          </cell>
          <cell r="G951">
            <v>45140</v>
          </cell>
        </row>
        <row r="952">
          <cell r="A952" t="str">
            <v>45-2020</v>
          </cell>
          <cell r="B952" t="str">
            <v>Animal Breeders</v>
          </cell>
          <cell r="C952">
            <v>950</v>
          </cell>
          <cell r="D952">
            <v>12.2</v>
          </cell>
          <cell r="E952">
            <v>43270</v>
          </cell>
          <cell r="F952">
            <v>4</v>
          </cell>
          <cell r="G952">
            <v>40090</v>
          </cell>
        </row>
        <row r="953">
          <cell r="A953" t="str">
            <v>45-2021</v>
          </cell>
          <cell r="B953" t="str">
            <v>Animal Breeders</v>
          </cell>
          <cell r="C953">
            <v>950</v>
          </cell>
          <cell r="D953">
            <v>12.2</v>
          </cell>
          <cell r="E953">
            <v>43270</v>
          </cell>
          <cell r="F953">
            <v>4</v>
          </cell>
          <cell r="G953">
            <v>40090</v>
          </cell>
        </row>
        <row r="954">
          <cell r="A954" t="str">
            <v>45-2040</v>
          </cell>
          <cell r="B954" t="str">
            <v>Graders and Sorters, Agricultural Products</v>
          </cell>
          <cell r="C954">
            <v>25560</v>
          </cell>
          <cell r="D954">
            <v>4.7</v>
          </cell>
          <cell r="E954">
            <v>30400</v>
          </cell>
          <cell r="F954">
            <v>0.7</v>
          </cell>
          <cell r="G954">
            <v>29630</v>
          </cell>
        </row>
        <row r="955">
          <cell r="A955" t="str">
            <v>45-2041</v>
          </cell>
          <cell r="B955" t="str">
            <v>Graders and Sorters, Agricultural Products</v>
          </cell>
          <cell r="C955">
            <v>25560</v>
          </cell>
          <cell r="D955">
            <v>4.7</v>
          </cell>
          <cell r="E955">
            <v>30400</v>
          </cell>
          <cell r="F955">
            <v>0.7</v>
          </cell>
          <cell r="G955">
            <v>29630</v>
          </cell>
        </row>
        <row r="956">
          <cell r="A956" t="str">
            <v>45-2090</v>
          </cell>
          <cell r="B956" t="str">
            <v>Miscellaneous Agricultural Workers</v>
          </cell>
          <cell r="C956">
            <v>343630</v>
          </cell>
          <cell r="D956">
            <v>0.9</v>
          </cell>
          <cell r="E956">
            <v>31980</v>
          </cell>
          <cell r="F956">
            <v>0.7</v>
          </cell>
          <cell r="G956">
            <v>29680</v>
          </cell>
        </row>
        <row r="957">
          <cell r="A957" t="str">
            <v>45-2091</v>
          </cell>
          <cell r="B957" t="str">
            <v>Agricultural Equipment Operators</v>
          </cell>
          <cell r="C957">
            <v>26180</v>
          </cell>
          <cell r="D957">
            <v>3.3</v>
          </cell>
          <cell r="E957">
            <v>36280</v>
          </cell>
          <cell r="F957">
            <v>0.9</v>
          </cell>
          <cell r="G957">
            <v>36360</v>
          </cell>
        </row>
        <row r="958">
          <cell r="A958" t="str">
            <v>45-2092</v>
          </cell>
          <cell r="B958" t="str">
            <v>Farmworkers and Laborers, Crop, Nursery, and Greenhouse</v>
          </cell>
          <cell r="C958">
            <v>277200</v>
          </cell>
          <cell r="D958">
            <v>1</v>
          </cell>
          <cell r="E958">
            <v>31440</v>
          </cell>
          <cell r="F958">
            <v>0.7</v>
          </cell>
          <cell r="G958">
            <v>29630</v>
          </cell>
        </row>
        <row r="959">
          <cell r="A959" t="str">
            <v>45-2093</v>
          </cell>
          <cell r="B959" t="str">
            <v>Farmworkers, Farm, Ranch, and Aquacultural Animals</v>
          </cell>
          <cell r="C959">
            <v>34140</v>
          </cell>
          <cell r="D959">
            <v>2.6</v>
          </cell>
          <cell r="E959">
            <v>32150</v>
          </cell>
          <cell r="F959">
            <v>0.9</v>
          </cell>
          <cell r="G959">
            <v>29630</v>
          </cell>
        </row>
        <row r="960">
          <cell r="A960" t="str">
            <v>45-2099</v>
          </cell>
          <cell r="B960" t="str">
            <v>Agricultural Workers, All Other</v>
          </cell>
          <cell r="C960">
            <v>6100</v>
          </cell>
          <cell r="D960">
            <v>7.4</v>
          </cell>
          <cell r="E960">
            <v>37190</v>
          </cell>
          <cell r="F960">
            <v>2.5</v>
          </cell>
          <cell r="G960">
            <v>32550</v>
          </cell>
        </row>
        <row r="961">
          <cell r="A961" t="str">
            <v>45-4000</v>
          </cell>
          <cell r="B961" t="str">
            <v>Forest, Conservation, and Logging Workers</v>
          </cell>
          <cell r="C961">
            <v>42330</v>
          </cell>
          <cell r="D961">
            <v>2.7</v>
          </cell>
          <cell r="E961">
            <v>43320</v>
          </cell>
          <cell r="F961">
            <v>1.4</v>
          </cell>
          <cell r="G961">
            <v>39050</v>
          </cell>
        </row>
        <row r="962">
          <cell r="A962" t="str">
            <v>45-4010</v>
          </cell>
          <cell r="B962" t="str">
            <v>Forest and Conservation Workers</v>
          </cell>
          <cell r="C962">
            <v>6300</v>
          </cell>
          <cell r="D962">
            <v>12.1</v>
          </cell>
          <cell r="E962">
            <v>33690</v>
          </cell>
          <cell r="F962">
            <v>1.6</v>
          </cell>
          <cell r="G962">
            <v>30550</v>
          </cell>
        </row>
        <row r="963">
          <cell r="A963" t="str">
            <v>45-4011</v>
          </cell>
          <cell r="B963" t="str">
            <v>Forest and Conservation Workers</v>
          </cell>
          <cell r="C963">
            <v>6300</v>
          </cell>
          <cell r="D963">
            <v>12.1</v>
          </cell>
          <cell r="E963">
            <v>33690</v>
          </cell>
          <cell r="F963">
            <v>1.6</v>
          </cell>
          <cell r="G963">
            <v>30550</v>
          </cell>
        </row>
        <row r="964">
          <cell r="A964" t="str">
            <v>45-4020</v>
          </cell>
          <cell r="B964" t="str">
            <v>Logging Workers</v>
          </cell>
          <cell r="C964">
            <v>36030</v>
          </cell>
          <cell r="D964">
            <v>2.2999999999999998</v>
          </cell>
          <cell r="E964">
            <v>45000</v>
          </cell>
          <cell r="F964">
            <v>1.4</v>
          </cell>
          <cell r="G964">
            <v>46330</v>
          </cell>
        </row>
        <row r="965">
          <cell r="A965" t="str">
            <v>45-4021</v>
          </cell>
          <cell r="B965" t="str">
            <v>Fallers</v>
          </cell>
          <cell r="C965">
            <v>4170</v>
          </cell>
          <cell r="D965">
            <v>10.9</v>
          </cell>
          <cell r="E965">
            <v>53760</v>
          </cell>
          <cell r="F965">
            <v>5</v>
          </cell>
          <cell r="G965">
            <v>47700</v>
          </cell>
        </row>
        <row r="966">
          <cell r="A966" t="str">
            <v>45-4022</v>
          </cell>
          <cell r="B966" t="str">
            <v>Logging Equipment Operators</v>
          </cell>
          <cell r="C966">
            <v>25510</v>
          </cell>
          <cell r="D966">
            <v>2.2000000000000002</v>
          </cell>
          <cell r="E966">
            <v>43960</v>
          </cell>
          <cell r="F966">
            <v>1.1000000000000001</v>
          </cell>
          <cell r="G966">
            <v>46400</v>
          </cell>
        </row>
        <row r="967">
          <cell r="A967" t="str">
            <v>45-4023</v>
          </cell>
          <cell r="B967" t="str">
            <v>Log Graders and Scalers</v>
          </cell>
          <cell r="C967">
            <v>3260</v>
          </cell>
          <cell r="D967">
            <v>4.7</v>
          </cell>
          <cell r="E967">
            <v>41520</v>
          </cell>
          <cell r="F967">
            <v>1.3</v>
          </cell>
          <cell r="G967">
            <v>37820</v>
          </cell>
        </row>
        <row r="968">
          <cell r="A968" t="str">
            <v>45-4029</v>
          </cell>
          <cell r="B968" t="str">
            <v>Logging Workers, All Other</v>
          </cell>
          <cell r="C968">
            <v>3080</v>
          </cell>
          <cell r="D968">
            <v>7.5</v>
          </cell>
          <cell r="E968">
            <v>45430</v>
          </cell>
          <cell r="F968">
            <v>2</v>
          </cell>
          <cell r="G968">
            <v>46090</v>
          </cell>
        </row>
        <row r="969">
          <cell r="A969" t="str">
            <v>47-0000</v>
          </cell>
          <cell r="B969" t="str">
            <v>Construction and Extraction Occupations</v>
          </cell>
          <cell r="C969">
            <v>5848950</v>
          </cell>
          <cell r="D969">
            <v>0.2</v>
          </cell>
          <cell r="E969">
            <v>55900</v>
          </cell>
          <cell r="F969">
            <v>0.3</v>
          </cell>
          <cell r="G969">
            <v>48210</v>
          </cell>
        </row>
        <row r="970">
          <cell r="A970" t="str">
            <v>47-1000</v>
          </cell>
          <cell r="B970" t="str">
            <v>Supervisors of Construction and Extraction Workers</v>
          </cell>
          <cell r="C970">
            <v>665870</v>
          </cell>
          <cell r="D970">
            <v>0.7</v>
          </cell>
          <cell r="E970">
            <v>75060</v>
          </cell>
          <cell r="F970">
            <v>0.3</v>
          </cell>
          <cell r="G970">
            <v>72010</v>
          </cell>
        </row>
        <row r="971">
          <cell r="A971" t="str">
            <v>47-1010</v>
          </cell>
          <cell r="B971" t="str">
            <v>First-Line Supervisors of Construction Trades and Extraction Workers</v>
          </cell>
          <cell r="C971">
            <v>665870</v>
          </cell>
          <cell r="D971">
            <v>0.7</v>
          </cell>
          <cell r="E971">
            <v>75060</v>
          </cell>
          <cell r="F971">
            <v>0.3</v>
          </cell>
          <cell r="G971">
            <v>72010</v>
          </cell>
        </row>
        <row r="972">
          <cell r="A972" t="str">
            <v>47-1011</v>
          </cell>
          <cell r="B972" t="str">
            <v>First-Line Supervisors of Construction Trades and Extraction Workers</v>
          </cell>
          <cell r="C972">
            <v>665870</v>
          </cell>
          <cell r="D972">
            <v>0.7</v>
          </cell>
          <cell r="E972">
            <v>75060</v>
          </cell>
          <cell r="F972">
            <v>0.3</v>
          </cell>
          <cell r="G972">
            <v>72010</v>
          </cell>
        </row>
        <row r="973">
          <cell r="A973" t="str">
            <v>47-2000</v>
          </cell>
          <cell r="B973" t="str">
            <v>Construction Trades Workers</v>
          </cell>
          <cell r="C973">
            <v>4362080</v>
          </cell>
          <cell r="D973">
            <v>0.3</v>
          </cell>
          <cell r="E973">
            <v>54140</v>
          </cell>
          <cell r="F973">
            <v>0.4</v>
          </cell>
          <cell r="G973">
            <v>47860</v>
          </cell>
        </row>
        <row r="974">
          <cell r="A974" t="str">
            <v>47-2010</v>
          </cell>
          <cell r="B974" t="str">
            <v>Boilermakers</v>
          </cell>
          <cell r="C974">
            <v>12920</v>
          </cell>
          <cell r="D974">
            <v>5.7</v>
          </cell>
          <cell r="E974">
            <v>69070</v>
          </cell>
          <cell r="F974">
            <v>1.6</v>
          </cell>
          <cell r="G974">
            <v>64290</v>
          </cell>
        </row>
        <row r="975">
          <cell r="A975" t="str">
            <v>47-2011</v>
          </cell>
          <cell r="B975" t="str">
            <v>Boilermakers</v>
          </cell>
          <cell r="C975">
            <v>12920</v>
          </cell>
          <cell r="D975">
            <v>5.7</v>
          </cell>
          <cell r="E975">
            <v>69070</v>
          </cell>
          <cell r="F975">
            <v>1.6</v>
          </cell>
          <cell r="G975">
            <v>64290</v>
          </cell>
        </row>
        <row r="976">
          <cell r="A976" t="str">
            <v>47-2020</v>
          </cell>
          <cell r="B976" t="str">
            <v>Brickmasons, Blockmasons, and Stonemasons</v>
          </cell>
          <cell r="C976">
            <v>64950</v>
          </cell>
          <cell r="D976">
            <v>2.6</v>
          </cell>
          <cell r="E976">
            <v>59870</v>
          </cell>
          <cell r="F976">
            <v>1</v>
          </cell>
          <cell r="G976">
            <v>56950</v>
          </cell>
        </row>
        <row r="977">
          <cell r="A977" t="str">
            <v>47-2021</v>
          </cell>
          <cell r="B977" t="str">
            <v>Brickmasons and Blockmasons</v>
          </cell>
          <cell r="C977">
            <v>55950</v>
          </cell>
          <cell r="D977">
            <v>3.2</v>
          </cell>
          <cell r="E977">
            <v>61430</v>
          </cell>
          <cell r="F977">
            <v>1</v>
          </cell>
          <cell r="G977">
            <v>59340</v>
          </cell>
        </row>
        <row r="978">
          <cell r="A978" t="str">
            <v>47-2022</v>
          </cell>
          <cell r="B978" t="str">
            <v>Stonemasons</v>
          </cell>
          <cell r="C978">
            <v>9000</v>
          </cell>
          <cell r="D978">
            <v>6.8</v>
          </cell>
          <cell r="E978">
            <v>50170</v>
          </cell>
          <cell r="F978">
            <v>2</v>
          </cell>
          <cell r="G978">
            <v>47610</v>
          </cell>
        </row>
        <row r="979">
          <cell r="A979" t="str">
            <v>47-2030</v>
          </cell>
          <cell r="B979" t="str">
            <v>Carpenters</v>
          </cell>
          <cell r="C979">
            <v>668060</v>
          </cell>
          <cell r="D979">
            <v>1</v>
          </cell>
          <cell r="E979">
            <v>55190</v>
          </cell>
          <cell r="F979">
            <v>0.5</v>
          </cell>
          <cell r="G979">
            <v>48260</v>
          </cell>
        </row>
        <row r="980">
          <cell r="A980" t="str">
            <v>47-2031</v>
          </cell>
          <cell r="B980" t="str">
            <v>Carpenters</v>
          </cell>
          <cell r="C980">
            <v>668060</v>
          </cell>
          <cell r="D980">
            <v>1</v>
          </cell>
          <cell r="E980">
            <v>55190</v>
          </cell>
          <cell r="F980">
            <v>0.5</v>
          </cell>
          <cell r="G980">
            <v>48260</v>
          </cell>
        </row>
        <row r="981">
          <cell r="A981" t="str">
            <v>47-2040</v>
          </cell>
          <cell r="B981" t="str">
            <v>Carpet, Floor, and Tile Installers and Finishers</v>
          </cell>
          <cell r="C981">
            <v>83600</v>
          </cell>
          <cell r="D981">
            <v>2.4</v>
          </cell>
          <cell r="E981">
            <v>51890</v>
          </cell>
          <cell r="F981">
            <v>1.3</v>
          </cell>
          <cell r="G981">
            <v>47310</v>
          </cell>
        </row>
        <row r="982">
          <cell r="A982" t="str">
            <v>47-2041</v>
          </cell>
          <cell r="B982" t="str">
            <v>Carpet Installers</v>
          </cell>
          <cell r="C982">
            <v>19790</v>
          </cell>
          <cell r="D982">
            <v>5.6</v>
          </cell>
          <cell r="E982">
            <v>48710</v>
          </cell>
          <cell r="F982">
            <v>2</v>
          </cell>
          <cell r="G982">
            <v>46640</v>
          </cell>
        </row>
        <row r="983">
          <cell r="A983" t="str">
            <v>47-2042</v>
          </cell>
          <cell r="B983" t="str">
            <v>Floor Layers, Except Carpet, Wood, and Hard Tiles</v>
          </cell>
          <cell r="C983">
            <v>18300</v>
          </cell>
          <cell r="D983">
            <v>5.2</v>
          </cell>
          <cell r="E983">
            <v>53880</v>
          </cell>
          <cell r="F983">
            <v>2.2999999999999998</v>
          </cell>
          <cell r="G983">
            <v>48060</v>
          </cell>
        </row>
        <row r="984">
          <cell r="A984" t="str">
            <v>47-2043</v>
          </cell>
          <cell r="B984" t="str">
            <v>Floor Sanders and Finishers</v>
          </cell>
          <cell r="C984">
            <v>4340</v>
          </cell>
          <cell r="D984">
            <v>11.4</v>
          </cell>
          <cell r="E984">
            <v>44380</v>
          </cell>
          <cell r="F984">
            <v>4.0999999999999996</v>
          </cell>
          <cell r="G984">
            <v>39140</v>
          </cell>
        </row>
        <row r="985">
          <cell r="A985" t="str">
            <v>47-2044</v>
          </cell>
          <cell r="B985" t="str">
            <v>Tile and Stone Setters</v>
          </cell>
          <cell r="C985">
            <v>41160</v>
          </cell>
          <cell r="D985">
            <v>3.7</v>
          </cell>
          <cell r="E985">
            <v>53330</v>
          </cell>
          <cell r="F985">
            <v>1.9</v>
          </cell>
          <cell r="G985">
            <v>47810</v>
          </cell>
        </row>
        <row r="986">
          <cell r="A986" t="str">
            <v>47-2050</v>
          </cell>
          <cell r="B986" t="str">
            <v>Cement Masons, Concrete Finishers, and Terrazzo Workers</v>
          </cell>
          <cell r="C986">
            <v>189240</v>
          </cell>
          <cell r="D986">
            <v>1.5</v>
          </cell>
          <cell r="E986">
            <v>51000</v>
          </cell>
          <cell r="F986">
            <v>0.6</v>
          </cell>
          <cell r="G986">
            <v>47360</v>
          </cell>
        </row>
        <row r="987">
          <cell r="A987" t="str">
            <v>47-2051</v>
          </cell>
          <cell r="B987" t="str">
            <v>Cement Masons and Concrete Finishers</v>
          </cell>
          <cell r="C987">
            <v>186600</v>
          </cell>
          <cell r="D987">
            <v>1.5</v>
          </cell>
          <cell r="E987">
            <v>50900</v>
          </cell>
          <cell r="F987">
            <v>0.6</v>
          </cell>
          <cell r="G987">
            <v>47340</v>
          </cell>
        </row>
        <row r="988">
          <cell r="A988" t="str">
            <v>47-2053</v>
          </cell>
          <cell r="B988" t="str">
            <v>Terrazzo Workers and Finishers</v>
          </cell>
          <cell r="C988">
            <v>2640</v>
          </cell>
          <cell r="D988">
            <v>17.899999999999999</v>
          </cell>
          <cell r="E988">
            <v>58380</v>
          </cell>
          <cell r="F988">
            <v>5.7</v>
          </cell>
          <cell r="G988">
            <v>48680</v>
          </cell>
        </row>
        <row r="989">
          <cell r="A989" t="str">
            <v>47-2060</v>
          </cell>
          <cell r="B989" t="str">
            <v>Construction Laborers</v>
          </cell>
          <cell r="C989">
            <v>968760</v>
          </cell>
          <cell r="D989">
            <v>1.1000000000000001</v>
          </cell>
          <cell r="E989">
            <v>44130</v>
          </cell>
          <cell r="F989">
            <v>0.5</v>
          </cell>
          <cell r="G989">
            <v>37770</v>
          </cell>
        </row>
        <row r="990">
          <cell r="A990" t="str">
            <v>47-2061</v>
          </cell>
          <cell r="B990" t="str">
            <v>Construction Laborers</v>
          </cell>
          <cell r="C990">
            <v>968760</v>
          </cell>
          <cell r="D990">
            <v>1.1000000000000001</v>
          </cell>
          <cell r="E990">
            <v>44130</v>
          </cell>
          <cell r="F990">
            <v>0.5</v>
          </cell>
          <cell r="G990">
            <v>37770</v>
          </cell>
        </row>
        <row r="991">
          <cell r="A991" t="str">
            <v>47-2070</v>
          </cell>
          <cell r="B991" t="str">
            <v>Construction Equipment Operators</v>
          </cell>
          <cell r="C991">
            <v>452780</v>
          </cell>
          <cell r="D991">
            <v>0.7</v>
          </cell>
          <cell r="E991">
            <v>55890</v>
          </cell>
          <cell r="F991">
            <v>0.4</v>
          </cell>
          <cell r="G991">
            <v>48290</v>
          </cell>
        </row>
        <row r="992">
          <cell r="A992" t="str">
            <v>47-2071</v>
          </cell>
          <cell r="B992" t="str">
            <v>Paving, Surfacing, and Tamping Equipment Operators</v>
          </cell>
          <cell r="C992">
            <v>44200</v>
          </cell>
          <cell r="D992">
            <v>3.4</v>
          </cell>
          <cell r="E992">
            <v>50590</v>
          </cell>
          <cell r="F992">
            <v>1.3</v>
          </cell>
          <cell r="G992">
            <v>46960</v>
          </cell>
        </row>
        <row r="993">
          <cell r="A993" t="str">
            <v>47-2072</v>
          </cell>
          <cell r="B993" t="str">
            <v>Pile Driver Operators</v>
          </cell>
          <cell r="C993">
            <v>3760</v>
          </cell>
          <cell r="D993">
            <v>13.3</v>
          </cell>
          <cell r="E993">
            <v>75950</v>
          </cell>
          <cell r="F993">
            <v>3</v>
          </cell>
          <cell r="G993">
            <v>76260</v>
          </cell>
        </row>
        <row r="994">
          <cell r="A994" t="str">
            <v>47-2073</v>
          </cell>
          <cell r="B994" t="str">
            <v>Operating Engineers and Other Construction Equipment Operators</v>
          </cell>
          <cell r="C994">
            <v>404820</v>
          </cell>
          <cell r="D994">
            <v>0.7</v>
          </cell>
          <cell r="E994">
            <v>56280</v>
          </cell>
          <cell r="F994">
            <v>0.4</v>
          </cell>
          <cell r="G994">
            <v>48360</v>
          </cell>
        </row>
        <row r="995">
          <cell r="A995" t="str">
            <v>47-2080</v>
          </cell>
          <cell r="B995" t="str">
            <v>Drywall Installers, Ceiling Tile Installers, and Tapers</v>
          </cell>
          <cell r="C995">
            <v>111650</v>
          </cell>
          <cell r="D995">
            <v>2.2000000000000002</v>
          </cell>
          <cell r="E995">
            <v>56160</v>
          </cell>
          <cell r="F995">
            <v>1.1000000000000001</v>
          </cell>
          <cell r="G995">
            <v>48350</v>
          </cell>
        </row>
        <row r="996">
          <cell r="A996" t="str">
            <v>47-2081</v>
          </cell>
          <cell r="B996" t="str">
            <v>Drywall and Ceiling Tile Installers</v>
          </cell>
          <cell r="C996">
            <v>97070</v>
          </cell>
          <cell r="D996">
            <v>2.2999999999999998</v>
          </cell>
          <cell r="E996">
            <v>54810</v>
          </cell>
          <cell r="F996">
            <v>1.1000000000000001</v>
          </cell>
          <cell r="G996">
            <v>48040</v>
          </cell>
        </row>
        <row r="997">
          <cell r="A997" t="str">
            <v>47-2082</v>
          </cell>
          <cell r="B997" t="str">
            <v>Tapers</v>
          </cell>
          <cell r="C997">
            <v>14580</v>
          </cell>
          <cell r="D997">
            <v>5.0999999999999996</v>
          </cell>
          <cell r="E997">
            <v>65140</v>
          </cell>
          <cell r="F997">
            <v>1.8</v>
          </cell>
          <cell r="G997">
            <v>61080</v>
          </cell>
        </row>
        <row r="998">
          <cell r="A998" t="str">
            <v>47-2110</v>
          </cell>
          <cell r="B998" t="str">
            <v>Electricians</v>
          </cell>
          <cell r="C998">
            <v>650580</v>
          </cell>
          <cell r="D998">
            <v>0.8</v>
          </cell>
          <cell r="E998">
            <v>63310</v>
          </cell>
          <cell r="F998">
            <v>0.5</v>
          </cell>
          <cell r="G998">
            <v>60040</v>
          </cell>
        </row>
        <row r="999">
          <cell r="A999" t="str">
            <v>47-2111</v>
          </cell>
          <cell r="B999" t="str">
            <v>Electricians</v>
          </cell>
          <cell r="C999">
            <v>650580</v>
          </cell>
          <cell r="D999">
            <v>0.8</v>
          </cell>
          <cell r="E999">
            <v>63310</v>
          </cell>
          <cell r="F999">
            <v>0.5</v>
          </cell>
          <cell r="G999">
            <v>60040</v>
          </cell>
        </row>
        <row r="1000">
          <cell r="A1000" t="str">
            <v>47-2120</v>
          </cell>
          <cell r="B1000" t="str">
            <v>Glaziers</v>
          </cell>
          <cell r="C1000">
            <v>52700</v>
          </cell>
          <cell r="D1000">
            <v>2.5</v>
          </cell>
          <cell r="E1000">
            <v>51950</v>
          </cell>
          <cell r="F1000">
            <v>1.1000000000000001</v>
          </cell>
          <cell r="G1000">
            <v>47180</v>
          </cell>
        </row>
        <row r="1001">
          <cell r="A1001" t="str">
            <v>47-2121</v>
          </cell>
          <cell r="B1001" t="str">
            <v>Glaziers</v>
          </cell>
          <cell r="C1001">
            <v>52700</v>
          </cell>
          <cell r="D1001">
            <v>2.5</v>
          </cell>
          <cell r="E1001">
            <v>51950</v>
          </cell>
          <cell r="F1001">
            <v>1.1000000000000001</v>
          </cell>
          <cell r="G1001">
            <v>47180</v>
          </cell>
        </row>
        <row r="1002">
          <cell r="A1002" t="str">
            <v>47-2130</v>
          </cell>
          <cell r="B1002" t="str">
            <v>Insulation Workers</v>
          </cell>
          <cell r="C1002">
            <v>58370</v>
          </cell>
          <cell r="D1002">
            <v>3.1</v>
          </cell>
          <cell r="E1002">
            <v>50300</v>
          </cell>
          <cell r="F1002">
            <v>1.5</v>
          </cell>
          <cell r="G1002">
            <v>46760</v>
          </cell>
        </row>
        <row r="1003">
          <cell r="A1003" t="str">
            <v>47-2131</v>
          </cell>
          <cell r="B1003" t="str">
            <v>Insulation Workers, Floor, Ceiling, and Wall</v>
          </cell>
          <cell r="C1003">
            <v>30360</v>
          </cell>
          <cell r="D1003">
            <v>3.9</v>
          </cell>
          <cell r="E1003">
            <v>44810</v>
          </cell>
          <cell r="F1003">
            <v>1.5</v>
          </cell>
          <cell r="G1003">
            <v>39880</v>
          </cell>
        </row>
        <row r="1004">
          <cell r="A1004" t="str">
            <v>47-2132</v>
          </cell>
          <cell r="B1004" t="str">
            <v>Insulation Workers, Mechanical</v>
          </cell>
          <cell r="C1004">
            <v>28010</v>
          </cell>
          <cell r="D1004">
            <v>5</v>
          </cell>
          <cell r="E1004">
            <v>56260</v>
          </cell>
          <cell r="F1004">
            <v>2.2000000000000002</v>
          </cell>
          <cell r="G1004">
            <v>48260</v>
          </cell>
        </row>
        <row r="1005">
          <cell r="A1005" t="str">
            <v>47-2140</v>
          </cell>
          <cell r="B1005" t="str">
            <v>Painters and Paperhangers</v>
          </cell>
          <cell r="C1005">
            <v>216560</v>
          </cell>
          <cell r="D1005">
            <v>1.3</v>
          </cell>
          <cell r="E1005">
            <v>47180</v>
          </cell>
          <cell r="F1005">
            <v>0.6</v>
          </cell>
          <cell r="G1005">
            <v>45630</v>
          </cell>
        </row>
        <row r="1006">
          <cell r="A1006" t="str">
            <v>47-2141</v>
          </cell>
          <cell r="B1006" t="str">
            <v>Painters, Construction and Maintenance</v>
          </cell>
          <cell r="C1006">
            <v>214220</v>
          </cell>
          <cell r="D1006">
            <v>1.3</v>
          </cell>
          <cell r="E1006">
            <v>47140</v>
          </cell>
          <cell r="F1006">
            <v>0.6</v>
          </cell>
          <cell r="G1006">
            <v>45590</v>
          </cell>
        </row>
        <row r="1007">
          <cell r="A1007" t="str">
            <v>47-2142</v>
          </cell>
          <cell r="B1007" t="str">
            <v>Paperhangers</v>
          </cell>
          <cell r="C1007">
            <v>2340</v>
          </cell>
          <cell r="D1007">
            <v>15.1</v>
          </cell>
          <cell r="E1007">
            <v>51560</v>
          </cell>
          <cell r="F1007">
            <v>5.2</v>
          </cell>
          <cell r="G1007">
            <v>47610</v>
          </cell>
        </row>
        <row r="1008">
          <cell r="A1008" t="str">
            <v>47-2150</v>
          </cell>
          <cell r="B1008" t="str">
            <v>Pipelayers, Plumbers, Pipefitters, and Steamfitters</v>
          </cell>
          <cell r="C1008">
            <v>450940</v>
          </cell>
          <cell r="D1008">
            <v>1.3</v>
          </cell>
          <cell r="E1008">
            <v>62250</v>
          </cell>
          <cell r="F1008">
            <v>0.7</v>
          </cell>
          <cell r="G1008">
            <v>59310</v>
          </cell>
        </row>
        <row r="1009">
          <cell r="A1009" t="str">
            <v>47-2151</v>
          </cell>
          <cell r="B1009" t="str">
            <v>Pipelayers</v>
          </cell>
          <cell r="C1009">
            <v>33330</v>
          </cell>
          <cell r="D1009">
            <v>3.1</v>
          </cell>
          <cell r="E1009">
            <v>48510</v>
          </cell>
          <cell r="F1009">
            <v>1.6</v>
          </cell>
          <cell r="G1009">
            <v>45980</v>
          </cell>
        </row>
        <row r="1010">
          <cell r="A1010" t="str">
            <v>47-2152</v>
          </cell>
          <cell r="B1010" t="str">
            <v>Plumbers, Pipefitters, and Steamfitters</v>
          </cell>
          <cell r="C1010">
            <v>417620</v>
          </cell>
          <cell r="D1010">
            <v>1.4</v>
          </cell>
          <cell r="E1010">
            <v>63350</v>
          </cell>
          <cell r="F1010">
            <v>0.7</v>
          </cell>
          <cell r="G1010">
            <v>59880</v>
          </cell>
        </row>
        <row r="1011">
          <cell r="A1011" t="str">
            <v>47-2160</v>
          </cell>
          <cell r="B1011" t="str">
            <v>Plasterers and Stucco Masons</v>
          </cell>
          <cell r="C1011">
            <v>26980</v>
          </cell>
          <cell r="D1011">
            <v>5.6</v>
          </cell>
          <cell r="E1011">
            <v>54810</v>
          </cell>
          <cell r="F1011">
            <v>3.1</v>
          </cell>
          <cell r="G1011">
            <v>48340</v>
          </cell>
        </row>
        <row r="1012">
          <cell r="A1012" t="str">
            <v>47-2161</v>
          </cell>
          <cell r="B1012" t="str">
            <v>Plasterers and Stucco Masons</v>
          </cell>
          <cell r="C1012">
            <v>26980</v>
          </cell>
          <cell r="D1012">
            <v>5.6</v>
          </cell>
          <cell r="E1012">
            <v>54810</v>
          </cell>
          <cell r="F1012">
            <v>3.1</v>
          </cell>
          <cell r="G1012">
            <v>48340</v>
          </cell>
        </row>
        <row r="1013">
          <cell r="A1013" t="str">
            <v>47-2170</v>
          </cell>
          <cell r="B1013" t="str">
            <v>Reinforcing Iron and Rebar Workers</v>
          </cell>
          <cell r="C1013">
            <v>16420</v>
          </cell>
          <cell r="D1013">
            <v>7.1</v>
          </cell>
          <cell r="E1013">
            <v>58960</v>
          </cell>
          <cell r="F1013">
            <v>2.4</v>
          </cell>
          <cell r="G1013">
            <v>48830</v>
          </cell>
        </row>
        <row r="1014">
          <cell r="A1014" t="str">
            <v>47-2171</v>
          </cell>
          <cell r="B1014" t="str">
            <v>Reinforcing Iron and Rebar Workers</v>
          </cell>
          <cell r="C1014">
            <v>16420</v>
          </cell>
          <cell r="D1014">
            <v>7.1</v>
          </cell>
          <cell r="E1014">
            <v>58960</v>
          </cell>
          <cell r="F1014">
            <v>2.4</v>
          </cell>
          <cell r="G1014">
            <v>48830</v>
          </cell>
        </row>
        <row r="1015">
          <cell r="A1015" t="str">
            <v>47-2180</v>
          </cell>
          <cell r="B1015" t="str">
            <v>Roofers</v>
          </cell>
          <cell r="C1015">
            <v>129890</v>
          </cell>
          <cell r="D1015">
            <v>1.6</v>
          </cell>
          <cell r="E1015">
            <v>48890</v>
          </cell>
          <cell r="F1015">
            <v>0.7</v>
          </cell>
          <cell r="G1015">
            <v>47110</v>
          </cell>
        </row>
        <row r="1016">
          <cell r="A1016" t="str">
            <v>47-2181</v>
          </cell>
          <cell r="B1016" t="str">
            <v>Roofers</v>
          </cell>
          <cell r="C1016">
            <v>129890</v>
          </cell>
          <cell r="D1016">
            <v>1.6</v>
          </cell>
          <cell r="E1016">
            <v>48890</v>
          </cell>
          <cell r="F1016">
            <v>0.7</v>
          </cell>
          <cell r="G1016">
            <v>47110</v>
          </cell>
        </row>
        <row r="1017">
          <cell r="A1017" t="str">
            <v>47-2210</v>
          </cell>
          <cell r="B1017" t="str">
            <v>Sheet Metal Workers</v>
          </cell>
          <cell r="C1017">
            <v>122630</v>
          </cell>
          <cell r="D1017">
            <v>2.2000000000000002</v>
          </cell>
          <cell r="E1017">
            <v>58760</v>
          </cell>
          <cell r="F1017">
            <v>0.9</v>
          </cell>
          <cell r="G1017">
            <v>53440</v>
          </cell>
        </row>
        <row r="1018">
          <cell r="A1018" t="str">
            <v>47-2211</v>
          </cell>
          <cell r="B1018" t="str">
            <v>Sheet Metal Workers</v>
          </cell>
          <cell r="C1018">
            <v>122630</v>
          </cell>
          <cell r="D1018">
            <v>2.2000000000000002</v>
          </cell>
          <cell r="E1018">
            <v>58760</v>
          </cell>
          <cell r="F1018">
            <v>0.9</v>
          </cell>
          <cell r="G1018">
            <v>53440</v>
          </cell>
        </row>
        <row r="1019">
          <cell r="A1019" t="str">
            <v>47-2220</v>
          </cell>
          <cell r="B1019" t="str">
            <v>Structural Iron and Steel Workers</v>
          </cell>
          <cell r="C1019">
            <v>68620</v>
          </cell>
          <cell r="D1019">
            <v>2.7</v>
          </cell>
          <cell r="E1019">
            <v>61270</v>
          </cell>
          <cell r="F1019">
            <v>1</v>
          </cell>
          <cell r="G1019">
            <v>58550</v>
          </cell>
        </row>
        <row r="1020">
          <cell r="A1020" t="str">
            <v>47-2221</v>
          </cell>
          <cell r="B1020" t="str">
            <v>Structural Iron and Steel Workers</v>
          </cell>
          <cell r="C1020">
            <v>68620</v>
          </cell>
          <cell r="D1020">
            <v>2.7</v>
          </cell>
          <cell r="E1020">
            <v>61270</v>
          </cell>
          <cell r="F1020">
            <v>1</v>
          </cell>
          <cell r="G1020">
            <v>58550</v>
          </cell>
        </row>
        <row r="1021">
          <cell r="A1021" t="str">
            <v>47-2230</v>
          </cell>
          <cell r="B1021" t="str">
            <v>Solar Photovoltaic Installers</v>
          </cell>
          <cell r="C1021">
            <v>16420</v>
          </cell>
          <cell r="D1021">
            <v>8.6999999999999993</v>
          </cell>
          <cell r="E1021">
            <v>50710</v>
          </cell>
          <cell r="F1021">
            <v>3.2</v>
          </cell>
          <cell r="G1021">
            <v>47670</v>
          </cell>
        </row>
        <row r="1022">
          <cell r="A1022" t="str">
            <v>47-2231</v>
          </cell>
          <cell r="B1022" t="str">
            <v>Solar Photovoltaic Installers</v>
          </cell>
          <cell r="C1022">
            <v>16420</v>
          </cell>
          <cell r="D1022">
            <v>8.6999999999999993</v>
          </cell>
          <cell r="E1022">
            <v>50710</v>
          </cell>
          <cell r="F1022">
            <v>3.2</v>
          </cell>
          <cell r="G1022">
            <v>47670</v>
          </cell>
        </row>
        <row r="1023">
          <cell r="A1023" t="str">
            <v>47-3000</v>
          </cell>
          <cell r="B1023" t="str">
            <v>Helpers, Construction Trades</v>
          </cell>
          <cell r="C1023">
            <v>206900</v>
          </cell>
          <cell r="D1023">
            <v>1.5</v>
          </cell>
          <cell r="E1023">
            <v>37340</v>
          </cell>
          <cell r="F1023">
            <v>0.4</v>
          </cell>
          <cell r="G1023">
            <v>36510</v>
          </cell>
        </row>
        <row r="1024">
          <cell r="A1024" t="str">
            <v>47-3010</v>
          </cell>
          <cell r="B1024" t="str">
            <v>Helpers, Construction Trades</v>
          </cell>
          <cell r="C1024">
            <v>206900</v>
          </cell>
          <cell r="D1024">
            <v>1.5</v>
          </cell>
          <cell r="E1024">
            <v>37340</v>
          </cell>
          <cell r="F1024">
            <v>0.4</v>
          </cell>
          <cell r="G1024">
            <v>36510</v>
          </cell>
        </row>
        <row r="1025">
          <cell r="A1025" t="str">
            <v>47-3011</v>
          </cell>
          <cell r="B1025" t="str">
            <v>Helpers--Brickmasons, Blockmasons, Stonemasons, and Tile and Marble Setters</v>
          </cell>
          <cell r="C1025">
            <v>18210</v>
          </cell>
          <cell r="D1025">
            <v>4.0999999999999996</v>
          </cell>
          <cell r="E1025">
            <v>43370</v>
          </cell>
          <cell r="F1025">
            <v>1.7</v>
          </cell>
          <cell r="G1025">
            <v>37870</v>
          </cell>
        </row>
        <row r="1026">
          <cell r="A1026" t="str">
            <v>47-3012</v>
          </cell>
          <cell r="B1026" t="str">
            <v>Helpers--Carpenters</v>
          </cell>
          <cell r="C1026">
            <v>27540</v>
          </cell>
          <cell r="D1026">
            <v>4.3</v>
          </cell>
          <cell r="E1026">
            <v>37340</v>
          </cell>
          <cell r="F1026">
            <v>0.9</v>
          </cell>
          <cell r="G1026">
            <v>36690</v>
          </cell>
        </row>
        <row r="1027">
          <cell r="A1027" t="str">
            <v>47-3013</v>
          </cell>
          <cell r="B1027" t="str">
            <v>Helpers--Electricians</v>
          </cell>
          <cell r="C1027">
            <v>72150</v>
          </cell>
          <cell r="D1027">
            <v>2.6</v>
          </cell>
          <cell r="E1027">
            <v>36720</v>
          </cell>
          <cell r="F1027">
            <v>0.6</v>
          </cell>
          <cell r="G1027">
            <v>36360</v>
          </cell>
        </row>
        <row r="1028">
          <cell r="A1028" t="str">
            <v>47-3014</v>
          </cell>
          <cell r="B1028" t="str">
            <v>Helpers--Painters, Paperhangers, Plasterers, and Stucco Masons</v>
          </cell>
          <cell r="C1028">
            <v>8940</v>
          </cell>
          <cell r="D1028">
            <v>8.4</v>
          </cell>
          <cell r="E1028">
            <v>35270</v>
          </cell>
          <cell r="F1028">
            <v>1.3</v>
          </cell>
          <cell r="G1028">
            <v>33370</v>
          </cell>
        </row>
        <row r="1029">
          <cell r="A1029" t="str">
            <v>47-3015</v>
          </cell>
          <cell r="B1029" t="str">
            <v>Helpers--Pipelayers, Plumbers, Pipefitters, and Steamfitters</v>
          </cell>
          <cell r="C1029">
            <v>45930</v>
          </cell>
          <cell r="D1029">
            <v>3.2</v>
          </cell>
          <cell r="E1029">
            <v>36350</v>
          </cell>
          <cell r="F1029">
            <v>1.1000000000000001</v>
          </cell>
          <cell r="G1029">
            <v>35720</v>
          </cell>
        </row>
        <row r="1030">
          <cell r="A1030" t="str">
            <v>47-3016</v>
          </cell>
          <cell r="B1030" t="str">
            <v>Helpers--Roofers</v>
          </cell>
          <cell r="C1030">
            <v>6830</v>
          </cell>
          <cell r="D1030">
            <v>7</v>
          </cell>
          <cell r="E1030">
            <v>36000</v>
          </cell>
          <cell r="F1030">
            <v>1.7</v>
          </cell>
          <cell r="G1030">
            <v>36360</v>
          </cell>
        </row>
        <row r="1031">
          <cell r="A1031" t="str">
            <v>47-3019</v>
          </cell>
          <cell r="B1031" t="str">
            <v>Helpers, Construction Trades, All Other</v>
          </cell>
          <cell r="C1031">
            <v>27300</v>
          </cell>
          <cell r="D1031">
            <v>3.3</v>
          </cell>
          <cell r="E1031">
            <v>37610</v>
          </cell>
          <cell r="F1031">
            <v>0.9</v>
          </cell>
          <cell r="G1031">
            <v>36690</v>
          </cell>
        </row>
        <row r="1032">
          <cell r="A1032" t="str">
            <v>47-4000</v>
          </cell>
          <cell r="B1032" t="str">
            <v>Other Construction and Related Workers</v>
          </cell>
          <cell r="C1032">
            <v>430760</v>
          </cell>
          <cell r="D1032">
            <v>0.9</v>
          </cell>
          <cell r="E1032">
            <v>54670</v>
          </cell>
          <cell r="F1032">
            <v>0.8</v>
          </cell>
          <cell r="G1032">
            <v>47910</v>
          </cell>
        </row>
        <row r="1033">
          <cell r="A1033" t="str">
            <v>47-4010</v>
          </cell>
          <cell r="B1033" t="str">
            <v>Construction and Building Inspectors</v>
          </cell>
          <cell r="C1033">
            <v>117830</v>
          </cell>
          <cell r="D1033">
            <v>2.1</v>
          </cell>
          <cell r="E1033">
            <v>68480</v>
          </cell>
          <cell r="F1033">
            <v>1.5</v>
          </cell>
          <cell r="G1033">
            <v>61640</v>
          </cell>
        </row>
        <row r="1034">
          <cell r="A1034" t="str">
            <v>47-4011</v>
          </cell>
          <cell r="B1034" t="str">
            <v>Construction and Building Inspectors</v>
          </cell>
          <cell r="C1034">
            <v>117830</v>
          </cell>
          <cell r="D1034">
            <v>2.1</v>
          </cell>
          <cell r="E1034">
            <v>68480</v>
          </cell>
          <cell r="F1034">
            <v>1.5</v>
          </cell>
          <cell r="G1034">
            <v>61640</v>
          </cell>
        </row>
        <row r="1035">
          <cell r="A1035" t="str">
            <v>47-4020</v>
          </cell>
          <cell r="B1035" t="str">
            <v>Elevator and Escalator Installers and Repairers</v>
          </cell>
          <cell r="C1035">
            <v>22510</v>
          </cell>
          <cell r="D1035">
            <v>5.2</v>
          </cell>
          <cell r="E1035">
            <v>91320</v>
          </cell>
          <cell r="F1035">
            <v>1.3</v>
          </cell>
          <cell r="G1035">
            <v>97860</v>
          </cell>
        </row>
        <row r="1036">
          <cell r="A1036" t="str">
            <v>47-4021</v>
          </cell>
          <cell r="B1036" t="str">
            <v>Elevator and Escalator Installers and Repairers</v>
          </cell>
          <cell r="C1036">
            <v>22510</v>
          </cell>
          <cell r="D1036">
            <v>5.2</v>
          </cell>
          <cell r="E1036">
            <v>91320</v>
          </cell>
          <cell r="F1036">
            <v>1.3</v>
          </cell>
          <cell r="G1036">
            <v>97860</v>
          </cell>
        </row>
        <row r="1037">
          <cell r="A1037" t="str">
            <v>47-4030</v>
          </cell>
          <cell r="B1037" t="str">
            <v>Fence Erectors</v>
          </cell>
          <cell r="C1037">
            <v>24470</v>
          </cell>
          <cell r="D1037">
            <v>5.7</v>
          </cell>
          <cell r="E1037">
            <v>41140</v>
          </cell>
          <cell r="F1037">
            <v>1.6</v>
          </cell>
          <cell r="G1037">
            <v>37700</v>
          </cell>
        </row>
        <row r="1038">
          <cell r="A1038" t="str">
            <v>47-4031</v>
          </cell>
          <cell r="B1038" t="str">
            <v>Fence Erectors</v>
          </cell>
          <cell r="C1038">
            <v>24470</v>
          </cell>
          <cell r="D1038">
            <v>5.7</v>
          </cell>
          <cell r="E1038">
            <v>41140</v>
          </cell>
          <cell r="F1038">
            <v>1.6</v>
          </cell>
          <cell r="G1038">
            <v>37700</v>
          </cell>
        </row>
        <row r="1039">
          <cell r="A1039" t="str">
            <v>47-4040</v>
          </cell>
          <cell r="B1039" t="str">
            <v>Hazardous Materials Removal Workers</v>
          </cell>
          <cell r="C1039">
            <v>44240</v>
          </cell>
          <cell r="D1039">
            <v>3.3</v>
          </cell>
          <cell r="E1039">
            <v>49280</v>
          </cell>
          <cell r="F1039">
            <v>1</v>
          </cell>
          <cell r="G1039">
            <v>46300</v>
          </cell>
        </row>
        <row r="1040">
          <cell r="A1040" t="str">
            <v>47-4041</v>
          </cell>
          <cell r="B1040" t="str">
            <v>Hazardous Materials Removal Workers</v>
          </cell>
          <cell r="C1040">
            <v>44240</v>
          </cell>
          <cell r="D1040">
            <v>3.3</v>
          </cell>
          <cell r="E1040">
            <v>49280</v>
          </cell>
          <cell r="F1040">
            <v>1</v>
          </cell>
          <cell r="G1040">
            <v>46300</v>
          </cell>
        </row>
        <row r="1041">
          <cell r="A1041" t="str">
            <v>47-4050</v>
          </cell>
          <cell r="B1041" t="str">
            <v>Highway Maintenance Workers</v>
          </cell>
          <cell r="C1041">
            <v>141150</v>
          </cell>
          <cell r="D1041">
            <v>1.2</v>
          </cell>
          <cell r="E1041">
            <v>44340</v>
          </cell>
          <cell r="F1041">
            <v>0.4</v>
          </cell>
          <cell r="G1041">
            <v>45880</v>
          </cell>
        </row>
        <row r="1042">
          <cell r="A1042" t="str">
            <v>47-4051</v>
          </cell>
          <cell r="B1042" t="str">
            <v>Highway Maintenance Workers</v>
          </cell>
          <cell r="C1042">
            <v>141150</v>
          </cell>
          <cell r="D1042">
            <v>1.2</v>
          </cell>
          <cell r="E1042">
            <v>44340</v>
          </cell>
          <cell r="F1042">
            <v>0.4</v>
          </cell>
          <cell r="G1042">
            <v>45880</v>
          </cell>
        </row>
        <row r="1043">
          <cell r="A1043" t="str">
            <v>47-4060</v>
          </cell>
          <cell r="B1043" t="str">
            <v>Rail-Track Laying and Maintenance Equipment Operators</v>
          </cell>
          <cell r="C1043">
            <v>21030</v>
          </cell>
          <cell r="D1043">
            <v>3.6</v>
          </cell>
          <cell r="E1043">
            <v>60770</v>
          </cell>
          <cell r="F1043">
            <v>1.4</v>
          </cell>
          <cell r="G1043">
            <v>61690</v>
          </cell>
        </row>
        <row r="1044">
          <cell r="A1044" t="str">
            <v>47-4061</v>
          </cell>
          <cell r="B1044" t="str">
            <v>Rail-Track Laying and Maintenance Equipment Operators</v>
          </cell>
          <cell r="C1044">
            <v>21030</v>
          </cell>
          <cell r="D1044">
            <v>3.6</v>
          </cell>
          <cell r="E1044">
            <v>60770</v>
          </cell>
          <cell r="F1044">
            <v>1.4</v>
          </cell>
          <cell r="G1044">
            <v>61690</v>
          </cell>
        </row>
        <row r="1045">
          <cell r="A1045" t="str">
            <v>47-4070</v>
          </cell>
          <cell r="B1045" t="str">
            <v>Septic Tank Servicers and Sewer Pipe Cleaners</v>
          </cell>
          <cell r="C1045">
            <v>28620</v>
          </cell>
          <cell r="D1045">
            <v>2.4</v>
          </cell>
          <cell r="E1045">
            <v>45390</v>
          </cell>
          <cell r="F1045">
            <v>0.8</v>
          </cell>
          <cell r="G1045">
            <v>44810</v>
          </cell>
        </row>
        <row r="1046">
          <cell r="A1046" t="str">
            <v>47-4071</v>
          </cell>
          <cell r="B1046" t="str">
            <v>Septic Tank Servicers and Sewer Pipe Cleaners</v>
          </cell>
          <cell r="C1046">
            <v>28620</v>
          </cell>
          <cell r="D1046">
            <v>2.4</v>
          </cell>
          <cell r="E1046">
            <v>45390</v>
          </cell>
          <cell r="F1046">
            <v>0.8</v>
          </cell>
          <cell r="G1046">
            <v>44810</v>
          </cell>
        </row>
        <row r="1047">
          <cell r="A1047" t="str">
            <v>47-4090</v>
          </cell>
          <cell r="B1047" t="str">
            <v>Miscellaneous Construction and Related Workers</v>
          </cell>
          <cell r="C1047">
            <v>30920</v>
          </cell>
          <cell r="D1047">
            <v>4.4000000000000004</v>
          </cell>
          <cell r="E1047">
            <v>45370</v>
          </cell>
          <cell r="F1047">
            <v>1.4</v>
          </cell>
          <cell r="G1047">
            <v>39850</v>
          </cell>
        </row>
        <row r="1048">
          <cell r="A1048" t="str">
            <v>47-4090</v>
          </cell>
          <cell r="B1048" t="str">
            <v>Miscellaneous Construction and Related Workers</v>
          </cell>
          <cell r="C1048">
            <v>30920</v>
          </cell>
          <cell r="D1048">
            <v>4.4000000000000004</v>
          </cell>
          <cell r="E1048">
            <v>45370</v>
          </cell>
          <cell r="F1048">
            <v>1.4</v>
          </cell>
          <cell r="G1048">
            <v>39850</v>
          </cell>
        </row>
        <row r="1049">
          <cell r="A1049" t="str">
            <v>47-5000</v>
          </cell>
          <cell r="B1049" t="str">
            <v>Extraction Workers</v>
          </cell>
          <cell r="C1049">
            <v>183340</v>
          </cell>
          <cell r="D1049">
            <v>1.5</v>
          </cell>
          <cell r="E1049">
            <v>51900</v>
          </cell>
          <cell r="F1049">
            <v>0.5</v>
          </cell>
          <cell r="G1049">
            <v>47600</v>
          </cell>
        </row>
        <row r="1050">
          <cell r="A1050" t="str">
            <v>47-5010</v>
          </cell>
          <cell r="B1050" t="str">
            <v>Derrick, Rotary Drill, and Service Unit Operators, Oil and Gas</v>
          </cell>
          <cell r="C1050">
            <v>51910</v>
          </cell>
          <cell r="D1050">
            <v>3.6</v>
          </cell>
          <cell r="E1050">
            <v>56460</v>
          </cell>
          <cell r="F1050">
            <v>1.2</v>
          </cell>
          <cell r="G1050">
            <v>48740</v>
          </cell>
        </row>
        <row r="1051">
          <cell r="A1051" t="str">
            <v>47-5011</v>
          </cell>
          <cell r="B1051" t="str">
            <v>Derrick Operators, Oil and Gas</v>
          </cell>
          <cell r="C1051">
            <v>7880</v>
          </cell>
          <cell r="D1051">
            <v>11.6</v>
          </cell>
          <cell r="E1051">
            <v>52140</v>
          </cell>
          <cell r="F1051">
            <v>2.6</v>
          </cell>
          <cell r="G1051">
            <v>47230</v>
          </cell>
        </row>
        <row r="1052">
          <cell r="A1052" t="str">
            <v>47-5012</v>
          </cell>
          <cell r="B1052" t="str">
            <v>Rotary Drill Operators, Oil and Gas</v>
          </cell>
          <cell r="C1052">
            <v>11170</v>
          </cell>
          <cell r="D1052">
            <v>8.6</v>
          </cell>
          <cell r="E1052">
            <v>61840</v>
          </cell>
          <cell r="F1052">
            <v>2.6</v>
          </cell>
          <cell r="G1052">
            <v>56380</v>
          </cell>
        </row>
        <row r="1053">
          <cell r="A1053" t="str">
            <v>47-5013</v>
          </cell>
          <cell r="B1053" t="str">
            <v>Service Unit Operators, Oil and Gas</v>
          </cell>
          <cell r="C1053">
            <v>32870</v>
          </cell>
          <cell r="D1053">
            <v>4.4000000000000004</v>
          </cell>
          <cell r="E1053">
            <v>55660</v>
          </cell>
          <cell r="F1053">
            <v>1.4</v>
          </cell>
          <cell r="G1053">
            <v>48410</v>
          </cell>
        </row>
        <row r="1054">
          <cell r="A1054" t="str">
            <v>47-5020</v>
          </cell>
          <cell r="B1054" t="str">
            <v>Surface Mining Machine Operators and Earth Drillers</v>
          </cell>
          <cell r="C1054">
            <v>51520</v>
          </cell>
          <cell r="D1054">
            <v>2.2000000000000002</v>
          </cell>
          <cell r="E1054">
            <v>51000</v>
          </cell>
          <cell r="F1054">
            <v>0.8</v>
          </cell>
          <cell r="G1054">
            <v>47370</v>
          </cell>
        </row>
        <row r="1055">
          <cell r="A1055" t="str">
            <v>47-5022</v>
          </cell>
          <cell r="B1055" t="str">
            <v>Excavating and Loading Machine and Dragline Operators, Surface Mining</v>
          </cell>
          <cell r="C1055">
            <v>35720</v>
          </cell>
          <cell r="D1055">
            <v>2.8</v>
          </cell>
          <cell r="E1055">
            <v>49850</v>
          </cell>
          <cell r="F1055">
            <v>1.1000000000000001</v>
          </cell>
          <cell r="G1055">
            <v>46740</v>
          </cell>
        </row>
        <row r="1056">
          <cell r="A1056" t="str">
            <v>47-5023</v>
          </cell>
          <cell r="B1056" t="str">
            <v>Earth Drillers, Except Oil and Gas</v>
          </cell>
          <cell r="C1056">
            <v>15800</v>
          </cell>
          <cell r="D1056">
            <v>4.0999999999999996</v>
          </cell>
          <cell r="E1056">
            <v>53600</v>
          </cell>
          <cell r="F1056">
            <v>1.1000000000000001</v>
          </cell>
          <cell r="G1056">
            <v>48250</v>
          </cell>
        </row>
        <row r="1057">
          <cell r="A1057" t="str">
            <v>47-5030</v>
          </cell>
          <cell r="B1057" t="str">
            <v>Explosives Workers, Ordnance Handling Experts, and Blasters</v>
          </cell>
          <cell r="C1057">
            <v>5370</v>
          </cell>
          <cell r="D1057">
            <v>6.1</v>
          </cell>
          <cell r="E1057">
            <v>57070</v>
          </cell>
          <cell r="F1057">
            <v>1.6</v>
          </cell>
          <cell r="G1057">
            <v>53040</v>
          </cell>
        </row>
        <row r="1058">
          <cell r="A1058" t="str">
            <v>47-5032</v>
          </cell>
          <cell r="B1058" t="str">
            <v>Explosives Workers, Ordnance Handling Experts, and Blasters</v>
          </cell>
          <cell r="C1058">
            <v>5370</v>
          </cell>
          <cell r="D1058">
            <v>6.1</v>
          </cell>
          <cell r="E1058">
            <v>57070</v>
          </cell>
          <cell r="F1058">
            <v>1.6</v>
          </cell>
          <cell r="G1058">
            <v>53040</v>
          </cell>
        </row>
        <row r="1059">
          <cell r="A1059" t="str">
            <v>47-5040</v>
          </cell>
          <cell r="B1059" t="str">
            <v>Underground Mining Machine Operators</v>
          </cell>
          <cell r="C1059">
            <v>24200</v>
          </cell>
          <cell r="D1059">
            <v>2.9</v>
          </cell>
          <cell r="E1059">
            <v>57920</v>
          </cell>
          <cell r="F1059">
            <v>0.6</v>
          </cell>
          <cell r="G1059">
            <v>59840</v>
          </cell>
        </row>
        <row r="1060">
          <cell r="A1060" t="str">
            <v>47-5041</v>
          </cell>
          <cell r="B1060" t="str">
            <v>Continuous Mining Machine Operators</v>
          </cell>
          <cell r="C1060">
            <v>14740</v>
          </cell>
          <cell r="D1060">
            <v>3.9</v>
          </cell>
          <cell r="E1060">
            <v>57430</v>
          </cell>
          <cell r="F1060">
            <v>0.7</v>
          </cell>
          <cell r="G1060">
            <v>60300</v>
          </cell>
        </row>
        <row r="1061">
          <cell r="A1061" t="str">
            <v>47-5043</v>
          </cell>
          <cell r="B1061" t="str">
            <v>Roof Bolters, Mining</v>
          </cell>
          <cell r="C1061">
            <v>1850</v>
          </cell>
          <cell r="D1061">
            <v>7.8</v>
          </cell>
          <cell r="E1061">
            <v>59170</v>
          </cell>
          <cell r="F1061">
            <v>1.5</v>
          </cell>
          <cell r="G1061">
            <v>59770</v>
          </cell>
        </row>
        <row r="1062">
          <cell r="A1062" t="str">
            <v>47-5044</v>
          </cell>
          <cell r="B1062" t="str">
            <v>Loading and Moving Machine Operators, Underground Mining</v>
          </cell>
          <cell r="C1062">
            <v>4450</v>
          </cell>
          <cell r="D1062">
            <v>4.2</v>
          </cell>
          <cell r="E1062">
            <v>57330</v>
          </cell>
          <cell r="F1062">
            <v>0.8</v>
          </cell>
          <cell r="G1062">
            <v>57900</v>
          </cell>
        </row>
        <row r="1063">
          <cell r="A1063" t="str">
            <v>47-5049</v>
          </cell>
          <cell r="B1063" t="str">
            <v>Underground Mining Machine Operators, All Other</v>
          </cell>
          <cell r="C1063">
            <v>3150</v>
          </cell>
          <cell r="D1063">
            <v>10.6</v>
          </cell>
          <cell r="E1063">
            <v>60290</v>
          </cell>
          <cell r="F1063">
            <v>2.1</v>
          </cell>
          <cell r="G1063">
            <v>61260</v>
          </cell>
        </row>
        <row r="1064">
          <cell r="A1064" t="str">
            <v>47-5050</v>
          </cell>
          <cell r="B1064" t="str">
            <v>Rock Splitters, Quarry</v>
          </cell>
          <cell r="C1064">
            <v>4450</v>
          </cell>
          <cell r="D1064">
            <v>10.1</v>
          </cell>
          <cell r="E1064">
            <v>41630</v>
          </cell>
          <cell r="F1064">
            <v>3.6</v>
          </cell>
          <cell r="G1064">
            <v>37700</v>
          </cell>
        </row>
        <row r="1065">
          <cell r="A1065" t="str">
            <v>47-5051</v>
          </cell>
          <cell r="B1065" t="str">
            <v>Rock Splitters, Quarry</v>
          </cell>
          <cell r="C1065">
            <v>4450</v>
          </cell>
          <cell r="D1065">
            <v>10.1</v>
          </cell>
          <cell r="E1065">
            <v>41630</v>
          </cell>
          <cell r="F1065">
            <v>3.6</v>
          </cell>
          <cell r="G1065">
            <v>37700</v>
          </cell>
        </row>
        <row r="1066">
          <cell r="A1066" t="str">
            <v>47-5070</v>
          </cell>
          <cell r="B1066" t="str">
            <v>Roustabouts, Oil and Gas</v>
          </cell>
          <cell r="C1066">
            <v>34520</v>
          </cell>
          <cell r="D1066">
            <v>4.3</v>
          </cell>
          <cell r="E1066">
            <v>44730</v>
          </cell>
          <cell r="F1066">
            <v>1.2</v>
          </cell>
          <cell r="G1066">
            <v>38920</v>
          </cell>
        </row>
        <row r="1067">
          <cell r="A1067" t="str">
            <v>47-5071</v>
          </cell>
          <cell r="B1067" t="str">
            <v>Roustabouts, Oil and Gas</v>
          </cell>
          <cell r="C1067">
            <v>34520</v>
          </cell>
          <cell r="D1067">
            <v>4.3</v>
          </cell>
          <cell r="E1067">
            <v>44730</v>
          </cell>
          <cell r="F1067">
            <v>1.2</v>
          </cell>
          <cell r="G1067">
            <v>38920</v>
          </cell>
        </row>
        <row r="1068">
          <cell r="A1068" t="str">
            <v>47-5080</v>
          </cell>
          <cell r="B1068" t="str">
            <v>Helpers--Extraction Workers</v>
          </cell>
          <cell r="C1068">
            <v>5980</v>
          </cell>
          <cell r="D1068">
            <v>6.2</v>
          </cell>
          <cell r="E1068">
            <v>40860</v>
          </cell>
          <cell r="F1068">
            <v>1.2</v>
          </cell>
          <cell r="G1068">
            <v>37760</v>
          </cell>
        </row>
        <row r="1069">
          <cell r="A1069" t="str">
            <v>47-5081</v>
          </cell>
          <cell r="B1069" t="str">
            <v>Helpers--Extraction Workers</v>
          </cell>
          <cell r="C1069">
            <v>5980</v>
          </cell>
          <cell r="D1069">
            <v>6.2</v>
          </cell>
          <cell r="E1069">
            <v>40860</v>
          </cell>
          <cell r="F1069">
            <v>1.2</v>
          </cell>
          <cell r="G1069">
            <v>37760</v>
          </cell>
        </row>
        <row r="1070">
          <cell r="A1070" t="str">
            <v>47-5090</v>
          </cell>
          <cell r="B1070" t="str">
            <v>Miscellaneous Extraction Workers</v>
          </cell>
          <cell r="C1070">
            <v>5380</v>
          </cell>
          <cell r="D1070">
            <v>7.7</v>
          </cell>
          <cell r="E1070">
            <v>50960</v>
          </cell>
          <cell r="F1070">
            <v>1.6</v>
          </cell>
          <cell r="G1070">
            <v>48140</v>
          </cell>
        </row>
        <row r="1071">
          <cell r="A1071" t="str">
            <v>47-5099</v>
          </cell>
          <cell r="B1071" t="str">
            <v>Extraction Workers, All Other</v>
          </cell>
          <cell r="C1071">
            <v>5380</v>
          </cell>
          <cell r="D1071">
            <v>7.7</v>
          </cell>
          <cell r="E1071">
            <v>50960</v>
          </cell>
          <cell r="F1071">
            <v>1.6</v>
          </cell>
          <cell r="G1071">
            <v>48140</v>
          </cell>
        </row>
        <row r="1072">
          <cell r="A1072" t="str">
            <v>49-0000</v>
          </cell>
          <cell r="B1072" t="str">
            <v>Installation, Maintenance, and Repair Occupations</v>
          </cell>
          <cell r="C1072">
            <v>5574410</v>
          </cell>
          <cell r="D1072">
            <v>0.2</v>
          </cell>
          <cell r="E1072">
            <v>53380</v>
          </cell>
          <cell r="F1072">
            <v>0.2</v>
          </cell>
          <cell r="G1072">
            <v>47940</v>
          </cell>
        </row>
        <row r="1073">
          <cell r="A1073" t="str">
            <v>49-1000</v>
          </cell>
          <cell r="B1073" t="str">
            <v>Supervisors of Installation, Maintenance, and Repair Workers</v>
          </cell>
          <cell r="C1073">
            <v>526240</v>
          </cell>
          <cell r="D1073">
            <v>0.6</v>
          </cell>
          <cell r="E1073">
            <v>73590</v>
          </cell>
          <cell r="F1073">
            <v>0.4</v>
          </cell>
          <cell r="G1073">
            <v>71260</v>
          </cell>
        </row>
        <row r="1074">
          <cell r="A1074" t="str">
            <v>49-1010</v>
          </cell>
          <cell r="B1074" t="str">
            <v>First-Line Supervisors of Mechanics, Installers, and Repairers</v>
          </cell>
          <cell r="C1074">
            <v>526240</v>
          </cell>
          <cell r="D1074">
            <v>0.6</v>
          </cell>
          <cell r="E1074">
            <v>73590</v>
          </cell>
          <cell r="F1074">
            <v>0.4</v>
          </cell>
          <cell r="G1074">
            <v>71260</v>
          </cell>
        </row>
        <row r="1075">
          <cell r="A1075" t="str">
            <v>49-1011</v>
          </cell>
          <cell r="B1075" t="str">
            <v>First-Line Supervisors of Mechanics, Installers, and Repairers</v>
          </cell>
          <cell r="C1075">
            <v>526240</v>
          </cell>
          <cell r="D1075">
            <v>0.6</v>
          </cell>
          <cell r="E1075">
            <v>73590</v>
          </cell>
          <cell r="F1075">
            <v>0.4</v>
          </cell>
          <cell r="G1075">
            <v>71260</v>
          </cell>
        </row>
        <row r="1076">
          <cell r="A1076" t="str">
            <v>49-2000</v>
          </cell>
          <cell r="B1076" t="str">
            <v>Electrical and Electronic Equipment Mechanics, Installers, and Repairers</v>
          </cell>
          <cell r="C1076">
            <v>499670</v>
          </cell>
          <cell r="D1076">
            <v>1</v>
          </cell>
          <cell r="E1076">
            <v>57260</v>
          </cell>
          <cell r="F1076">
            <v>0.4</v>
          </cell>
          <cell r="G1076">
            <v>55820</v>
          </cell>
        </row>
        <row r="1077">
          <cell r="A1077" t="str">
            <v>49-2010</v>
          </cell>
          <cell r="B1077" t="str">
            <v>Computer, Automated Teller, and Office Machine Repairers</v>
          </cell>
          <cell r="C1077">
            <v>86420</v>
          </cell>
          <cell r="D1077">
            <v>3.1</v>
          </cell>
          <cell r="E1077">
            <v>44170</v>
          </cell>
          <cell r="F1077">
            <v>0.9</v>
          </cell>
          <cell r="G1077">
            <v>40970</v>
          </cell>
        </row>
        <row r="1078">
          <cell r="A1078" t="str">
            <v>49-2011</v>
          </cell>
          <cell r="B1078" t="str">
            <v>Computer, Automated Teller, and Office Machine Repairers</v>
          </cell>
          <cell r="C1078">
            <v>86420</v>
          </cell>
          <cell r="D1078">
            <v>3.1</v>
          </cell>
          <cell r="E1078">
            <v>44170</v>
          </cell>
          <cell r="F1078">
            <v>0.9</v>
          </cell>
          <cell r="G1078">
            <v>40970</v>
          </cell>
        </row>
        <row r="1079">
          <cell r="A1079" t="str">
            <v>49-2020</v>
          </cell>
          <cell r="B1079" t="str">
            <v>Radio and Telecommunications Equipment Installers and Repairers</v>
          </cell>
          <cell r="C1079">
            <v>186530</v>
          </cell>
          <cell r="D1079">
            <v>1.8</v>
          </cell>
          <cell r="E1079">
            <v>60510</v>
          </cell>
          <cell r="F1079">
            <v>0.6</v>
          </cell>
          <cell r="G1079">
            <v>60360</v>
          </cell>
        </row>
        <row r="1080">
          <cell r="A1080" t="str">
            <v>49-2021</v>
          </cell>
          <cell r="B1080" t="str">
            <v>Radio, Cellular, and Tower Equipment Installers and Repairers</v>
          </cell>
          <cell r="C1080">
            <v>13700</v>
          </cell>
          <cell r="D1080">
            <v>4.9000000000000004</v>
          </cell>
          <cell r="E1080">
            <v>62500</v>
          </cell>
          <cell r="F1080">
            <v>1.5</v>
          </cell>
          <cell r="G1080">
            <v>60360</v>
          </cell>
        </row>
        <row r="1081">
          <cell r="A1081" t="str">
            <v>49-2022</v>
          </cell>
          <cell r="B1081" t="str">
            <v>Telecommunications Equipment Installers and Repairers, Except Line Installers</v>
          </cell>
          <cell r="C1081">
            <v>172830</v>
          </cell>
          <cell r="D1081">
            <v>1.8</v>
          </cell>
          <cell r="E1081">
            <v>60350</v>
          </cell>
          <cell r="F1081">
            <v>0.7</v>
          </cell>
          <cell r="G1081">
            <v>60370</v>
          </cell>
        </row>
        <row r="1082">
          <cell r="A1082" t="str">
            <v>49-2090</v>
          </cell>
          <cell r="B1082" t="str">
            <v>Miscellaneous Electrical and Electronic Equipment Mechanics, Installers, and Repairers</v>
          </cell>
          <cell r="C1082">
            <v>226720</v>
          </cell>
          <cell r="D1082">
            <v>1.3</v>
          </cell>
          <cell r="E1082">
            <v>59590</v>
          </cell>
          <cell r="F1082">
            <v>0.4</v>
          </cell>
          <cell r="G1082">
            <v>58780</v>
          </cell>
        </row>
        <row r="1083">
          <cell r="A1083" t="str">
            <v>49-2091</v>
          </cell>
          <cell r="B1083" t="str">
            <v>Avionics Technicians</v>
          </cell>
          <cell r="C1083">
            <v>18910</v>
          </cell>
          <cell r="D1083">
            <v>2.8</v>
          </cell>
          <cell r="E1083">
            <v>69860</v>
          </cell>
          <cell r="F1083">
            <v>0.9</v>
          </cell>
          <cell r="G1083">
            <v>69280</v>
          </cell>
        </row>
        <row r="1084">
          <cell r="A1084" t="str">
            <v>49-2092</v>
          </cell>
          <cell r="B1084" t="str">
            <v>Electric Motor, Power Tool, and Related Repairers</v>
          </cell>
          <cell r="C1084">
            <v>15880</v>
          </cell>
          <cell r="D1084">
            <v>5</v>
          </cell>
          <cell r="E1084">
            <v>48740</v>
          </cell>
          <cell r="F1084">
            <v>1.1000000000000001</v>
          </cell>
          <cell r="G1084">
            <v>46910</v>
          </cell>
        </row>
        <row r="1085">
          <cell r="A1085" t="str">
            <v>49-2093</v>
          </cell>
          <cell r="B1085" t="str">
            <v>Electrical and Electronics Installers and Repairers, Transportation Equipment</v>
          </cell>
          <cell r="C1085">
            <v>10710</v>
          </cell>
          <cell r="D1085">
            <v>5</v>
          </cell>
          <cell r="E1085">
            <v>70650</v>
          </cell>
          <cell r="F1085">
            <v>1.5</v>
          </cell>
          <cell r="G1085">
            <v>77250</v>
          </cell>
        </row>
        <row r="1086">
          <cell r="A1086" t="str">
            <v>49-2094</v>
          </cell>
          <cell r="B1086" t="str">
            <v>Electrical and Electronics Repairers, Commercial and Industrial Equipment</v>
          </cell>
          <cell r="C1086">
            <v>50780</v>
          </cell>
          <cell r="D1086">
            <v>1.9</v>
          </cell>
          <cell r="E1086">
            <v>64230</v>
          </cell>
          <cell r="F1086">
            <v>0.7</v>
          </cell>
          <cell r="G1086">
            <v>61730</v>
          </cell>
        </row>
        <row r="1087">
          <cell r="A1087" t="str">
            <v>49-2095</v>
          </cell>
          <cell r="B1087" t="str">
            <v>Electrical and Electronics Repairers, Powerhouse, Substation, and Relay</v>
          </cell>
          <cell r="C1087">
            <v>22490</v>
          </cell>
          <cell r="D1087">
            <v>2.5</v>
          </cell>
          <cell r="E1087">
            <v>87640</v>
          </cell>
          <cell r="F1087">
            <v>0.9</v>
          </cell>
          <cell r="G1087">
            <v>93420</v>
          </cell>
        </row>
        <row r="1088">
          <cell r="A1088" t="str">
            <v>49-2096</v>
          </cell>
          <cell r="B1088" t="str">
            <v>Electronic Equipment Installers and Repairers, Motor Vehicles</v>
          </cell>
          <cell r="C1088">
            <v>9000</v>
          </cell>
          <cell r="D1088">
            <v>8.1</v>
          </cell>
          <cell r="E1088">
            <v>43690</v>
          </cell>
          <cell r="F1088">
            <v>1.3</v>
          </cell>
          <cell r="G1088">
            <v>40670</v>
          </cell>
        </row>
        <row r="1089">
          <cell r="A1089" t="str">
            <v>49-2097</v>
          </cell>
          <cell r="B1089" t="str">
            <v>Audiovisual Equipment Installers and Repairers</v>
          </cell>
          <cell r="C1089">
            <v>21540</v>
          </cell>
          <cell r="D1089">
            <v>7</v>
          </cell>
          <cell r="E1089">
            <v>46120</v>
          </cell>
          <cell r="F1089">
            <v>1.5</v>
          </cell>
          <cell r="G1089">
            <v>44790</v>
          </cell>
        </row>
        <row r="1090">
          <cell r="A1090" t="str">
            <v>49-2098</v>
          </cell>
          <cell r="B1090" t="str">
            <v>Security and Fire Alarm Systems Installers</v>
          </cell>
          <cell r="C1090">
            <v>77420</v>
          </cell>
          <cell r="D1090">
            <v>2.9</v>
          </cell>
          <cell r="E1090">
            <v>52170</v>
          </cell>
          <cell r="F1090">
            <v>0.8</v>
          </cell>
          <cell r="G1090">
            <v>48320</v>
          </cell>
        </row>
        <row r="1091">
          <cell r="A1091" t="str">
            <v>49-3000</v>
          </cell>
          <cell r="B1091" t="str">
            <v>Vehicle and Mobile Equipment Mechanics, Installers, and Repairers</v>
          </cell>
          <cell r="C1091">
            <v>1570020</v>
          </cell>
          <cell r="D1091">
            <v>0.4</v>
          </cell>
          <cell r="E1091">
            <v>50400</v>
          </cell>
          <cell r="F1091">
            <v>0.2</v>
          </cell>
          <cell r="G1091">
            <v>47410</v>
          </cell>
        </row>
        <row r="1092">
          <cell r="A1092" t="str">
            <v>49-3010</v>
          </cell>
          <cell r="B1092" t="str">
            <v>Aircraft Mechanics and Service Technicians</v>
          </cell>
          <cell r="C1092">
            <v>125440</v>
          </cell>
          <cell r="D1092">
            <v>1.3</v>
          </cell>
          <cell r="E1092">
            <v>69470</v>
          </cell>
          <cell r="F1092">
            <v>0.4</v>
          </cell>
          <cell r="G1092">
            <v>65380</v>
          </cell>
        </row>
        <row r="1093">
          <cell r="A1093" t="str">
            <v>49-3011</v>
          </cell>
          <cell r="B1093" t="str">
            <v>Aircraft Mechanics and Service Technicians</v>
          </cell>
          <cell r="C1093">
            <v>125440</v>
          </cell>
          <cell r="D1093">
            <v>1.3</v>
          </cell>
          <cell r="E1093">
            <v>69470</v>
          </cell>
          <cell r="F1093">
            <v>0.4</v>
          </cell>
          <cell r="G1093">
            <v>65380</v>
          </cell>
        </row>
        <row r="1094">
          <cell r="A1094" t="str">
            <v>49-3020</v>
          </cell>
          <cell r="B1094" t="str">
            <v>Automotive Technicians and Repairers</v>
          </cell>
          <cell r="C1094">
            <v>783310</v>
          </cell>
          <cell r="D1094">
            <v>0.5</v>
          </cell>
          <cell r="E1094">
            <v>48310</v>
          </cell>
          <cell r="F1094">
            <v>0.3</v>
          </cell>
          <cell r="G1094">
            <v>46910</v>
          </cell>
        </row>
        <row r="1095">
          <cell r="A1095" t="str">
            <v>49-3021</v>
          </cell>
          <cell r="B1095" t="str">
            <v>Automotive Body and Related Repairers</v>
          </cell>
          <cell r="C1095">
            <v>137300</v>
          </cell>
          <cell r="D1095">
            <v>2</v>
          </cell>
          <cell r="E1095">
            <v>50660</v>
          </cell>
          <cell r="F1095">
            <v>0.7</v>
          </cell>
          <cell r="G1095">
            <v>47270</v>
          </cell>
        </row>
        <row r="1096">
          <cell r="A1096" t="str">
            <v>49-3022</v>
          </cell>
          <cell r="B1096" t="str">
            <v>Automotive Glass Installers and Repairers</v>
          </cell>
          <cell r="C1096">
            <v>16230</v>
          </cell>
          <cell r="D1096">
            <v>5.0999999999999996</v>
          </cell>
          <cell r="E1096">
            <v>40690</v>
          </cell>
          <cell r="F1096">
            <v>1.3</v>
          </cell>
          <cell r="G1096">
            <v>37920</v>
          </cell>
        </row>
        <row r="1097">
          <cell r="A1097" t="str">
            <v>49-3023</v>
          </cell>
          <cell r="B1097" t="str">
            <v>Automotive Service Technicians and Mechanics</v>
          </cell>
          <cell r="C1097">
            <v>629780</v>
          </cell>
          <cell r="D1097">
            <v>0.7</v>
          </cell>
          <cell r="E1097">
            <v>47990</v>
          </cell>
          <cell r="F1097">
            <v>0.3</v>
          </cell>
          <cell r="G1097">
            <v>46880</v>
          </cell>
        </row>
        <row r="1098">
          <cell r="A1098" t="str">
            <v>49-3030</v>
          </cell>
          <cell r="B1098" t="str">
            <v>Bus and Truck Mechanics and Diesel Engine Specialists</v>
          </cell>
          <cell r="C1098">
            <v>261420</v>
          </cell>
          <cell r="D1098">
            <v>1.1000000000000001</v>
          </cell>
          <cell r="E1098">
            <v>53020</v>
          </cell>
          <cell r="F1098">
            <v>0.3</v>
          </cell>
          <cell r="G1098">
            <v>48690</v>
          </cell>
        </row>
        <row r="1099">
          <cell r="A1099" t="str">
            <v>49-3031</v>
          </cell>
          <cell r="B1099" t="str">
            <v>Bus and Truck Mechanics and Diesel Engine Specialists</v>
          </cell>
          <cell r="C1099">
            <v>261420</v>
          </cell>
          <cell r="D1099">
            <v>1.1000000000000001</v>
          </cell>
          <cell r="E1099">
            <v>53020</v>
          </cell>
          <cell r="F1099">
            <v>0.3</v>
          </cell>
          <cell r="G1099">
            <v>48690</v>
          </cell>
        </row>
        <row r="1100">
          <cell r="A1100" t="str">
            <v>49-3040</v>
          </cell>
          <cell r="B1100" t="str">
            <v>Heavy Vehicle and Mobile Equipment Service Technicians and Mechanics</v>
          </cell>
          <cell r="C1100">
            <v>203060</v>
          </cell>
          <cell r="D1100">
            <v>1</v>
          </cell>
          <cell r="E1100">
            <v>55900</v>
          </cell>
          <cell r="F1100">
            <v>0.3</v>
          </cell>
          <cell r="G1100">
            <v>53770</v>
          </cell>
        </row>
        <row r="1101">
          <cell r="A1101" t="str">
            <v>49-3041</v>
          </cell>
          <cell r="B1101" t="str">
            <v>Farm Equipment Mechanics and Service Technicians</v>
          </cell>
          <cell r="C1101">
            <v>35030</v>
          </cell>
          <cell r="D1101">
            <v>1.8</v>
          </cell>
          <cell r="E1101">
            <v>47250</v>
          </cell>
          <cell r="F1101">
            <v>0.5</v>
          </cell>
          <cell r="G1101">
            <v>46910</v>
          </cell>
        </row>
        <row r="1102">
          <cell r="A1102" t="str">
            <v>49-3042</v>
          </cell>
          <cell r="B1102" t="str">
            <v>Mobile Heavy Equipment Mechanics, Except Engines</v>
          </cell>
          <cell r="C1102">
            <v>145230</v>
          </cell>
          <cell r="D1102">
            <v>1.2</v>
          </cell>
          <cell r="E1102">
            <v>57280</v>
          </cell>
          <cell r="F1102">
            <v>0.4</v>
          </cell>
          <cell r="G1102">
            <v>58030</v>
          </cell>
        </row>
        <row r="1103">
          <cell r="A1103" t="str">
            <v>49-3043</v>
          </cell>
          <cell r="B1103" t="str">
            <v>Rail Car Repairers</v>
          </cell>
          <cell r="C1103">
            <v>22800</v>
          </cell>
          <cell r="D1103">
            <v>1.9</v>
          </cell>
          <cell r="E1103">
            <v>60400</v>
          </cell>
          <cell r="F1103">
            <v>0.7</v>
          </cell>
          <cell r="G1103">
            <v>60250</v>
          </cell>
        </row>
        <row r="1104">
          <cell r="A1104" t="str">
            <v>49-3050</v>
          </cell>
          <cell r="B1104" t="str">
            <v>Small Engine Mechanics</v>
          </cell>
          <cell r="C1104">
            <v>72800</v>
          </cell>
          <cell r="D1104">
            <v>1.4</v>
          </cell>
          <cell r="E1104">
            <v>42690</v>
          </cell>
          <cell r="F1104">
            <v>0.5</v>
          </cell>
          <cell r="G1104">
            <v>39050</v>
          </cell>
        </row>
        <row r="1105">
          <cell r="A1105" t="str">
            <v>49-3051</v>
          </cell>
          <cell r="B1105" t="str">
            <v>Motorboat Mechanics and Service Technicians</v>
          </cell>
          <cell r="C1105">
            <v>23080</v>
          </cell>
          <cell r="D1105">
            <v>2.9</v>
          </cell>
          <cell r="E1105">
            <v>46660</v>
          </cell>
          <cell r="F1105">
            <v>0.9</v>
          </cell>
          <cell r="G1105">
            <v>46730</v>
          </cell>
        </row>
        <row r="1106">
          <cell r="A1106" t="str">
            <v>49-3052</v>
          </cell>
          <cell r="B1106" t="str">
            <v>Motorcycle Mechanics</v>
          </cell>
          <cell r="C1106">
            <v>15020</v>
          </cell>
          <cell r="D1106">
            <v>2.7</v>
          </cell>
          <cell r="E1106">
            <v>41970</v>
          </cell>
          <cell r="F1106">
            <v>1</v>
          </cell>
          <cell r="G1106">
            <v>38170</v>
          </cell>
        </row>
        <row r="1107">
          <cell r="A1107" t="str">
            <v>49-3053</v>
          </cell>
          <cell r="B1107" t="str">
            <v>Outdoor Power Equipment and Other Small Engine Mechanics</v>
          </cell>
          <cell r="C1107">
            <v>34700</v>
          </cell>
          <cell r="D1107">
            <v>2.5</v>
          </cell>
          <cell r="E1107">
            <v>40360</v>
          </cell>
          <cell r="F1107">
            <v>0.6</v>
          </cell>
          <cell r="G1107">
            <v>37540</v>
          </cell>
        </row>
        <row r="1108">
          <cell r="A1108" t="str">
            <v>49-3090</v>
          </cell>
          <cell r="B1108" t="str">
            <v>Miscellaneous Vehicle and Mobile Equipment Mechanics, Installers, and Repairers</v>
          </cell>
          <cell r="C1108">
            <v>123980</v>
          </cell>
          <cell r="D1108">
            <v>1.4</v>
          </cell>
          <cell r="E1108">
            <v>34340</v>
          </cell>
          <cell r="F1108">
            <v>0.5</v>
          </cell>
          <cell r="G1108">
            <v>30370</v>
          </cell>
        </row>
        <row r="1109">
          <cell r="A1109" t="str">
            <v>49-3091</v>
          </cell>
          <cell r="B1109" t="str">
            <v>Bicycle Repairers</v>
          </cell>
          <cell r="C1109">
            <v>14760</v>
          </cell>
          <cell r="D1109">
            <v>5.0999999999999996</v>
          </cell>
          <cell r="E1109">
            <v>34360</v>
          </cell>
          <cell r="F1109">
            <v>0.8</v>
          </cell>
          <cell r="G1109">
            <v>34690</v>
          </cell>
        </row>
        <row r="1110">
          <cell r="A1110" t="str">
            <v>49-3092</v>
          </cell>
          <cell r="B1110" t="str">
            <v>Recreational Vehicle Service Technicians</v>
          </cell>
          <cell r="C1110">
            <v>16030</v>
          </cell>
          <cell r="D1110">
            <v>3</v>
          </cell>
          <cell r="E1110">
            <v>44930</v>
          </cell>
          <cell r="F1110">
            <v>1.2</v>
          </cell>
          <cell r="G1110">
            <v>43560</v>
          </cell>
        </row>
        <row r="1111">
          <cell r="A1111" t="str">
            <v>49-3093</v>
          </cell>
          <cell r="B1111" t="str">
            <v>Tire Repairers and Changers</v>
          </cell>
          <cell r="C1111">
            <v>93180</v>
          </cell>
          <cell r="D1111">
            <v>1.6</v>
          </cell>
          <cell r="E1111">
            <v>32520</v>
          </cell>
          <cell r="F1111">
            <v>0.5</v>
          </cell>
          <cell r="G1111">
            <v>29580</v>
          </cell>
        </row>
        <row r="1112">
          <cell r="A1112" t="str">
            <v>49-9000</v>
          </cell>
          <cell r="B1112" t="str">
            <v>Other Installation, Maintenance, and Repair Occupations</v>
          </cell>
          <cell r="C1112">
            <v>2978490</v>
          </cell>
          <cell r="D1112">
            <v>0.3</v>
          </cell>
          <cell r="E1112">
            <v>50730</v>
          </cell>
          <cell r="F1112">
            <v>0.2</v>
          </cell>
          <cell r="G1112">
            <v>47230</v>
          </cell>
        </row>
        <row r="1113">
          <cell r="A1113" t="str">
            <v>49-9010</v>
          </cell>
          <cell r="B1113" t="str">
            <v>Control and Valve Installers and Repairers</v>
          </cell>
          <cell r="C1113">
            <v>68170</v>
          </cell>
          <cell r="D1113">
            <v>2.2000000000000002</v>
          </cell>
          <cell r="E1113">
            <v>59860</v>
          </cell>
          <cell r="F1113">
            <v>0.6</v>
          </cell>
          <cell r="G1113">
            <v>53980</v>
          </cell>
        </row>
        <row r="1114">
          <cell r="A1114" t="str">
            <v>49-9011</v>
          </cell>
          <cell r="B1114" t="str">
            <v>Mechanical Door Repairers</v>
          </cell>
          <cell r="C1114">
            <v>23300</v>
          </cell>
          <cell r="D1114">
            <v>4.7</v>
          </cell>
          <cell r="E1114">
            <v>45520</v>
          </cell>
          <cell r="F1114">
            <v>1.1000000000000001</v>
          </cell>
          <cell r="G1114">
            <v>45060</v>
          </cell>
        </row>
        <row r="1115">
          <cell r="A1115" t="str">
            <v>49-9012</v>
          </cell>
          <cell r="B1115" t="str">
            <v>Control and Valve Installers and Repairers, Except Mechanical Door</v>
          </cell>
          <cell r="C1115">
            <v>44870</v>
          </cell>
          <cell r="D1115">
            <v>2</v>
          </cell>
          <cell r="E1115">
            <v>67310</v>
          </cell>
          <cell r="F1115">
            <v>0.7</v>
          </cell>
          <cell r="G1115">
            <v>62760</v>
          </cell>
        </row>
        <row r="1116">
          <cell r="A1116" t="str">
            <v>49-9020</v>
          </cell>
          <cell r="B1116" t="str">
            <v>Heating, Air Conditioning, and Refrigeration Mechanics and Installers</v>
          </cell>
          <cell r="C1116">
            <v>356960</v>
          </cell>
          <cell r="D1116">
            <v>1.3</v>
          </cell>
          <cell r="E1116">
            <v>54690</v>
          </cell>
          <cell r="F1116">
            <v>0.5</v>
          </cell>
          <cell r="G1116">
            <v>48630</v>
          </cell>
        </row>
        <row r="1117">
          <cell r="A1117" t="str">
            <v>49-9021</v>
          </cell>
          <cell r="B1117" t="str">
            <v>Heating, Air Conditioning, and Refrigeration Mechanics and Installers</v>
          </cell>
          <cell r="C1117">
            <v>356960</v>
          </cell>
          <cell r="D1117">
            <v>1.3</v>
          </cell>
          <cell r="E1117">
            <v>54690</v>
          </cell>
          <cell r="F1117">
            <v>0.5</v>
          </cell>
          <cell r="G1117">
            <v>48630</v>
          </cell>
        </row>
        <row r="1118">
          <cell r="A1118" t="str">
            <v>49-9030</v>
          </cell>
          <cell r="B1118" t="str">
            <v>Home Appliance Repairers</v>
          </cell>
          <cell r="C1118">
            <v>28120</v>
          </cell>
          <cell r="D1118">
            <v>3.5</v>
          </cell>
          <cell r="E1118">
            <v>45340</v>
          </cell>
          <cell r="F1118">
            <v>1.1000000000000001</v>
          </cell>
          <cell r="G1118">
            <v>44320</v>
          </cell>
        </row>
        <row r="1119">
          <cell r="A1119" t="str">
            <v>49-9031</v>
          </cell>
          <cell r="B1119" t="str">
            <v>Home Appliance Repairers</v>
          </cell>
          <cell r="C1119">
            <v>28120</v>
          </cell>
          <cell r="D1119">
            <v>3.5</v>
          </cell>
          <cell r="E1119">
            <v>45340</v>
          </cell>
          <cell r="F1119">
            <v>1.1000000000000001</v>
          </cell>
          <cell r="G1119">
            <v>44320</v>
          </cell>
        </row>
        <row r="1120">
          <cell r="A1120" t="str">
            <v>49-9040</v>
          </cell>
          <cell r="B1120" t="str">
            <v>Industrial Machinery Installation, Repair, and Maintenance Workers</v>
          </cell>
          <cell r="C1120">
            <v>470650</v>
          </cell>
          <cell r="D1120">
            <v>0.7</v>
          </cell>
          <cell r="E1120">
            <v>58350</v>
          </cell>
          <cell r="F1120">
            <v>0.3</v>
          </cell>
          <cell r="G1120">
            <v>59380</v>
          </cell>
        </row>
        <row r="1121">
          <cell r="A1121" t="str">
            <v>49-9041</v>
          </cell>
          <cell r="B1121" t="str">
            <v>Industrial Machinery Mechanics</v>
          </cell>
          <cell r="C1121">
            <v>373090</v>
          </cell>
          <cell r="D1121">
            <v>0.7</v>
          </cell>
          <cell r="E1121">
            <v>58780</v>
          </cell>
          <cell r="F1121">
            <v>0.3</v>
          </cell>
          <cell r="G1121">
            <v>59840</v>
          </cell>
        </row>
        <row r="1122">
          <cell r="A1122" t="str">
            <v>49-9043</v>
          </cell>
          <cell r="B1122" t="str">
            <v>Maintenance Workers, Machinery</v>
          </cell>
          <cell r="C1122">
            <v>57660</v>
          </cell>
          <cell r="D1122">
            <v>1.5</v>
          </cell>
          <cell r="E1122">
            <v>53570</v>
          </cell>
          <cell r="F1122">
            <v>0.5</v>
          </cell>
          <cell r="G1122">
            <v>48900</v>
          </cell>
        </row>
        <row r="1123">
          <cell r="A1123" t="str">
            <v>49-9044</v>
          </cell>
          <cell r="B1123" t="str">
            <v>Millwrights</v>
          </cell>
          <cell r="C1123">
            <v>39240</v>
          </cell>
          <cell r="D1123">
            <v>3.5</v>
          </cell>
          <cell r="E1123">
            <v>61260</v>
          </cell>
          <cell r="F1123">
            <v>1.1000000000000001</v>
          </cell>
          <cell r="G1123">
            <v>60330</v>
          </cell>
        </row>
        <row r="1124">
          <cell r="A1124" t="str">
            <v>49-9045</v>
          </cell>
          <cell r="B1124" t="str">
            <v>Refractory Materials Repairers, Except Brickmasons</v>
          </cell>
          <cell r="C1124">
            <v>660</v>
          </cell>
          <cell r="D1124">
            <v>18.600000000000001</v>
          </cell>
          <cell r="E1124">
            <v>54760</v>
          </cell>
          <cell r="F1124">
            <v>3.1</v>
          </cell>
          <cell r="G1124">
            <v>54250</v>
          </cell>
        </row>
        <row r="1125">
          <cell r="A1125" t="str">
            <v>49-9050</v>
          </cell>
          <cell r="B1125" t="str">
            <v>Line Installers and Repairers</v>
          </cell>
          <cell r="C1125">
            <v>225460</v>
          </cell>
          <cell r="D1125">
            <v>1.4</v>
          </cell>
          <cell r="E1125">
            <v>71500</v>
          </cell>
          <cell r="F1125">
            <v>0.5</v>
          </cell>
          <cell r="G1125">
            <v>74530</v>
          </cell>
        </row>
        <row r="1126">
          <cell r="A1126" t="str">
            <v>49-9051</v>
          </cell>
          <cell r="B1126" t="str">
            <v>Electrical Power-Line Installers and Repairers</v>
          </cell>
          <cell r="C1126">
            <v>123940</v>
          </cell>
          <cell r="D1126">
            <v>1.5</v>
          </cell>
          <cell r="E1126">
            <v>79060</v>
          </cell>
          <cell r="F1126">
            <v>0.5</v>
          </cell>
          <cell r="G1126">
            <v>78310</v>
          </cell>
        </row>
        <row r="1127">
          <cell r="A1127" t="str">
            <v>49-9052</v>
          </cell>
          <cell r="B1127" t="str">
            <v>Telecommunications Line Installers and Repairers</v>
          </cell>
          <cell r="C1127">
            <v>101530</v>
          </cell>
          <cell r="D1127">
            <v>2.4</v>
          </cell>
          <cell r="E1127">
            <v>62250</v>
          </cell>
          <cell r="F1127">
            <v>0.9</v>
          </cell>
          <cell r="G1127">
            <v>60190</v>
          </cell>
        </row>
        <row r="1128">
          <cell r="A1128" t="str">
            <v>49-9060</v>
          </cell>
          <cell r="B1128" t="str">
            <v>Precision Instrument and Equipment Repairers</v>
          </cell>
          <cell r="C1128">
            <v>74530</v>
          </cell>
          <cell r="D1128">
            <v>2.7</v>
          </cell>
          <cell r="E1128">
            <v>54870</v>
          </cell>
          <cell r="F1128">
            <v>1.1000000000000001</v>
          </cell>
          <cell r="G1128">
            <v>48630</v>
          </cell>
        </row>
        <row r="1129">
          <cell r="A1129" t="str">
            <v>49-9061</v>
          </cell>
          <cell r="B1129" t="str">
            <v>Camera and Photographic Equipment Repairers</v>
          </cell>
          <cell r="C1129">
            <v>2340</v>
          </cell>
          <cell r="D1129">
            <v>13.6</v>
          </cell>
          <cell r="E1129">
            <v>44260</v>
          </cell>
          <cell r="F1129">
            <v>3</v>
          </cell>
          <cell r="G1129">
            <v>38200</v>
          </cell>
        </row>
        <row r="1130">
          <cell r="A1130" t="str">
            <v>49-9062</v>
          </cell>
          <cell r="B1130" t="str">
            <v>Medical Equipment Repairers</v>
          </cell>
          <cell r="C1130">
            <v>53400</v>
          </cell>
          <cell r="D1130">
            <v>3.5</v>
          </cell>
          <cell r="E1130">
            <v>56420</v>
          </cell>
          <cell r="F1130">
            <v>1.3</v>
          </cell>
          <cell r="G1130">
            <v>49910</v>
          </cell>
        </row>
        <row r="1131">
          <cell r="A1131" t="str">
            <v>49-9063</v>
          </cell>
          <cell r="B1131" t="str">
            <v>Musical Instrument Repairers and Tuners</v>
          </cell>
          <cell r="C1131">
            <v>5710</v>
          </cell>
          <cell r="D1131">
            <v>5</v>
          </cell>
          <cell r="E1131">
            <v>39740</v>
          </cell>
          <cell r="F1131">
            <v>2</v>
          </cell>
          <cell r="G1131">
            <v>37160</v>
          </cell>
        </row>
        <row r="1132">
          <cell r="A1132" t="str">
            <v>49-9064</v>
          </cell>
          <cell r="B1132" t="str">
            <v>Watch and Clock Repairers</v>
          </cell>
          <cell r="C1132">
            <v>1970</v>
          </cell>
          <cell r="D1132">
            <v>13.8</v>
          </cell>
          <cell r="E1132">
            <v>45460</v>
          </cell>
          <cell r="F1132">
            <v>5.9</v>
          </cell>
          <cell r="G1132">
            <v>44250</v>
          </cell>
        </row>
        <row r="1133">
          <cell r="A1133" t="str">
            <v>49-9069</v>
          </cell>
          <cell r="B1133" t="str">
            <v>Precision Instrument and Equipment Repairers, All Other</v>
          </cell>
          <cell r="C1133">
            <v>11110</v>
          </cell>
          <cell r="D1133">
            <v>5.2</v>
          </cell>
          <cell r="E1133">
            <v>59070</v>
          </cell>
          <cell r="F1133">
            <v>1.5</v>
          </cell>
          <cell r="G1133">
            <v>57670</v>
          </cell>
        </row>
        <row r="1134">
          <cell r="A1134" t="str">
            <v>49-9070</v>
          </cell>
          <cell r="B1134" t="str">
            <v>Maintenance and Repair Workers, General</v>
          </cell>
          <cell r="C1134">
            <v>1416740</v>
          </cell>
          <cell r="D1134">
            <v>0.4</v>
          </cell>
          <cell r="E1134">
            <v>44920</v>
          </cell>
          <cell r="F1134">
            <v>0.3</v>
          </cell>
          <cell r="G1134">
            <v>43180</v>
          </cell>
        </row>
        <row r="1135">
          <cell r="A1135" t="str">
            <v>49-9071</v>
          </cell>
          <cell r="B1135" t="str">
            <v>Maintenance and Repair Workers, General</v>
          </cell>
          <cell r="C1135">
            <v>1416740</v>
          </cell>
          <cell r="D1135">
            <v>0.4</v>
          </cell>
          <cell r="E1135">
            <v>44920</v>
          </cell>
          <cell r="F1135">
            <v>0.3</v>
          </cell>
          <cell r="G1135">
            <v>43180</v>
          </cell>
        </row>
        <row r="1136">
          <cell r="A1136" t="str">
            <v>49-9080</v>
          </cell>
          <cell r="B1136" t="str">
            <v>Wind Turbine Service Technicians</v>
          </cell>
          <cell r="C1136">
            <v>10100</v>
          </cell>
          <cell r="D1136">
            <v>8.9</v>
          </cell>
          <cell r="E1136">
            <v>58580</v>
          </cell>
          <cell r="F1136">
            <v>1.4</v>
          </cell>
          <cell r="G1136">
            <v>56260</v>
          </cell>
        </row>
        <row r="1137">
          <cell r="A1137" t="str">
            <v>49-9081</v>
          </cell>
          <cell r="B1137" t="str">
            <v>Wind Turbine Service Technicians</v>
          </cell>
          <cell r="C1137">
            <v>10100</v>
          </cell>
          <cell r="D1137">
            <v>8.9</v>
          </cell>
          <cell r="E1137">
            <v>58580</v>
          </cell>
          <cell r="F1137">
            <v>1.4</v>
          </cell>
          <cell r="G1137">
            <v>56260</v>
          </cell>
        </row>
        <row r="1138">
          <cell r="A1138" t="str">
            <v>49-9090</v>
          </cell>
          <cell r="B1138" t="str">
            <v>Miscellaneous Installation, Maintenance, and Repair Workers</v>
          </cell>
          <cell r="C1138">
            <v>327750</v>
          </cell>
          <cell r="D1138">
            <v>1.4</v>
          </cell>
          <cell r="E1138">
            <v>43710</v>
          </cell>
          <cell r="F1138">
            <v>0.4</v>
          </cell>
          <cell r="G1138">
            <v>38030</v>
          </cell>
        </row>
        <row r="1139">
          <cell r="A1139" t="str">
            <v>49-9091</v>
          </cell>
          <cell r="B1139" t="str">
            <v>Coin, Vending, and Amusement Machine Servicers and Repairers</v>
          </cell>
          <cell r="C1139">
            <v>27540</v>
          </cell>
          <cell r="D1139">
            <v>3.2</v>
          </cell>
          <cell r="E1139">
            <v>42010</v>
          </cell>
          <cell r="F1139">
            <v>0.9</v>
          </cell>
          <cell r="G1139">
            <v>39040</v>
          </cell>
        </row>
        <row r="1140">
          <cell r="A1140" t="str">
            <v>49-9092</v>
          </cell>
          <cell r="B1140" t="str">
            <v>Commercial Divers</v>
          </cell>
          <cell r="C1140">
            <v>2670</v>
          </cell>
          <cell r="D1140">
            <v>13.7</v>
          </cell>
          <cell r="E1140">
            <v>82010</v>
          </cell>
          <cell r="F1140">
            <v>10.4</v>
          </cell>
          <cell r="G1140">
            <v>60360</v>
          </cell>
        </row>
        <row r="1141">
          <cell r="A1141" t="str">
            <v>49-9094</v>
          </cell>
          <cell r="B1141" t="str">
            <v>Locksmiths and Safe Repairers</v>
          </cell>
          <cell r="C1141">
            <v>15380</v>
          </cell>
          <cell r="D1141">
            <v>2.2000000000000002</v>
          </cell>
          <cell r="E1141">
            <v>47810</v>
          </cell>
          <cell r="F1141">
            <v>1</v>
          </cell>
          <cell r="G1141">
            <v>46910</v>
          </cell>
        </row>
        <row r="1142">
          <cell r="A1142" t="str">
            <v>49-9095</v>
          </cell>
          <cell r="B1142" t="str">
            <v>Manufactured Building and Mobile Home Installers</v>
          </cell>
          <cell r="C1142">
            <v>3530</v>
          </cell>
          <cell r="D1142">
            <v>13.4</v>
          </cell>
          <cell r="E1142">
            <v>35830</v>
          </cell>
          <cell r="F1142">
            <v>2</v>
          </cell>
          <cell r="G1142">
            <v>36360</v>
          </cell>
        </row>
        <row r="1143">
          <cell r="A1143" t="str">
            <v>49-9096</v>
          </cell>
          <cell r="B1143" t="str">
            <v>Riggers</v>
          </cell>
          <cell r="C1143">
            <v>17980</v>
          </cell>
          <cell r="D1143">
            <v>4.4000000000000004</v>
          </cell>
          <cell r="E1143">
            <v>52100</v>
          </cell>
          <cell r="F1143">
            <v>1.6</v>
          </cell>
          <cell r="G1143">
            <v>48130</v>
          </cell>
        </row>
        <row r="1144">
          <cell r="A1144" t="str">
            <v>49-9097</v>
          </cell>
          <cell r="B1144" t="str">
            <v>Signal and Track Switch Repairers</v>
          </cell>
          <cell r="C1144">
            <v>8090</v>
          </cell>
          <cell r="D1144">
            <v>1.6</v>
          </cell>
          <cell r="E1144">
            <v>74220</v>
          </cell>
          <cell r="F1144">
            <v>0.5</v>
          </cell>
          <cell r="G1144">
            <v>80570</v>
          </cell>
        </row>
        <row r="1145">
          <cell r="A1145" t="str">
            <v>49-9098</v>
          </cell>
          <cell r="B1145" t="str">
            <v>Helpers--Installation, Maintenance, and Repair Workers</v>
          </cell>
          <cell r="C1145">
            <v>88480</v>
          </cell>
          <cell r="D1145">
            <v>2.1</v>
          </cell>
          <cell r="E1145">
            <v>35090</v>
          </cell>
          <cell r="F1145">
            <v>0.5</v>
          </cell>
          <cell r="G1145">
            <v>33100</v>
          </cell>
        </row>
        <row r="1146">
          <cell r="A1146" t="str">
            <v>49-9099</v>
          </cell>
          <cell r="B1146" t="str">
            <v>Installation, Maintenance, and Repair Workers, All Other</v>
          </cell>
          <cell r="C1146">
            <v>164070</v>
          </cell>
          <cell r="D1146">
            <v>1.9</v>
          </cell>
          <cell r="E1146">
            <v>45380</v>
          </cell>
          <cell r="F1146">
            <v>0.5</v>
          </cell>
          <cell r="G1146">
            <v>42570</v>
          </cell>
        </row>
        <row r="1147">
          <cell r="A1147" t="str">
            <v>51-0000</v>
          </cell>
          <cell r="B1147" t="str">
            <v>Production Occupations</v>
          </cell>
          <cell r="C1147">
            <v>8408030</v>
          </cell>
          <cell r="D1147">
            <v>0.2</v>
          </cell>
          <cell r="E1147">
            <v>43070</v>
          </cell>
          <cell r="F1147">
            <v>0.2</v>
          </cell>
          <cell r="G1147">
            <v>37710</v>
          </cell>
        </row>
        <row r="1148">
          <cell r="A1148" t="str">
            <v>51-1000</v>
          </cell>
          <cell r="B1148" t="str">
            <v>Supervisors of Production Workers</v>
          </cell>
          <cell r="C1148">
            <v>629420</v>
          </cell>
          <cell r="D1148">
            <v>0.3</v>
          </cell>
          <cell r="E1148">
            <v>67330</v>
          </cell>
          <cell r="F1148">
            <v>0.2</v>
          </cell>
          <cell r="G1148">
            <v>61790</v>
          </cell>
        </row>
        <row r="1149">
          <cell r="A1149" t="str">
            <v>51-1010</v>
          </cell>
          <cell r="B1149" t="str">
            <v>First-Line Supervisors of Production and Operating Workers</v>
          </cell>
          <cell r="C1149">
            <v>629420</v>
          </cell>
          <cell r="D1149">
            <v>0.3</v>
          </cell>
          <cell r="E1149">
            <v>67330</v>
          </cell>
          <cell r="F1149">
            <v>0.2</v>
          </cell>
          <cell r="G1149">
            <v>61790</v>
          </cell>
        </row>
        <row r="1150">
          <cell r="A1150" t="str">
            <v>51-1011</v>
          </cell>
          <cell r="B1150" t="str">
            <v>First-Line Supervisors of Production and Operating Workers</v>
          </cell>
          <cell r="C1150">
            <v>629420</v>
          </cell>
          <cell r="D1150">
            <v>0.3</v>
          </cell>
          <cell r="E1150">
            <v>67330</v>
          </cell>
          <cell r="F1150">
            <v>0.2</v>
          </cell>
          <cell r="G1150">
            <v>61790</v>
          </cell>
        </row>
        <row r="1151">
          <cell r="A1151" t="str">
            <v>51-2000</v>
          </cell>
          <cell r="B1151" t="str">
            <v>Assemblers and Fabricators</v>
          </cell>
          <cell r="C1151">
            <v>1769890</v>
          </cell>
          <cell r="D1151">
            <v>0.5</v>
          </cell>
          <cell r="E1151">
            <v>39000</v>
          </cell>
          <cell r="F1151">
            <v>0.2</v>
          </cell>
          <cell r="G1151">
            <v>37170</v>
          </cell>
        </row>
        <row r="1152">
          <cell r="A1152" t="str">
            <v>51-2010</v>
          </cell>
          <cell r="B1152" t="str">
            <v>Aircraft Structure, Surfaces, Rigging, and Systems Assemblers</v>
          </cell>
          <cell r="C1152">
            <v>33320</v>
          </cell>
          <cell r="D1152">
            <v>3.1</v>
          </cell>
          <cell r="E1152">
            <v>55380</v>
          </cell>
          <cell r="F1152">
            <v>0.9</v>
          </cell>
          <cell r="G1152">
            <v>49480</v>
          </cell>
        </row>
        <row r="1153">
          <cell r="A1153" t="str">
            <v>51-2011</v>
          </cell>
          <cell r="B1153" t="str">
            <v>Aircraft Structure, Surfaces, Rigging, and Systems Assemblers</v>
          </cell>
          <cell r="C1153">
            <v>33320</v>
          </cell>
          <cell r="D1153">
            <v>3.1</v>
          </cell>
          <cell r="E1153">
            <v>55380</v>
          </cell>
          <cell r="F1153">
            <v>0.9</v>
          </cell>
          <cell r="G1153">
            <v>49480</v>
          </cell>
        </row>
        <row r="1154">
          <cell r="A1154" t="str">
            <v>51-2020</v>
          </cell>
          <cell r="B1154" t="str">
            <v>Electrical, Electronics, and Electromechanical Assemblers</v>
          </cell>
          <cell r="C1154">
            <v>283010</v>
          </cell>
          <cell r="D1154">
            <v>1.1000000000000001</v>
          </cell>
          <cell r="E1154">
            <v>39740</v>
          </cell>
          <cell r="F1154">
            <v>0.3</v>
          </cell>
          <cell r="G1154">
            <v>37460</v>
          </cell>
        </row>
        <row r="1155">
          <cell r="A1155" t="str">
            <v>51-2021</v>
          </cell>
          <cell r="B1155" t="str">
            <v>Coil Winders, Tapers, and Finishers</v>
          </cell>
          <cell r="C1155">
            <v>11090</v>
          </cell>
          <cell r="D1155">
            <v>4.5999999999999996</v>
          </cell>
          <cell r="E1155">
            <v>42460</v>
          </cell>
          <cell r="F1155">
            <v>1.4</v>
          </cell>
          <cell r="G1155">
            <v>38360</v>
          </cell>
        </row>
        <row r="1156">
          <cell r="A1156" t="str">
            <v>51-2028</v>
          </cell>
          <cell r="B1156" t="str">
            <v>Electrical, Electronic, and Electromechanical Assemblers, Except Coil Winders, Tapers, and Finishers</v>
          </cell>
          <cell r="C1156">
            <v>271920</v>
          </cell>
          <cell r="D1156">
            <v>1.1000000000000001</v>
          </cell>
          <cell r="E1156">
            <v>39630</v>
          </cell>
          <cell r="F1156">
            <v>0.3</v>
          </cell>
          <cell r="G1156">
            <v>37460</v>
          </cell>
        </row>
        <row r="1157">
          <cell r="A1157" t="str">
            <v>51-2030</v>
          </cell>
          <cell r="B1157" t="str">
            <v>Engine and Other Machine Assemblers</v>
          </cell>
          <cell r="C1157">
            <v>45990</v>
          </cell>
          <cell r="D1157">
            <v>2.5</v>
          </cell>
          <cell r="E1157">
            <v>48110</v>
          </cell>
          <cell r="F1157">
            <v>0.8</v>
          </cell>
          <cell r="G1157">
            <v>47440</v>
          </cell>
        </row>
        <row r="1158">
          <cell r="A1158" t="str">
            <v>51-2031</v>
          </cell>
          <cell r="B1158" t="str">
            <v>Engine and Other Machine Assemblers</v>
          </cell>
          <cell r="C1158">
            <v>45990</v>
          </cell>
          <cell r="D1158">
            <v>2.5</v>
          </cell>
          <cell r="E1158">
            <v>48110</v>
          </cell>
          <cell r="F1158">
            <v>0.8</v>
          </cell>
          <cell r="G1158">
            <v>47440</v>
          </cell>
        </row>
        <row r="1159">
          <cell r="A1159" t="str">
            <v>51-2040</v>
          </cell>
          <cell r="B1159" t="str">
            <v>Structural Metal Fabricators and Fitters</v>
          </cell>
          <cell r="C1159">
            <v>61070</v>
          </cell>
          <cell r="D1159">
            <v>2.1</v>
          </cell>
          <cell r="E1159">
            <v>45730</v>
          </cell>
          <cell r="F1159">
            <v>0.6</v>
          </cell>
          <cell r="G1159">
            <v>45480</v>
          </cell>
        </row>
        <row r="1160">
          <cell r="A1160" t="str">
            <v>51-2041</v>
          </cell>
          <cell r="B1160" t="str">
            <v>Structural Metal Fabricators and Fitters</v>
          </cell>
          <cell r="C1160">
            <v>61070</v>
          </cell>
          <cell r="D1160">
            <v>2.1</v>
          </cell>
          <cell r="E1160">
            <v>45730</v>
          </cell>
          <cell r="F1160">
            <v>0.6</v>
          </cell>
          <cell r="G1160">
            <v>45480</v>
          </cell>
        </row>
        <row r="1161">
          <cell r="A1161" t="str">
            <v>51-2050</v>
          </cell>
          <cell r="B1161" t="str">
            <v>Fiberglass Laminators and Fabricators</v>
          </cell>
          <cell r="C1161">
            <v>17380</v>
          </cell>
          <cell r="D1161">
            <v>3.1</v>
          </cell>
          <cell r="E1161">
            <v>40360</v>
          </cell>
          <cell r="F1161">
            <v>0.9</v>
          </cell>
          <cell r="G1161">
            <v>37650</v>
          </cell>
        </row>
        <row r="1162">
          <cell r="A1162" t="str">
            <v>51-2051</v>
          </cell>
          <cell r="B1162" t="str">
            <v>Fiberglass Laminators and Fabricators</v>
          </cell>
          <cell r="C1162">
            <v>17380</v>
          </cell>
          <cell r="D1162">
            <v>3.1</v>
          </cell>
          <cell r="E1162">
            <v>40360</v>
          </cell>
          <cell r="F1162">
            <v>0.9</v>
          </cell>
          <cell r="G1162">
            <v>37650</v>
          </cell>
        </row>
        <row r="1163">
          <cell r="A1163" t="str">
            <v>51-2060</v>
          </cell>
          <cell r="B1163" t="str">
            <v>Timing Device Assemblers and Adjusters</v>
          </cell>
          <cell r="C1163">
            <v>560</v>
          </cell>
          <cell r="D1163">
            <v>10.4</v>
          </cell>
          <cell r="E1163">
            <v>44670</v>
          </cell>
          <cell r="F1163">
            <v>6.4</v>
          </cell>
          <cell r="G1163">
            <v>37780</v>
          </cell>
        </row>
        <row r="1164">
          <cell r="A1164" t="str">
            <v>51-2061</v>
          </cell>
          <cell r="B1164" t="str">
            <v>Timing Device Assemblers and Adjusters</v>
          </cell>
          <cell r="C1164">
            <v>560</v>
          </cell>
          <cell r="D1164">
            <v>10.4</v>
          </cell>
          <cell r="E1164">
            <v>44670</v>
          </cell>
          <cell r="F1164">
            <v>6.4</v>
          </cell>
          <cell r="G1164">
            <v>37780</v>
          </cell>
        </row>
        <row r="1165">
          <cell r="A1165" t="str">
            <v>51-2090</v>
          </cell>
          <cell r="B1165" t="str">
            <v>Miscellaneous Assemblers and Fabricators</v>
          </cell>
          <cell r="C1165">
            <v>1328550</v>
          </cell>
          <cell r="D1165">
            <v>0.6</v>
          </cell>
          <cell r="E1165">
            <v>37780</v>
          </cell>
          <cell r="F1165">
            <v>0.2</v>
          </cell>
          <cell r="G1165">
            <v>36590</v>
          </cell>
        </row>
        <row r="1166">
          <cell r="A1166" t="str">
            <v>51-2090</v>
          </cell>
          <cell r="B1166" t="str">
            <v>Miscellaneous Assemblers and Fabricators</v>
          </cell>
          <cell r="C1166">
            <v>1328550</v>
          </cell>
          <cell r="D1166">
            <v>0.6</v>
          </cell>
          <cell r="E1166">
            <v>37780</v>
          </cell>
          <cell r="F1166">
            <v>0.2</v>
          </cell>
          <cell r="G1166">
            <v>36590</v>
          </cell>
        </row>
        <row r="1167">
          <cell r="A1167" t="str">
            <v>51-3000</v>
          </cell>
          <cell r="B1167" t="str">
            <v>Food Processing Workers</v>
          </cell>
          <cell r="C1167">
            <v>795640</v>
          </cell>
          <cell r="D1167">
            <v>0.9</v>
          </cell>
          <cell r="E1167">
            <v>33830</v>
          </cell>
          <cell r="F1167">
            <v>0.3</v>
          </cell>
          <cell r="G1167">
            <v>30480</v>
          </cell>
        </row>
        <row r="1168">
          <cell r="A1168" t="str">
            <v>51-3010</v>
          </cell>
          <cell r="B1168" t="str">
            <v>Bakers</v>
          </cell>
          <cell r="C1168">
            <v>181800</v>
          </cell>
          <cell r="D1168">
            <v>3</v>
          </cell>
          <cell r="E1168">
            <v>32300</v>
          </cell>
          <cell r="F1168">
            <v>0.6</v>
          </cell>
          <cell r="G1168">
            <v>29750</v>
          </cell>
        </row>
        <row r="1169">
          <cell r="A1169" t="str">
            <v>51-3011</v>
          </cell>
          <cell r="B1169" t="str">
            <v>Bakers</v>
          </cell>
          <cell r="C1169">
            <v>181800</v>
          </cell>
          <cell r="D1169">
            <v>3</v>
          </cell>
          <cell r="E1169">
            <v>32300</v>
          </cell>
          <cell r="F1169">
            <v>0.6</v>
          </cell>
          <cell r="G1169">
            <v>29750</v>
          </cell>
        </row>
        <row r="1170">
          <cell r="A1170" t="str">
            <v>51-3020</v>
          </cell>
          <cell r="B1170" t="str">
            <v>Butchers and Other Meat, Poultry, and Fish Processing Workers</v>
          </cell>
          <cell r="C1170">
            <v>364480</v>
          </cell>
          <cell r="D1170">
            <v>0.9</v>
          </cell>
          <cell r="E1170">
            <v>33360</v>
          </cell>
          <cell r="F1170">
            <v>0.3</v>
          </cell>
          <cell r="G1170">
            <v>30280</v>
          </cell>
        </row>
        <row r="1171">
          <cell r="A1171" t="str">
            <v>51-3021</v>
          </cell>
          <cell r="B1171" t="str">
            <v>Butchers and Meat Cutters</v>
          </cell>
          <cell r="C1171">
            <v>145930</v>
          </cell>
          <cell r="D1171">
            <v>1.6</v>
          </cell>
          <cell r="E1171">
            <v>35670</v>
          </cell>
          <cell r="F1171">
            <v>0.4</v>
          </cell>
          <cell r="G1171">
            <v>36050</v>
          </cell>
        </row>
        <row r="1172">
          <cell r="A1172" t="str">
            <v>51-3022</v>
          </cell>
          <cell r="B1172" t="str">
            <v>Meat, Poultry, and Fish Cutters and Trimmers</v>
          </cell>
          <cell r="C1172">
            <v>132100</v>
          </cell>
          <cell r="D1172">
            <v>1.6</v>
          </cell>
          <cell r="E1172">
            <v>31680</v>
          </cell>
          <cell r="F1172">
            <v>0.3</v>
          </cell>
          <cell r="G1172">
            <v>29730</v>
          </cell>
        </row>
        <row r="1173">
          <cell r="A1173" t="str">
            <v>51-3023</v>
          </cell>
          <cell r="B1173" t="str">
            <v>Slaughterers and Meat Packers</v>
          </cell>
          <cell r="C1173">
            <v>86450</v>
          </cell>
          <cell r="D1173">
            <v>1.6</v>
          </cell>
          <cell r="E1173">
            <v>32010</v>
          </cell>
          <cell r="F1173">
            <v>0.3</v>
          </cell>
          <cell r="G1173">
            <v>29900</v>
          </cell>
        </row>
        <row r="1174">
          <cell r="A1174" t="str">
            <v>51-3090</v>
          </cell>
          <cell r="B1174" t="str">
            <v>Miscellaneous Food Processing Workers</v>
          </cell>
          <cell r="C1174">
            <v>249360</v>
          </cell>
          <cell r="D1174">
            <v>1.4</v>
          </cell>
          <cell r="E1174">
            <v>35630</v>
          </cell>
          <cell r="F1174">
            <v>0.4</v>
          </cell>
          <cell r="G1174">
            <v>35430</v>
          </cell>
        </row>
        <row r="1175">
          <cell r="A1175" t="str">
            <v>51-3091</v>
          </cell>
          <cell r="B1175" t="str">
            <v>Food and Tobacco Roasting, Baking, and Drying Machine Operators and Tenders</v>
          </cell>
          <cell r="C1175">
            <v>21050</v>
          </cell>
          <cell r="D1175">
            <v>3.3</v>
          </cell>
          <cell r="E1175">
            <v>36280</v>
          </cell>
          <cell r="F1175">
            <v>1.1000000000000001</v>
          </cell>
          <cell r="G1175">
            <v>35480</v>
          </cell>
        </row>
        <row r="1176">
          <cell r="A1176" t="str">
            <v>51-3092</v>
          </cell>
          <cell r="B1176" t="str">
            <v>Food Batchmakers</v>
          </cell>
          <cell r="C1176">
            <v>155240</v>
          </cell>
          <cell r="D1176">
            <v>1.7</v>
          </cell>
          <cell r="E1176">
            <v>36190</v>
          </cell>
          <cell r="F1176">
            <v>0.5</v>
          </cell>
          <cell r="G1176">
            <v>35780</v>
          </cell>
        </row>
        <row r="1177">
          <cell r="A1177" t="str">
            <v>51-3093</v>
          </cell>
          <cell r="B1177" t="str">
            <v>Food Cooking Machine Operators and Tenders</v>
          </cell>
          <cell r="C1177">
            <v>26710</v>
          </cell>
          <cell r="D1177">
            <v>4.2</v>
          </cell>
          <cell r="E1177">
            <v>35430</v>
          </cell>
          <cell r="F1177">
            <v>0.8</v>
          </cell>
          <cell r="G1177">
            <v>35890</v>
          </cell>
        </row>
        <row r="1178">
          <cell r="A1178" t="str">
            <v>51-3099</v>
          </cell>
          <cell r="B1178" t="str">
            <v>Food Processing Workers, All Other</v>
          </cell>
          <cell r="C1178">
            <v>46360</v>
          </cell>
          <cell r="D1178">
            <v>2.8</v>
          </cell>
          <cell r="E1178">
            <v>33600</v>
          </cell>
          <cell r="F1178">
            <v>0.5</v>
          </cell>
          <cell r="G1178">
            <v>31890</v>
          </cell>
        </row>
        <row r="1179">
          <cell r="A1179" t="str">
            <v>51-4000</v>
          </cell>
          <cell r="B1179" t="str">
            <v>Metal Workers and Plastic Workers</v>
          </cell>
          <cell r="C1179">
            <v>1633980</v>
          </cell>
          <cell r="D1179">
            <v>0.4</v>
          </cell>
          <cell r="E1179">
            <v>44840</v>
          </cell>
          <cell r="F1179">
            <v>0.2</v>
          </cell>
          <cell r="G1179">
            <v>42960</v>
          </cell>
        </row>
        <row r="1180">
          <cell r="A1180" t="str">
            <v>51-4020</v>
          </cell>
          <cell r="B1180" t="str">
            <v>Forming Machine Setters, Operators, and Tenders, Metal and Plastic</v>
          </cell>
          <cell r="C1180">
            <v>102640</v>
          </cell>
          <cell r="D1180">
            <v>1.9</v>
          </cell>
          <cell r="E1180">
            <v>42710</v>
          </cell>
          <cell r="F1180">
            <v>0.4</v>
          </cell>
          <cell r="G1180">
            <v>38580</v>
          </cell>
        </row>
        <row r="1181">
          <cell r="A1181" t="str">
            <v>51-4021</v>
          </cell>
          <cell r="B1181" t="str">
            <v>Extruding and Drawing Machine Setters, Operators, and Tenders, Metal and Plastic</v>
          </cell>
          <cell r="C1181">
            <v>59490</v>
          </cell>
          <cell r="D1181">
            <v>2.5</v>
          </cell>
          <cell r="E1181">
            <v>40520</v>
          </cell>
          <cell r="F1181">
            <v>0.5</v>
          </cell>
          <cell r="G1181">
            <v>37750</v>
          </cell>
        </row>
        <row r="1182">
          <cell r="A1182" t="str">
            <v>51-4022</v>
          </cell>
          <cell r="B1182" t="str">
            <v>Forging Machine Setters, Operators, and Tenders, Metal and Plastic</v>
          </cell>
          <cell r="C1182">
            <v>11500</v>
          </cell>
          <cell r="D1182">
            <v>4.2</v>
          </cell>
          <cell r="E1182">
            <v>44410</v>
          </cell>
          <cell r="F1182">
            <v>1</v>
          </cell>
          <cell r="G1182">
            <v>44520</v>
          </cell>
        </row>
        <row r="1183">
          <cell r="A1183" t="str">
            <v>51-4023</v>
          </cell>
          <cell r="B1183" t="str">
            <v>Rolling Machine Setters, Operators, and Tenders, Metal and Plastic</v>
          </cell>
          <cell r="C1183">
            <v>31650</v>
          </cell>
          <cell r="D1183">
            <v>2.8</v>
          </cell>
          <cell r="E1183">
            <v>46210</v>
          </cell>
          <cell r="F1183">
            <v>0.5</v>
          </cell>
          <cell r="G1183">
            <v>46210</v>
          </cell>
        </row>
        <row r="1184">
          <cell r="A1184" t="str">
            <v>51-4030</v>
          </cell>
          <cell r="B1184" t="str">
            <v>Machine Tool Cutting Setters, Operators, and Tenders, Metal and Plastic</v>
          </cell>
          <cell r="C1184">
            <v>288810</v>
          </cell>
          <cell r="D1184">
            <v>0.9</v>
          </cell>
          <cell r="E1184">
            <v>40740</v>
          </cell>
          <cell r="F1184">
            <v>0.2</v>
          </cell>
          <cell r="G1184">
            <v>37720</v>
          </cell>
        </row>
        <row r="1185">
          <cell r="A1185" t="str">
            <v>51-4031</v>
          </cell>
          <cell r="B1185" t="str">
            <v>Cutting, Punching, and Press Machine Setters, Operators, and Tenders, Metal and Plastic</v>
          </cell>
          <cell r="C1185">
            <v>179630</v>
          </cell>
          <cell r="D1185">
            <v>1.2</v>
          </cell>
          <cell r="E1185">
            <v>40000</v>
          </cell>
          <cell r="F1185">
            <v>0.3</v>
          </cell>
          <cell r="G1185">
            <v>37630</v>
          </cell>
        </row>
        <row r="1186">
          <cell r="A1186" t="str">
            <v>51-4032</v>
          </cell>
          <cell r="B1186" t="str">
            <v>Drilling and Boring Machine Tool Setters, Operators, and Tenders, Metal and Plastic</v>
          </cell>
          <cell r="C1186">
            <v>6810</v>
          </cell>
          <cell r="D1186">
            <v>5.7</v>
          </cell>
          <cell r="E1186">
            <v>43240</v>
          </cell>
          <cell r="F1186">
            <v>1.5</v>
          </cell>
          <cell r="G1186">
            <v>38580</v>
          </cell>
        </row>
        <row r="1187">
          <cell r="A1187" t="str">
            <v>51-4033</v>
          </cell>
          <cell r="B1187" t="str">
            <v>Grinding, Lapping, Polishing, and Buffing Machine Tool Setters, Operators, and Tenders, Metal and Plastic</v>
          </cell>
          <cell r="C1187">
            <v>67750</v>
          </cell>
          <cell r="D1187">
            <v>1.8</v>
          </cell>
          <cell r="E1187">
            <v>40030</v>
          </cell>
          <cell r="F1187">
            <v>0.4</v>
          </cell>
          <cell r="G1187">
            <v>37550</v>
          </cell>
        </row>
        <row r="1188">
          <cell r="A1188" t="str">
            <v>51-4034</v>
          </cell>
          <cell r="B1188" t="str">
            <v>Lathe and Turning Machine Tool Setters, Operators, and Tenders, Metal and Plastic</v>
          </cell>
          <cell r="C1188">
            <v>19690</v>
          </cell>
          <cell r="D1188">
            <v>3.7</v>
          </cell>
          <cell r="E1188">
            <v>44270</v>
          </cell>
          <cell r="F1188">
            <v>0.9</v>
          </cell>
          <cell r="G1188">
            <v>44240</v>
          </cell>
        </row>
        <row r="1189">
          <cell r="A1189" t="str">
            <v>51-4035</v>
          </cell>
          <cell r="B1189" t="str">
            <v>Milling and Planing Machine Setters, Operators, and Tenders, Metal and Plastic</v>
          </cell>
          <cell r="C1189">
            <v>14920</v>
          </cell>
          <cell r="D1189">
            <v>4.4000000000000004</v>
          </cell>
          <cell r="E1189">
            <v>47100</v>
          </cell>
          <cell r="F1189">
            <v>0.8</v>
          </cell>
          <cell r="G1189">
            <v>46850</v>
          </cell>
        </row>
        <row r="1190">
          <cell r="A1190" t="str">
            <v>51-4040</v>
          </cell>
          <cell r="B1190" t="str">
            <v>Machinists</v>
          </cell>
          <cell r="C1190">
            <v>333220</v>
          </cell>
          <cell r="D1190">
            <v>0.9</v>
          </cell>
          <cell r="E1190">
            <v>49020</v>
          </cell>
          <cell r="F1190">
            <v>0.3</v>
          </cell>
          <cell r="G1190">
            <v>47730</v>
          </cell>
        </row>
        <row r="1191">
          <cell r="A1191" t="str">
            <v>51-4041</v>
          </cell>
          <cell r="B1191" t="str">
            <v>Machinists</v>
          </cell>
          <cell r="C1191">
            <v>333220</v>
          </cell>
          <cell r="D1191">
            <v>0.9</v>
          </cell>
          <cell r="E1191">
            <v>49020</v>
          </cell>
          <cell r="F1191">
            <v>0.3</v>
          </cell>
          <cell r="G1191">
            <v>47730</v>
          </cell>
        </row>
        <row r="1192">
          <cell r="A1192" t="str">
            <v>51-4050</v>
          </cell>
          <cell r="B1192" t="str">
            <v>Metal Furnace Operators, Tenders, Pourers, and Casters</v>
          </cell>
          <cell r="C1192">
            <v>22110</v>
          </cell>
          <cell r="D1192">
            <v>1.9</v>
          </cell>
          <cell r="E1192">
            <v>45990</v>
          </cell>
          <cell r="F1192">
            <v>0.5</v>
          </cell>
          <cell r="G1192">
            <v>46640</v>
          </cell>
        </row>
        <row r="1193">
          <cell r="A1193" t="str">
            <v>51-4051</v>
          </cell>
          <cell r="B1193" t="str">
            <v>Metal-Refining Furnace Operators and Tenders</v>
          </cell>
          <cell r="C1193">
            <v>15540</v>
          </cell>
          <cell r="D1193">
            <v>2.6</v>
          </cell>
          <cell r="E1193">
            <v>46440</v>
          </cell>
          <cell r="F1193">
            <v>0.6</v>
          </cell>
          <cell r="G1193">
            <v>46690</v>
          </cell>
        </row>
        <row r="1194">
          <cell r="A1194" t="str">
            <v>51-4052</v>
          </cell>
          <cell r="B1194" t="str">
            <v>Pourers and Casters, Metal</v>
          </cell>
          <cell r="C1194">
            <v>6570</v>
          </cell>
          <cell r="D1194">
            <v>2.2999999999999998</v>
          </cell>
          <cell r="E1194">
            <v>44910</v>
          </cell>
          <cell r="F1194">
            <v>0.5</v>
          </cell>
          <cell r="G1194">
            <v>45850</v>
          </cell>
        </row>
        <row r="1195">
          <cell r="A1195" t="str">
            <v>51-4060</v>
          </cell>
          <cell r="B1195" t="str">
            <v>Model Makers and Patternmakers, Metal and Plastic</v>
          </cell>
          <cell r="C1195">
            <v>5780</v>
          </cell>
          <cell r="D1195">
            <v>4.9000000000000004</v>
          </cell>
          <cell r="E1195">
            <v>55740</v>
          </cell>
          <cell r="F1195">
            <v>1.4</v>
          </cell>
          <cell r="G1195">
            <v>49480</v>
          </cell>
        </row>
        <row r="1196">
          <cell r="A1196" t="str">
            <v>51-4061</v>
          </cell>
          <cell r="B1196" t="str">
            <v>Model Makers, Metal and Plastic</v>
          </cell>
          <cell r="C1196">
            <v>3690</v>
          </cell>
          <cell r="D1196">
            <v>6.8</v>
          </cell>
          <cell r="E1196">
            <v>59080</v>
          </cell>
          <cell r="F1196">
            <v>2</v>
          </cell>
          <cell r="G1196">
            <v>55630</v>
          </cell>
        </row>
        <row r="1197">
          <cell r="A1197" t="str">
            <v>51-4062</v>
          </cell>
          <cell r="B1197" t="str">
            <v>Patternmakers, Metal and Plastic</v>
          </cell>
          <cell r="C1197">
            <v>2090</v>
          </cell>
          <cell r="D1197">
            <v>6.6</v>
          </cell>
          <cell r="E1197">
            <v>49840</v>
          </cell>
          <cell r="F1197">
            <v>1.3</v>
          </cell>
          <cell r="G1197">
            <v>48090</v>
          </cell>
        </row>
        <row r="1198">
          <cell r="A1198" t="str">
            <v>51-4070</v>
          </cell>
          <cell r="B1198" t="str">
            <v>Molders and Molding Machine Setters, Operators, and Tenders, Metal and Plastic</v>
          </cell>
          <cell r="C1198">
            <v>176820</v>
          </cell>
          <cell r="D1198">
            <v>1.4</v>
          </cell>
          <cell r="E1198">
            <v>37720</v>
          </cell>
          <cell r="F1198">
            <v>0.4</v>
          </cell>
          <cell r="G1198">
            <v>36590</v>
          </cell>
        </row>
        <row r="1199">
          <cell r="A1199" t="str">
            <v>51-4071</v>
          </cell>
          <cell r="B1199" t="str">
            <v>Foundry Mold and Coremakers</v>
          </cell>
          <cell r="C1199">
            <v>13610</v>
          </cell>
          <cell r="D1199">
            <v>3.3</v>
          </cell>
          <cell r="E1199">
            <v>39980</v>
          </cell>
          <cell r="F1199">
            <v>0.9</v>
          </cell>
          <cell r="G1199">
            <v>37710</v>
          </cell>
        </row>
        <row r="1200">
          <cell r="A1200" t="str">
            <v>51-4072</v>
          </cell>
          <cell r="B1200" t="str">
            <v>Molding, Coremaking, and Casting Machine Setters, Operators, and Tenders, Metal and Plastic</v>
          </cell>
          <cell r="C1200">
            <v>163210</v>
          </cell>
          <cell r="D1200">
            <v>1.5</v>
          </cell>
          <cell r="E1200">
            <v>37530</v>
          </cell>
          <cell r="F1200">
            <v>0.4</v>
          </cell>
          <cell r="G1200">
            <v>36370</v>
          </cell>
        </row>
        <row r="1201">
          <cell r="A1201" t="str">
            <v>51-4080</v>
          </cell>
          <cell r="B1201" t="str">
            <v>Multiple Machine Tool Setters, Operators, and Tenders, Metal and Plastic</v>
          </cell>
          <cell r="C1201">
            <v>134880</v>
          </cell>
          <cell r="D1201">
            <v>1.8</v>
          </cell>
          <cell r="E1201">
            <v>40830</v>
          </cell>
          <cell r="F1201">
            <v>0.5</v>
          </cell>
          <cell r="G1201">
            <v>37630</v>
          </cell>
        </row>
        <row r="1202">
          <cell r="A1202" t="str">
            <v>51-4081</v>
          </cell>
          <cell r="B1202" t="str">
            <v>Multiple Machine Tool Setters, Operators, and Tenders, Metal and Plastic</v>
          </cell>
          <cell r="C1202">
            <v>134880</v>
          </cell>
          <cell r="D1202">
            <v>1.8</v>
          </cell>
          <cell r="E1202">
            <v>40830</v>
          </cell>
          <cell r="F1202">
            <v>0.5</v>
          </cell>
          <cell r="G1202">
            <v>37630</v>
          </cell>
        </row>
        <row r="1203">
          <cell r="A1203" t="str">
            <v>51-4110</v>
          </cell>
          <cell r="B1203" t="str">
            <v>Tool and Die Makers</v>
          </cell>
          <cell r="C1203">
            <v>63630</v>
          </cell>
          <cell r="D1203">
            <v>1.7</v>
          </cell>
          <cell r="E1203">
            <v>56150</v>
          </cell>
          <cell r="F1203">
            <v>0.4</v>
          </cell>
          <cell r="G1203">
            <v>57000</v>
          </cell>
        </row>
        <row r="1204">
          <cell r="A1204" t="str">
            <v>51-4111</v>
          </cell>
          <cell r="B1204" t="str">
            <v>Tool and Die Makers</v>
          </cell>
          <cell r="C1204">
            <v>63630</v>
          </cell>
          <cell r="D1204">
            <v>1.7</v>
          </cell>
          <cell r="E1204">
            <v>56150</v>
          </cell>
          <cell r="F1204">
            <v>0.4</v>
          </cell>
          <cell r="G1204">
            <v>57000</v>
          </cell>
        </row>
        <row r="1205">
          <cell r="A1205" t="str">
            <v>51-4120</v>
          </cell>
          <cell r="B1205" t="str">
            <v>Welding, Soldering, and Brazing Workers</v>
          </cell>
          <cell r="C1205">
            <v>427580</v>
          </cell>
          <cell r="D1205">
            <v>0.7</v>
          </cell>
          <cell r="E1205">
            <v>47910</v>
          </cell>
          <cell r="F1205">
            <v>0.2</v>
          </cell>
          <cell r="G1205">
            <v>46910</v>
          </cell>
        </row>
        <row r="1206">
          <cell r="A1206" t="str">
            <v>51-4121</v>
          </cell>
          <cell r="B1206" t="str">
            <v>Welders, Cutters, Solderers, and Brazers</v>
          </cell>
          <cell r="C1206">
            <v>397600</v>
          </cell>
          <cell r="D1206">
            <v>0.8</v>
          </cell>
          <cell r="E1206">
            <v>48290</v>
          </cell>
          <cell r="F1206">
            <v>0.2</v>
          </cell>
          <cell r="G1206">
            <v>47010</v>
          </cell>
        </row>
        <row r="1207">
          <cell r="A1207" t="str">
            <v>51-4122</v>
          </cell>
          <cell r="B1207" t="str">
            <v>Welding, Soldering, and Brazing Machine Setters, Operators, and Tenders</v>
          </cell>
          <cell r="C1207">
            <v>29980</v>
          </cell>
          <cell r="D1207">
            <v>3.4</v>
          </cell>
          <cell r="E1207">
            <v>42950</v>
          </cell>
          <cell r="F1207">
            <v>0.8</v>
          </cell>
          <cell r="G1207">
            <v>38580</v>
          </cell>
        </row>
        <row r="1208">
          <cell r="A1208" t="str">
            <v>51-4190</v>
          </cell>
          <cell r="B1208" t="str">
            <v>Miscellaneous Metal Workers and Plastic Workers</v>
          </cell>
          <cell r="C1208">
            <v>78530</v>
          </cell>
          <cell r="D1208">
            <v>1.6</v>
          </cell>
          <cell r="E1208">
            <v>40940</v>
          </cell>
          <cell r="F1208">
            <v>0.5</v>
          </cell>
          <cell r="G1208">
            <v>37630</v>
          </cell>
        </row>
        <row r="1209">
          <cell r="A1209" t="str">
            <v>51-4191</v>
          </cell>
          <cell r="B1209" t="str">
            <v>Heat Treating Equipment Setters, Operators, and Tenders, Metal and Plastic</v>
          </cell>
          <cell r="C1209">
            <v>14540</v>
          </cell>
          <cell r="D1209">
            <v>4.2</v>
          </cell>
          <cell r="E1209">
            <v>41560</v>
          </cell>
          <cell r="F1209">
            <v>1.1000000000000001</v>
          </cell>
          <cell r="G1209">
            <v>38450</v>
          </cell>
        </row>
        <row r="1210">
          <cell r="A1210" t="str">
            <v>51-4192</v>
          </cell>
          <cell r="B1210" t="str">
            <v>Layout Workers, Metal and Plastic</v>
          </cell>
          <cell r="C1210">
            <v>6840</v>
          </cell>
          <cell r="D1210">
            <v>6.6</v>
          </cell>
          <cell r="E1210">
            <v>52340</v>
          </cell>
          <cell r="F1210">
            <v>1.5</v>
          </cell>
          <cell r="G1210">
            <v>51690</v>
          </cell>
        </row>
        <row r="1211">
          <cell r="A1211" t="str">
            <v>51-4193</v>
          </cell>
          <cell r="B1211" t="str">
            <v>Plating Machine Setters, Operators, and Tenders, Metal and Plastic</v>
          </cell>
          <cell r="C1211">
            <v>32310</v>
          </cell>
          <cell r="D1211">
            <v>2.2000000000000002</v>
          </cell>
          <cell r="E1211">
            <v>38580</v>
          </cell>
          <cell r="F1211">
            <v>0.6</v>
          </cell>
          <cell r="G1211">
            <v>37200</v>
          </cell>
        </row>
        <row r="1212">
          <cell r="A1212" t="str">
            <v>51-4194</v>
          </cell>
          <cell r="B1212" t="str">
            <v>Tool Grinders, Filers, and Sharpeners</v>
          </cell>
          <cell r="C1212">
            <v>6100</v>
          </cell>
          <cell r="D1212">
            <v>6.1</v>
          </cell>
          <cell r="E1212">
            <v>43660</v>
          </cell>
          <cell r="F1212">
            <v>1.7</v>
          </cell>
          <cell r="G1212">
            <v>38430</v>
          </cell>
        </row>
        <row r="1213">
          <cell r="A1213" t="str">
            <v>51-4199</v>
          </cell>
          <cell r="B1213" t="str">
            <v>Metal Workers and Plastic Workers, All Other</v>
          </cell>
          <cell r="C1213">
            <v>18740</v>
          </cell>
          <cell r="D1213">
            <v>4.4000000000000004</v>
          </cell>
          <cell r="E1213">
            <v>39480</v>
          </cell>
          <cell r="F1213">
            <v>0.9</v>
          </cell>
          <cell r="G1213">
            <v>36990</v>
          </cell>
        </row>
        <row r="1214">
          <cell r="A1214" t="str">
            <v>51-5100</v>
          </cell>
          <cell r="B1214" t="str">
            <v>Printing Workers</v>
          </cell>
          <cell r="C1214">
            <v>211930</v>
          </cell>
          <cell r="D1214">
            <v>1.2</v>
          </cell>
          <cell r="E1214">
            <v>40660</v>
          </cell>
          <cell r="F1214">
            <v>0.4</v>
          </cell>
          <cell r="G1214">
            <v>37710</v>
          </cell>
        </row>
        <row r="1215">
          <cell r="A1215" t="str">
            <v>51-5110</v>
          </cell>
          <cell r="B1215" t="str">
            <v>Printing Workers</v>
          </cell>
          <cell r="C1215">
            <v>211930</v>
          </cell>
          <cell r="D1215">
            <v>1.2</v>
          </cell>
          <cell r="E1215">
            <v>40660</v>
          </cell>
          <cell r="F1215">
            <v>0.4</v>
          </cell>
          <cell r="G1215">
            <v>37710</v>
          </cell>
        </row>
        <row r="1216">
          <cell r="A1216" t="str">
            <v>51-5111</v>
          </cell>
          <cell r="B1216" t="str">
            <v>Prepress Technicians and Workers</v>
          </cell>
          <cell r="C1216">
            <v>25840</v>
          </cell>
          <cell r="D1216">
            <v>2.5</v>
          </cell>
          <cell r="E1216">
            <v>43800</v>
          </cell>
          <cell r="F1216">
            <v>0.8</v>
          </cell>
          <cell r="G1216">
            <v>42610</v>
          </cell>
        </row>
        <row r="1217">
          <cell r="A1217" t="str">
            <v>51-5112</v>
          </cell>
          <cell r="B1217" t="str">
            <v>Printing Press Operators</v>
          </cell>
          <cell r="C1217">
            <v>145290</v>
          </cell>
          <cell r="D1217">
            <v>1.2</v>
          </cell>
          <cell r="E1217">
            <v>41120</v>
          </cell>
          <cell r="F1217">
            <v>0.4</v>
          </cell>
          <cell r="G1217">
            <v>37770</v>
          </cell>
        </row>
        <row r="1218">
          <cell r="A1218" t="str">
            <v>51-5113</v>
          </cell>
          <cell r="B1218" t="str">
            <v>Print Binding and Finishing Workers</v>
          </cell>
          <cell r="C1218">
            <v>40810</v>
          </cell>
          <cell r="D1218">
            <v>4</v>
          </cell>
          <cell r="E1218">
            <v>37060</v>
          </cell>
          <cell r="F1218">
            <v>1.3</v>
          </cell>
          <cell r="G1218">
            <v>36590</v>
          </cell>
        </row>
        <row r="1219">
          <cell r="A1219" t="str">
            <v>51-6000</v>
          </cell>
          <cell r="B1219" t="str">
            <v>Textile, Apparel, and Furnishings Workers</v>
          </cell>
          <cell r="C1219">
            <v>445950</v>
          </cell>
          <cell r="D1219">
            <v>0.8</v>
          </cell>
          <cell r="E1219">
            <v>31210</v>
          </cell>
          <cell r="F1219">
            <v>0.3</v>
          </cell>
          <cell r="G1219">
            <v>29420</v>
          </cell>
        </row>
        <row r="1220">
          <cell r="A1220" t="str">
            <v>51-6010</v>
          </cell>
          <cell r="B1220" t="str">
            <v>Laundry and Dry-Cleaning Workers</v>
          </cell>
          <cell r="C1220">
            <v>157400</v>
          </cell>
          <cell r="D1220">
            <v>1.3</v>
          </cell>
          <cell r="E1220">
            <v>27830</v>
          </cell>
          <cell r="F1220">
            <v>0.3</v>
          </cell>
          <cell r="G1220">
            <v>28350</v>
          </cell>
        </row>
        <row r="1221">
          <cell r="A1221" t="str">
            <v>51-6011</v>
          </cell>
          <cell r="B1221" t="str">
            <v>Laundry and Dry-Cleaning Workers</v>
          </cell>
          <cell r="C1221">
            <v>157400</v>
          </cell>
          <cell r="D1221">
            <v>1.3</v>
          </cell>
          <cell r="E1221">
            <v>27830</v>
          </cell>
          <cell r="F1221">
            <v>0.3</v>
          </cell>
          <cell r="G1221">
            <v>28350</v>
          </cell>
        </row>
        <row r="1222">
          <cell r="A1222" t="str">
            <v>51-6020</v>
          </cell>
          <cell r="B1222" t="str">
            <v>Pressers, Textile, Garment, and Related Materials</v>
          </cell>
          <cell r="C1222">
            <v>26910</v>
          </cell>
          <cell r="D1222">
            <v>3.6</v>
          </cell>
          <cell r="E1222">
            <v>28110</v>
          </cell>
          <cell r="F1222">
            <v>0.7</v>
          </cell>
          <cell r="G1222">
            <v>28680</v>
          </cell>
        </row>
        <row r="1223">
          <cell r="A1223" t="str">
            <v>51-6021</v>
          </cell>
          <cell r="B1223" t="str">
            <v>Pressers, Textile, Garment, and Related Materials</v>
          </cell>
          <cell r="C1223">
            <v>26910</v>
          </cell>
          <cell r="D1223">
            <v>3.6</v>
          </cell>
          <cell r="E1223">
            <v>28110</v>
          </cell>
          <cell r="F1223">
            <v>0.7</v>
          </cell>
          <cell r="G1223">
            <v>28680</v>
          </cell>
        </row>
        <row r="1224">
          <cell r="A1224" t="str">
            <v>51-6030</v>
          </cell>
          <cell r="B1224" t="str">
            <v>Sewing Machine Operators</v>
          </cell>
          <cell r="C1224">
            <v>116220</v>
          </cell>
          <cell r="D1224">
            <v>1.6</v>
          </cell>
          <cell r="E1224">
            <v>30880</v>
          </cell>
          <cell r="F1224">
            <v>0.4</v>
          </cell>
          <cell r="G1224">
            <v>29690</v>
          </cell>
        </row>
        <row r="1225">
          <cell r="A1225" t="str">
            <v>51-6031</v>
          </cell>
          <cell r="B1225" t="str">
            <v>Sewing Machine Operators</v>
          </cell>
          <cell r="C1225">
            <v>116220</v>
          </cell>
          <cell r="D1225">
            <v>1.6</v>
          </cell>
          <cell r="E1225">
            <v>30880</v>
          </cell>
          <cell r="F1225">
            <v>0.4</v>
          </cell>
          <cell r="G1225">
            <v>29690</v>
          </cell>
        </row>
        <row r="1226">
          <cell r="A1226" t="str">
            <v>51-6040</v>
          </cell>
          <cell r="B1226" t="str">
            <v>Shoe and Leather Workers</v>
          </cell>
          <cell r="C1226">
            <v>9240</v>
          </cell>
          <cell r="D1226">
            <v>5.4</v>
          </cell>
          <cell r="E1226">
            <v>32950</v>
          </cell>
          <cell r="F1226">
            <v>2.2000000000000002</v>
          </cell>
          <cell r="G1226">
            <v>29760</v>
          </cell>
        </row>
        <row r="1227">
          <cell r="A1227" t="str">
            <v>51-6041</v>
          </cell>
          <cell r="B1227" t="str">
            <v>Shoe and Leather Workers and Repairers</v>
          </cell>
          <cell r="C1227">
            <v>5620</v>
          </cell>
          <cell r="D1227">
            <v>5.7</v>
          </cell>
          <cell r="E1227">
            <v>34890</v>
          </cell>
          <cell r="F1227">
            <v>2.1</v>
          </cell>
          <cell r="G1227">
            <v>31450</v>
          </cell>
        </row>
        <row r="1228">
          <cell r="A1228" t="str">
            <v>51-6042</v>
          </cell>
          <cell r="B1228" t="str">
            <v>Shoe Machine Operators and Tenders</v>
          </cell>
          <cell r="C1228">
            <v>3610</v>
          </cell>
          <cell r="D1228">
            <v>9.6999999999999993</v>
          </cell>
          <cell r="E1228">
            <v>29920</v>
          </cell>
          <cell r="F1228">
            <v>4.2</v>
          </cell>
          <cell r="G1228">
            <v>28560</v>
          </cell>
        </row>
        <row r="1229">
          <cell r="A1229" t="str">
            <v>51-6050</v>
          </cell>
          <cell r="B1229" t="str">
            <v>Tailors, Dressmakers, and Sewers</v>
          </cell>
          <cell r="C1229">
            <v>21450</v>
          </cell>
          <cell r="D1229">
            <v>6</v>
          </cell>
          <cell r="E1229">
            <v>34630</v>
          </cell>
          <cell r="F1229">
            <v>1.5</v>
          </cell>
          <cell r="G1229">
            <v>31180</v>
          </cell>
        </row>
        <row r="1230">
          <cell r="A1230" t="str">
            <v>51-6051</v>
          </cell>
          <cell r="B1230" t="str">
            <v>Sewers, Hand</v>
          </cell>
          <cell r="C1230">
            <v>4170</v>
          </cell>
          <cell r="D1230">
            <v>9.6999999999999993</v>
          </cell>
          <cell r="E1230">
            <v>31350</v>
          </cell>
          <cell r="F1230">
            <v>1.4</v>
          </cell>
          <cell r="G1230">
            <v>29930</v>
          </cell>
        </row>
        <row r="1231">
          <cell r="A1231" t="str">
            <v>51-6052</v>
          </cell>
          <cell r="B1231" t="str">
            <v>Tailors, Dressmakers, and Custom Sewers</v>
          </cell>
          <cell r="C1231">
            <v>17270</v>
          </cell>
          <cell r="D1231">
            <v>7.2</v>
          </cell>
          <cell r="E1231">
            <v>35430</v>
          </cell>
          <cell r="F1231">
            <v>1.9</v>
          </cell>
          <cell r="G1231">
            <v>31420</v>
          </cell>
        </row>
        <row r="1232">
          <cell r="A1232" t="str">
            <v>51-6060</v>
          </cell>
          <cell r="B1232" t="str">
            <v>Textile Machine Setters, Operators, and Tenders</v>
          </cell>
          <cell r="C1232">
            <v>56700</v>
          </cell>
          <cell r="D1232">
            <v>1.4</v>
          </cell>
          <cell r="E1232">
            <v>33110</v>
          </cell>
          <cell r="F1232">
            <v>0.5</v>
          </cell>
          <cell r="G1232">
            <v>30050</v>
          </cell>
        </row>
        <row r="1233">
          <cell r="A1233" t="str">
            <v>51-6061</v>
          </cell>
          <cell r="B1233" t="str">
            <v>Textile Bleaching and Dyeing Machine Operators and Tenders</v>
          </cell>
          <cell r="C1233">
            <v>6240</v>
          </cell>
          <cell r="D1233">
            <v>6.5</v>
          </cell>
          <cell r="E1233">
            <v>31940</v>
          </cell>
          <cell r="F1233">
            <v>1</v>
          </cell>
          <cell r="G1233">
            <v>29930</v>
          </cell>
        </row>
        <row r="1234">
          <cell r="A1234" t="str">
            <v>51-6062</v>
          </cell>
          <cell r="B1234" t="str">
            <v>Textile Cutting Machine Setters, Operators, and Tenders</v>
          </cell>
          <cell r="C1234">
            <v>11970</v>
          </cell>
          <cell r="D1234">
            <v>3</v>
          </cell>
          <cell r="E1234">
            <v>33100</v>
          </cell>
          <cell r="F1234">
            <v>0.8</v>
          </cell>
          <cell r="G1234">
            <v>29960</v>
          </cell>
        </row>
        <row r="1235">
          <cell r="A1235" t="str">
            <v>51-6063</v>
          </cell>
          <cell r="B1235" t="str">
            <v>Textile Knitting and Weaving Machine Setters, Operators, and Tenders</v>
          </cell>
          <cell r="C1235">
            <v>16330</v>
          </cell>
          <cell r="D1235">
            <v>2.4</v>
          </cell>
          <cell r="E1235">
            <v>33640</v>
          </cell>
          <cell r="F1235">
            <v>0.7</v>
          </cell>
          <cell r="G1235">
            <v>33990</v>
          </cell>
        </row>
        <row r="1236">
          <cell r="A1236" t="str">
            <v>51-6064</v>
          </cell>
          <cell r="B1236" t="str">
            <v>Textile Winding, Twisting, and Drawing Out Machine Setters, Operators, and Tenders</v>
          </cell>
          <cell r="C1236">
            <v>22160</v>
          </cell>
          <cell r="D1236">
            <v>1.9</v>
          </cell>
          <cell r="E1236">
            <v>33050</v>
          </cell>
          <cell r="F1236">
            <v>0.8</v>
          </cell>
          <cell r="G1236">
            <v>30020</v>
          </cell>
        </row>
        <row r="1237">
          <cell r="A1237" t="str">
            <v>51-6090</v>
          </cell>
          <cell r="B1237" t="str">
            <v>Miscellaneous Textile, Apparel, and Furnishings Workers</v>
          </cell>
          <cell r="C1237">
            <v>58030</v>
          </cell>
          <cell r="D1237">
            <v>2</v>
          </cell>
          <cell r="E1237">
            <v>39050</v>
          </cell>
          <cell r="F1237">
            <v>0.7</v>
          </cell>
          <cell r="G1237">
            <v>37030</v>
          </cell>
        </row>
        <row r="1238">
          <cell r="A1238" t="str">
            <v>51-6091</v>
          </cell>
          <cell r="B1238" t="str">
            <v>Extruding and Forming Machine Setters, Operators, and Tenders, Synthetic and Glass Fibers</v>
          </cell>
          <cell r="C1238">
            <v>14040</v>
          </cell>
          <cell r="D1238">
            <v>4.4000000000000004</v>
          </cell>
          <cell r="E1238">
            <v>40600</v>
          </cell>
          <cell r="F1238">
            <v>1.1000000000000001</v>
          </cell>
          <cell r="G1238">
            <v>37550</v>
          </cell>
        </row>
        <row r="1239">
          <cell r="A1239" t="str">
            <v>51-6092</v>
          </cell>
          <cell r="B1239" t="str">
            <v>Fabric and Apparel Patternmakers</v>
          </cell>
          <cell r="C1239">
            <v>3220</v>
          </cell>
          <cell r="D1239">
            <v>7.3</v>
          </cell>
          <cell r="E1239">
            <v>64070</v>
          </cell>
          <cell r="F1239">
            <v>4</v>
          </cell>
          <cell r="G1239">
            <v>58650</v>
          </cell>
        </row>
        <row r="1240">
          <cell r="A1240" t="str">
            <v>51-6093</v>
          </cell>
          <cell r="B1240" t="str">
            <v>Upholsterers</v>
          </cell>
          <cell r="C1240">
            <v>28020</v>
          </cell>
          <cell r="D1240">
            <v>2.7</v>
          </cell>
          <cell r="E1240">
            <v>38220</v>
          </cell>
          <cell r="F1240">
            <v>0.7</v>
          </cell>
          <cell r="G1240">
            <v>37420</v>
          </cell>
        </row>
        <row r="1241">
          <cell r="A1241" t="str">
            <v>51-6099</v>
          </cell>
          <cell r="B1241" t="str">
            <v>Textile, Apparel, and Furnishings Workers, All Other</v>
          </cell>
          <cell r="C1241">
            <v>12750</v>
          </cell>
          <cell r="D1241">
            <v>5.6</v>
          </cell>
          <cell r="E1241">
            <v>32840</v>
          </cell>
          <cell r="F1241">
            <v>1.1000000000000001</v>
          </cell>
          <cell r="G1241">
            <v>29750</v>
          </cell>
        </row>
        <row r="1242">
          <cell r="A1242" t="str">
            <v>51-7000</v>
          </cell>
          <cell r="B1242" t="str">
            <v>Woodworkers</v>
          </cell>
          <cell r="C1242">
            <v>230400</v>
          </cell>
          <cell r="D1242">
            <v>1</v>
          </cell>
          <cell r="E1242">
            <v>37520</v>
          </cell>
          <cell r="F1242">
            <v>0.3</v>
          </cell>
          <cell r="G1242">
            <v>36680</v>
          </cell>
        </row>
        <row r="1243">
          <cell r="A1243" t="str">
            <v>51-7010</v>
          </cell>
          <cell r="B1243" t="str">
            <v>Cabinetmakers and Bench Carpenters</v>
          </cell>
          <cell r="C1243">
            <v>93070</v>
          </cell>
          <cell r="D1243">
            <v>1.8</v>
          </cell>
          <cell r="E1243">
            <v>40070</v>
          </cell>
          <cell r="F1243">
            <v>0.5</v>
          </cell>
          <cell r="G1243">
            <v>37540</v>
          </cell>
        </row>
        <row r="1244">
          <cell r="A1244" t="str">
            <v>51-7011</v>
          </cell>
          <cell r="B1244" t="str">
            <v>Cabinetmakers and Bench Carpenters</v>
          </cell>
          <cell r="C1244">
            <v>93070</v>
          </cell>
          <cell r="D1244">
            <v>1.8</v>
          </cell>
          <cell r="E1244">
            <v>40070</v>
          </cell>
          <cell r="F1244">
            <v>0.5</v>
          </cell>
          <cell r="G1244">
            <v>37540</v>
          </cell>
        </row>
        <row r="1245">
          <cell r="A1245" t="str">
            <v>51-7020</v>
          </cell>
          <cell r="B1245" t="str">
            <v>Furniture Finishers</v>
          </cell>
          <cell r="C1245">
            <v>16300</v>
          </cell>
          <cell r="D1245">
            <v>2.8</v>
          </cell>
          <cell r="E1245">
            <v>37310</v>
          </cell>
          <cell r="F1245">
            <v>0.8</v>
          </cell>
          <cell r="G1245">
            <v>36580</v>
          </cell>
        </row>
        <row r="1246">
          <cell r="A1246" t="str">
            <v>51-7021</v>
          </cell>
          <cell r="B1246" t="str">
            <v>Furniture Finishers</v>
          </cell>
          <cell r="C1246">
            <v>16300</v>
          </cell>
          <cell r="D1246">
            <v>2.8</v>
          </cell>
          <cell r="E1246">
            <v>37310</v>
          </cell>
          <cell r="F1246">
            <v>0.8</v>
          </cell>
          <cell r="G1246">
            <v>36580</v>
          </cell>
        </row>
        <row r="1247">
          <cell r="A1247" t="str">
            <v>51-7030</v>
          </cell>
          <cell r="B1247" t="str">
            <v>Model Makers and Patternmakers, Wood</v>
          </cell>
          <cell r="C1247">
            <v>550</v>
          </cell>
          <cell r="D1247">
            <v>16</v>
          </cell>
          <cell r="E1247">
            <v>56560</v>
          </cell>
          <cell r="F1247">
            <v>3.4</v>
          </cell>
          <cell r="G1247">
            <v>57410</v>
          </cell>
        </row>
        <row r="1248">
          <cell r="A1248" t="str">
            <v>51-7031</v>
          </cell>
          <cell r="B1248" t="str">
            <v>Model Makers, Wood</v>
          </cell>
          <cell r="C1248">
            <v>340</v>
          </cell>
          <cell r="D1248">
            <v>22.3</v>
          </cell>
          <cell r="E1248">
            <v>60040</v>
          </cell>
          <cell r="F1248">
            <v>4.5999999999999996</v>
          </cell>
          <cell r="G1248">
            <v>60780</v>
          </cell>
        </row>
        <row r="1249">
          <cell r="A1249" t="str">
            <v>51-7032</v>
          </cell>
          <cell r="B1249" t="str">
            <v>Patternmakers, Wood</v>
          </cell>
          <cell r="C1249">
            <v>210</v>
          </cell>
          <cell r="D1249">
            <v>17.8</v>
          </cell>
          <cell r="E1249">
            <v>51020</v>
          </cell>
          <cell r="F1249">
            <v>4.7</v>
          </cell>
          <cell r="G1249">
            <v>46920</v>
          </cell>
        </row>
        <row r="1250">
          <cell r="A1250" t="str">
            <v>51-7040</v>
          </cell>
          <cell r="B1250" t="str">
            <v>Woodworking Machine Setters, Operators, and Tenders</v>
          </cell>
          <cell r="C1250">
            <v>112560</v>
          </cell>
          <cell r="D1250">
            <v>1.2</v>
          </cell>
          <cell r="E1250">
            <v>35450</v>
          </cell>
          <cell r="F1250">
            <v>0.3</v>
          </cell>
          <cell r="G1250">
            <v>35850</v>
          </cell>
        </row>
        <row r="1251">
          <cell r="A1251" t="str">
            <v>51-7041</v>
          </cell>
          <cell r="B1251" t="str">
            <v>Sawing Machine Setters, Operators, and Tenders, Wood</v>
          </cell>
          <cell r="C1251">
            <v>45350</v>
          </cell>
          <cell r="D1251">
            <v>1.8</v>
          </cell>
          <cell r="E1251">
            <v>35280</v>
          </cell>
          <cell r="F1251">
            <v>0.5</v>
          </cell>
          <cell r="G1251">
            <v>35340</v>
          </cell>
        </row>
        <row r="1252">
          <cell r="A1252" t="str">
            <v>51-7042</v>
          </cell>
          <cell r="B1252" t="str">
            <v>Woodworking Machine Setters, Operators, and Tenders, Except Sawing</v>
          </cell>
          <cell r="C1252">
            <v>67210</v>
          </cell>
          <cell r="D1252">
            <v>1.9</v>
          </cell>
          <cell r="E1252">
            <v>35560</v>
          </cell>
          <cell r="F1252">
            <v>0.4</v>
          </cell>
          <cell r="G1252">
            <v>36090</v>
          </cell>
        </row>
        <row r="1253">
          <cell r="A1253" t="str">
            <v>51-7090</v>
          </cell>
          <cell r="B1253" t="str">
            <v>Miscellaneous Woodworkers</v>
          </cell>
          <cell r="C1253">
            <v>7910</v>
          </cell>
          <cell r="D1253">
            <v>5.8</v>
          </cell>
          <cell r="E1253">
            <v>36080</v>
          </cell>
          <cell r="F1253">
            <v>1.2</v>
          </cell>
          <cell r="G1253">
            <v>35610</v>
          </cell>
        </row>
        <row r="1254">
          <cell r="A1254" t="str">
            <v>51-7099</v>
          </cell>
          <cell r="B1254" t="str">
            <v>Woodworkers, All Other</v>
          </cell>
          <cell r="C1254">
            <v>7910</v>
          </cell>
          <cell r="D1254">
            <v>5.8</v>
          </cell>
          <cell r="E1254">
            <v>36080</v>
          </cell>
          <cell r="F1254">
            <v>1.2</v>
          </cell>
          <cell r="G1254">
            <v>35610</v>
          </cell>
        </row>
        <row r="1255">
          <cell r="A1255" t="str">
            <v>51-8000</v>
          </cell>
          <cell r="B1255" t="str">
            <v>Plant and System Operators</v>
          </cell>
          <cell r="C1255">
            <v>280900</v>
          </cell>
          <cell r="D1255">
            <v>0.7</v>
          </cell>
          <cell r="E1255">
            <v>66210</v>
          </cell>
          <cell r="F1255">
            <v>0.3</v>
          </cell>
          <cell r="G1255">
            <v>61350</v>
          </cell>
        </row>
        <row r="1256">
          <cell r="A1256" t="str">
            <v>51-8010</v>
          </cell>
          <cell r="B1256" t="str">
            <v>Power Plant Operators, Distributors, and Dispatchers</v>
          </cell>
          <cell r="C1256">
            <v>43440</v>
          </cell>
          <cell r="D1256">
            <v>1.4</v>
          </cell>
          <cell r="E1256">
            <v>89410</v>
          </cell>
          <cell r="F1256">
            <v>0.4</v>
          </cell>
          <cell r="G1256">
            <v>94790</v>
          </cell>
        </row>
        <row r="1257">
          <cell r="A1257" t="str">
            <v>51-8011</v>
          </cell>
          <cell r="B1257" t="str">
            <v>Nuclear Power Reactor Operators</v>
          </cell>
          <cell r="C1257">
            <v>4820</v>
          </cell>
          <cell r="D1257">
            <v>1.1000000000000001</v>
          </cell>
          <cell r="E1257">
            <v>111220</v>
          </cell>
          <cell r="F1257">
            <v>0.5</v>
          </cell>
          <cell r="G1257">
            <v>104260</v>
          </cell>
        </row>
        <row r="1258">
          <cell r="A1258" t="str">
            <v>51-8012</v>
          </cell>
          <cell r="B1258" t="str">
            <v>Power Distributors and Dispatchers</v>
          </cell>
          <cell r="C1258">
            <v>9660</v>
          </cell>
          <cell r="D1258">
            <v>3</v>
          </cell>
          <cell r="E1258">
            <v>95520</v>
          </cell>
          <cell r="F1258">
            <v>0.6</v>
          </cell>
          <cell r="G1258">
            <v>98530</v>
          </cell>
        </row>
        <row r="1259">
          <cell r="A1259" t="str">
            <v>51-8013</v>
          </cell>
          <cell r="B1259" t="str">
            <v>Power Plant Operators</v>
          </cell>
          <cell r="C1259">
            <v>28960</v>
          </cell>
          <cell r="D1259">
            <v>1.8</v>
          </cell>
          <cell r="E1259">
            <v>83740</v>
          </cell>
          <cell r="F1259">
            <v>0.6</v>
          </cell>
          <cell r="G1259">
            <v>80850</v>
          </cell>
        </row>
        <row r="1260">
          <cell r="A1260" t="str">
            <v>51-8020</v>
          </cell>
          <cell r="B1260" t="str">
            <v>Stationary Engineers and Boiler Operators</v>
          </cell>
          <cell r="C1260">
            <v>29820</v>
          </cell>
          <cell r="D1260">
            <v>2.2999999999999998</v>
          </cell>
          <cell r="E1260">
            <v>70510</v>
          </cell>
          <cell r="F1260">
            <v>0.6</v>
          </cell>
          <cell r="G1260">
            <v>63500</v>
          </cell>
        </row>
        <row r="1261">
          <cell r="A1261" t="str">
            <v>51-8021</v>
          </cell>
          <cell r="B1261" t="str">
            <v>Stationary Engineers and Boiler Operators</v>
          </cell>
          <cell r="C1261">
            <v>29820</v>
          </cell>
          <cell r="D1261">
            <v>2.2999999999999998</v>
          </cell>
          <cell r="E1261">
            <v>70510</v>
          </cell>
          <cell r="F1261">
            <v>0.6</v>
          </cell>
          <cell r="G1261">
            <v>63500</v>
          </cell>
        </row>
        <row r="1262">
          <cell r="A1262" t="str">
            <v>51-8030</v>
          </cell>
          <cell r="B1262" t="str">
            <v>Water and Wastewater Treatment Plant and System Operators</v>
          </cell>
          <cell r="C1262">
            <v>121150</v>
          </cell>
          <cell r="D1262">
            <v>1.3</v>
          </cell>
          <cell r="E1262">
            <v>52320</v>
          </cell>
          <cell r="F1262">
            <v>0.5</v>
          </cell>
          <cell r="G1262">
            <v>47880</v>
          </cell>
        </row>
        <row r="1263">
          <cell r="A1263" t="str">
            <v>51-8031</v>
          </cell>
          <cell r="B1263" t="str">
            <v>Water and Wastewater Treatment Plant and System Operators</v>
          </cell>
          <cell r="C1263">
            <v>121150</v>
          </cell>
          <cell r="D1263">
            <v>1.3</v>
          </cell>
          <cell r="E1263">
            <v>52320</v>
          </cell>
          <cell r="F1263">
            <v>0.5</v>
          </cell>
          <cell r="G1263">
            <v>47880</v>
          </cell>
        </row>
        <row r="1264">
          <cell r="A1264" t="str">
            <v>51-8090</v>
          </cell>
          <cell r="B1264" t="str">
            <v>Miscellaneous Plant and System Operators</v>
          </cell>
          <cell r="C1264">
            <v>86500</v>
          </cell>
          <cell r="D1264">
            <v>1.6</v>
          </cell>
          <cell r="E1264">
            <v>72540</v>
          </cell>
          <cell r="F1264">
            <v>0.5</v>
          </cell>
          <cell r="G1264">
            <v>76670</v>
          </cell>
        </row>
        <row r="1265">
          <cell r="A1265" t="str">
            <v>51-8091</v>
          </cell>
          <cell r="B1265" t="str">
            <v>Chemical Plant and System Operators</v>
          </cell>
          <cell r="C1265">
            <v>21740</v>
          </cell>
          <cell r="D1265">
            <v>3.4</v>
          </cell>
          <cell r="E1265">
            <v>69020</v>
          </cell>
          <cell r="F1265">
            <v>1</v>
          </cell>
          <cell r="G1265">
            <v>70200</v>
          </cell>
        </row>
        <row r="1266">
          <cell r="A1266" t="str">
            <v>51-8092</v>
          </cell>
          <cell r="B1266" t="str">
            <v>Gas Plant Operators</v>
          </cell>
          <cell r="C1266">
            <v>15110</v>
          </cell>
          <cell r="D1266">
            <v>3.7</v>
          </cell>
          <cell r="E1266">
            <v>76970</v>
          </cell>
          <cell r="F1266">
            <v>1.2</v>
          </cell>
          <cell r="G1266">
            <v>77850</v>
          </cell>
        </row>
        <row r="1267">
          <cell r="A1267" t="str">
            <v>51-8093</v>
          </cell>
          <cell r="B1267" t="str">
            <v>Petroleum Pump System Operators, Refinery Operators, and Gaugers</v>
          </cell>
          <cell r="C1267">
            <v>34230</v>
          </cell>
          <cell r="D1267">
            <v>2.7</v>
          </cell>
          <cell r="E1267">
            <v>80500</v>
          </cell>
          <cell r="F1267">
            <v>0.5</v>
          </cell>
          <cell r="G1267">
            <v>79540</v>
          </cell>
        </row>
        <row r="1268">
          <cell r="A1268" t="str">
            <v>51-8099</v>
          </cell>
          <cell r="B1268" t="str">
            <v>Plant and System Operators, All Other</v>
          </cell>
          <cell r="C1268">
            <v>15420</v>
          </cell>
          <cell r="D1268">
            <v>3.6</v>
          </cell>
          <cell r="E1268">
            <v>55480</v>
          </cell>
          <cell r="F1268">
            <v>1.3</v>
          </cell>
          <cell r="G1268">
            <v>50250</v>
          </cell>
        </row>
        <row r="1269">
          <cell r="A1269" t="str">
            <v>51-9000</v>
          </cell>
          <cell r="B1269" t="str">
            <v>Other Production Occupations</v>
          </cell>
          <cell r="C1269">
            <v>2409900</v>
          </cell>
          <cell r="D1269">
            <v>0.4</v>
          </cell>
          <cell r="E1269">
            <v>41820</v>
          </cell>
          <cell r="F1269">
            <v>0.2</v>
          </cell>
          <cell r="G1269">
            <v>37710</v>
          </cell>
        </row>
        <row r="1270">
          <cell r="A1270" t="str">
            <v>51-9010</v>
          </cell>
          <cell r="B1270" t="str">
            <v>Chemical Processing Machine Setters, Operators, and Tenders</v>
          </cell>
          <cell r="C1270">
            <v>154790</v>
          </cell>
          <cell r="D1270">
            <v>1.2</v>
          </cell>
          <cell r="E1270">
            <v>50760</v>
          </cell>
          <cell r="F1270">
            <v>0.6</v>
          </cell>
          <cell r="G1270">
            <v>47580</v>
          </cell>
        </row>
        <row r="1271">
          <cell r="A1271" t="str">
            <v>51-9011</v>
          </cell>
          <cell r="B1271" t="str">
            <v>Chemical Equipment Operators and Tenders</v>
          </cell>
          <cell r="C1271">
            <v>106170</v>
          </cell>
          <cell r="D1271">
            <v>1.5</v>
          </cell>
          <cell r="E1271">
            <v>52450</v>
          </cell>
          <cell r="F1271">
            <v>0.8</v>
          </cell>
          <cell r="G1271">
            <v>48090</v>
          </cell>
        </row>
        <row r="1272">
          <cell r="A1272" t="str">
            <v>51-9012</v>
          </cell>
          <cell r="B1272" t="str">
            <v>Separating, Filtering, Clarifying, Precipitating, and Still Machine Setters, Operators, and Tenders</v>
          </cell>
          <cell r="C1272">
            <v>48620</v>
          </cell>
          <cell r="D1272">
            <v>2.1</v>
          </cell>
          <cell r="E1272">
            <v>47060</v>
          </cell>
          <cell r="F1272">
            <v>0.7</v>
          </cell>
          <cell r="G1272">
            <v>46030</v>
          </cell>
        </row>
        <row r="1273">
          <cell r="A1273" t="str">
            <v>51-9020</v>
          </cell>
          <cell r="B1273" t="str">
            <v>Crushing, Grinding, Polishing, Mixing, and Blending Workers</v>
          </cell>
          <cell r="C1273">
            <v>155920</v>
          </cell>
          <cell r="D1273">
            <v>1.3</v>
          </cell>
          <cell r="E1273">
            <v>41900</v>
          </cell>
          <cell r="F1273">
            <v>0.4</v>
          </cell>
          <cell r="G1273">
            <v>38160</v>
          </cell>
        </row>
        <row r="1274">
          <cell r="A1274" t="str">
            <v>51-9021</v>
          </cell>
          <cell r="B1274" t="str">
            <v>Crushing, Grinding, and Polishing Machine Setters, Operators, and Tenders</v>
          </cell>
          <cell r="C1274">
            <v>31800</v>
          </cell>
          <cell r="D1274">
            <v>2.4</v>
          </cell>
          <cell r="E1274">
            <v>42790</v>
          </cell>
          <cell r="F1274">
            <v>0.7</v>
          </cell>
          <cell r="G1274">
            <v>38760</v>
          </cell>
        </row>
        <row r="1275">
          <cell r="A1275" t="str">
            <v>51-9022</v>
          </cell>
          <cell r="B1275" t="str">
            <v>Grinding and Polishing Workers, Hand</v>
          </cell>
          <cell r="C1275">
            <v>15680</v>
          </cell>
          <cell r="D1275">
            <v>5.0999999999999996</v>
          </cell>
          <cell r="E1275">
            <v>35990</v>
          </cell>
          <cell r="F1275">
            <v>1.2</v>
          </cell>
          <cell r="G1275">
            <v>35670</v>
          </cell>
        </row>
        <row r="1276">
          <cell r="A1276" t="str">
            <v>51-9023</v>
          </cell>
          <cell r="B1276" t="str">
            <v>Mixing and Blending Machine Setters, Operators, and Tenders</v>
          </cell>
          <cell r="C1276">
            <v>108440</v>
          </cell>
          <cell r="D1276">
            <v>1.6</v>
          </cell>
          <cell r="E1276">
            <v>42490</v>
          </cell>
          <cell r="F1276">
            <v>0.4</v>
          </cell>
          <cell r="G1276">
            <v>38420</v>
          </cell>
        </row>
        <row r="1277">
          <cell r="A1277" t="str">
            <v>51-9030</v>
          </cell>
          <cell r="B1277" t="str">
            <v>Cutting Workers</v>
          </cell>
          <cell r="C1277">
            <v>63850</v>
          </cell>
          <cell r="D1277">
            <v>1.6</v>
          </cell>
          <cell r="E1277">
            <v>39300</v>
          </cell>
          <cell r="F1277">
            <v>0.4</v>
          </cell>
          <cell r="G1277">
            <v>37660</v>
          </cell>
        </row>
        <row r="1278">
          <cell r="A1278" t="str">
            <v>51-9031</v>
          </cell>
          <cell r="B1278" t="str">
            <v>Cutters and Trimmers, Hand</v>
          </cell>
          <cell r="C1278">
            <v>7920</v>
          </cell>
          <cell r="D1278">
            <v>5.9</v>
          </cell>
          <cell r="E1278">
            <v>34330</v>
          </cell>
          <cell r="F1278">
            <v>1.4</v>
          </cell>
          <cell r="G1278">
            <v>30230</v>
          </cell>
        </row>
        <row r="1279">
          <cell r="A1279" t="str">
            <v>51-9032</v>
          </cell>
          <cell r="B1279" t="str">
            <v>Cutting and Slicing Machine Setters, Operators, and Tenders</v>
          </cell>
          <cell r="C1279">
            <v>55930</v>
          </cell>
          <cell r="D1279">
            <v>1.6</v>
          </cell>
          <cell r="E1279">
            <v>40010</v>
          </cell>
          <cell r="F1279">
            <v>0.4</v>
          </cell>
          <cell r="G1279">
            <v>37810</v>
          </cell>
        </row>
        <row r="1280">
          <cell r="A1280" t="str">
            <v>51-9040</v>
          </cell>
          <cell r="B1280" t="str">
            <v>Extruding, Forming, Pressing, and Compacting Machine Setters, Operators, and Tenders</v>
          </cell>
          <cell r="C1280">
            <v>56570</v>
          </cell>
          <cell r="D1280">
            <v>2.1</v>
          </cell>
          <cell r="E1280">
            <v>40050</v>
          </cell>
          <cell r="F1280">
            <v>0.4</v>
          </cell>
          <cell r="G1280">
            <v>37660</v>
          </cell>
        </row>
        <row r="1281">
          <cell r="A1281" t="str">
            <v>51-9041</v>
          </cell>
          <cell r="B1281" t="str">
            <v>Extruding, Forming, Pressing, and Compacting Machine Setters, Operators, and Tenders</v>
          </cell>
          <cell r="C1281">
            <v>56570</v>
          </cell>
          <cell r="D1281">
            <v>2.1</v>
          </cell>
          <cell r="E1281">
            <v>40050</v>
          </cell>
          <cell r="F1281">
            <v>0.4</v>
          </cell>
          <cell r="G1281">
            <v>37660</v>
          </cell>
        </row>
        <row r="1282">
          <cell r="A1282" t="str">
            <v>51-9050</v>
          </cell>
          <cell r="B1282" t="str">
            <v>Furnace, Kiln, Oven, Drier, and Kettle Operators and Tenders</v>
          </cell>
          <cell r="C1282">
            <v>14180</v>
          </cell>
          <cell r="D1282">
            <v>2.5</v>
          </cell>
          <cell r="E1282">
            <v>43910</v>
          </cell>
          <cell r="F1282">
            <v>0.7</v>
          </cell>
          <cell r="G1282">
            <v>43710</v>
          </cell>
        </row>
        <row r="1283">
          <cell r="A1283" t="str">
            <v>51-9051</v>
          </cell>
          <cell r="B1283" t="str">
            <v>Furnace, Kiln, Oven, Drier, and Kettle Operators and Tenders</v>
          </cell>
          <cell r="C1283">
            <v>14180</v>
          </cell>
          <cell r="D1283">
            <v>2.5</v>
          </cell>
          <cell r="E1283">
            <v>43910</v>
          </cell>
          <cell r="F1283">
            <v>0.7</v>
          </cell>
          <cell r="G1283">
            <v>43710</v>
          </cell>
        </row>
        <row r="1284">
          <cell r="A1284" t="str">
            <v>51-9060</v>
          </cell>
          <cell r="B1284" t="str">
            <v>Inspectors, Testers, Sorters, Samplers, and Weighers</v>
          </cell>
          <cell r="C1284">
            <v>551380</v>
          </cell>
          <cell r="D1284">
            <v>0.8</v>
          </cell>
          <cell r="E1284">
            <v>44810</v>
          </cell>
          <cell r="F1284">
            <v>0.3</v>
          </cell>
          <cell r="G1284">
            <v>38580</v>
          </cell>
        </row>
        <row r="1285">
          <cell r="A1285" t="str">
            <v>51-9061</v>
          </cell>
          <cell r="B1285" t="str">
            <v>Inspectors, Testers, Sorters, Samplers, and Weighers</v>
          </cell>
          <cell r="C1285">
            <v>551380</v>
          </cell>
          <cell r="D1285">
            <v>0.8</v>
          </cell>
          <cell r="E1285">
            <v>44810</v>
          </cell>
          <cell r="F1285">
            <v>0.3</v>
          </cell>
          <cell r="G1285">
            <v>38580</v>
          </cell>
        </row>
        <row r="1286">
          <cell r="A1286" t="str">
            <v>51-9070</v>
          </cell>
          <cell r="B1286" t="str">
            <v>Jewelers and Precious Stone and Metal Workers</v>
          </cell>
          <cell r="C1286">
            <v>24350</v>
          </cell>
          <cell r="D1286">
            <v>3.7</v>
          </cell>
          <cell r="E1286">
            <v>47090</v>
          </cell>
          <cell r="F1286">
            <v>1.3</v>
          </cell>
          <cell r="G1286">
            <v>46640</v>
          </cell>
        </row>
        <row r="1287">
          <cell r="A1287" t="str">
            <v>51-9071</v>
          </cell>
          <cell r="B1287" t="str">
            <v>Jewelers and Precious Stone and Metal Workers</v>
          </cell>
          <cell r="C1287">
            <v>24350</v>
          </cell>
          <cell r="D1287">
            <v>3.7</v>
          </cell>
          <cell r="E1287">
            <v>47090</v>
          </cell>
          <cell r="F1287">
            <v>1.3</v>
          </cell>
          <cell r="G1287">
            <v>46640</v>
          </cell>
        </row>
        <row r="1288">
          <cell r="A1288" t="str">
            <v>51-9080</v>
          </cell>
          <cell r="B1288" t="str">
            <v>Dental and Ophthalmic Laboratory Technicians and Medical Appliance Technicians</v>
          </cell>
          <cell r="C1288">
            <v>68380</v>
          </cell>
          <cell r="D1288">
            <v>2.5</v>
          </cell>
          <cell r="E1288">
            <v>44770</v>
          </cell>
          <cell r="F1288">
            <v>1</v>
          </cell>
          <cell r="G1288">
            <v>39090</v>
          </cell>
        </row>
        <row r="1289">
          <cell r="A1289" t="str">
            <v>51-9081</v>
          </cell>
          <cell r="B1289" t="str">
            <v>Dental Laboratory Technicians</v>
          </cell>
          <cell r="C1289">
            <v>34150</v>
          </cell>
          <cell r="D1289">
            <v>2.6</v>
          </cell>
          <cell r="E1289">
            <v>47320</v>
          </cell>
          <cell r="F1289">
            <v>1</v>
          </cell>
          <cell r="G1289">
            <v>45770</v>
          </cell>
        </row>
        <row r="1290">
          <cell r="A1290" t="str">
            <v>51-9082</v>
          </cell>
          <cell r="B1290" t="str">
            <v>Medical Appliance Technicians</v>
          </cell>
          <cell r="C1290">
            <v>15300</v>
          </cell>
          <cell r="D1290">
            <v>6.5</v>
          </cell>
          <cell r="E1290">
            <v>46320</v>
          </cell>
          <cell r="F1290">
            <v>1.8</v>
          </cell>
          <cell r="G1290">
            <v>45280</v>
          </cell>
        </row>
        <row r="1291">
          <cell r="A1291" t="str">
            <v>51-9083</v>
          </cell>
          <cell r="B1291" t="str">
            <v>Ophthalmic Laboratory Technicians</v>
          </cell>
          <cell r="C1291">
            <v>18930</v>
          </cell>
          <cell r="D1291">
            <v>4.8</v>
          </cell>
          <cell r="E1291">
            <v>38910</v>
          </cell>
          <cell r="F1291">
            <v>1.6</v>
          </cell>
          <cell r="G1291">
            <v>37270</v>
          </cell>
        </row>
        <row r="1292">
          <cell r="A1292" t="str">
            <v>51-9110</v>
          </cell>
          <cell r="B1292" t="str">
            <v>Packaging and Filling Machine Operators and Tenders</v>
          </cell>
          <cell r="C1292">
            <v>358640</v>
          </cell>
          <cell r="D1292">
            <v>1.1000000000000001</v>
          </cell>
          <cell r="E1292">
            <v>36750</v>
          </cell>
          <cell r="F1292">
            <v>0.3</v>
          </cell>
          <cell r="G1292">
            <v>35960</v>
          </cell>
        </row>
        <row r="1293">
          <cell r="A1293" t="str">
            <v>51-9111</v>
          </cell>
          <cell r="B1293" t="str">
            <v>Packaging and Filling Machine Operators and Tenders</v>
          </cell>
          <cell r="C1293">
            <v>358640</v>
          </cell>
          <cell r="D1293">
            <v>1.1000000000000001</v>
          </cell>
          <cell r="E1293">
            <v>36750</v>
          </cell>
          <cell r="F1293">
            <v>0.3</v>
          </cell>
          <cell r="G1293">
            <v>35960</v>
          </cell>
        </row>
        <row r="1294">
          <cell r="A1294" t="str">
            <v>51-9120</v>
          </cell>
          <cell r="B1294" t="str">
            <v>Painting Workers</v>
          </cell>
          <cell r="C1294">
            <v>157250</v>
          </cell>
          <cell r="D1294">
            <v>1.5</v>
          </cell>
          <cell r="E1294">
            <v>43480</v>
          </cell>
          <cell r="F1294">
            <v>0.4</v>
          </cell>
          <cell r="G1294">
            <v>38670</v>
          </cell>
        </row>
        <row r="1295">
          <cell r="A1295" t="str">
            <v>51-9123</v>
          </cell>
          <cell r="B1295" t="str">
            <v>Painting, Coating, and Decorating Workers</v>
          </cell>
          <cell r="C1295">
            <v>11850</v>
          </cell>
          <cell r="D1295">
            <v>4.5</v>
          </cell>
          <cell r="E1295">
            <v>38250</v>
          </cell>
          <cell r="F1295">
            <v>1.1000000000000001</v>
          </cell>
          <cell r="G1295">
            <v>37330</v>
          </cell>
        </row>
        <row r="1296">
          <cell r="A1296" t="str">
            <v>51-9124</v>
          </cell>
          <cell r="B1296" t="str">
            <v>Coating, Painting, and Spraying Machine Setters, Operators, and Tenders</v>
          </cell>
          <cell r="C1296">
            <v>145410</v>
          </cell>
          <cell r="D1296">
            <v>1.6</v>
          </cell>
          <cell r="E1296">
            <v>43900</v>
          </cell>
          <cell r="F1296">
            <v>0.4</v>
          </cell>
          <cell r="G1296">
            <v>39130</v>
          </cell>
        </row>
        <row r="1297">
          <cell r="A1297" t="str">
            <v>51-9140</v>
          </cell>
          <cell r="B1297" t="str">
            <v>Semiconductor Processing Technicians</v>
          </cell>
          <cell r="C1297">
            <v>24020</v>
          </cell>
          <cell r="D1297">
            <v>2.2000000000000002</v>
          </cell>
          <cell r="E1297">
            <v>45910</v>
          </cell>
          <cell r="F1297">
            <v>0.6</v>
          </cell>
          <cell r="G1297">
            <v>39870</v>
          </cell>
        </row>
        <row r="1298">
          <cell r="A1298" t="str">
            <v>51-9141</v>
          </cell>
          <cell r="B1298" t="str">
            <v>Semiconductor Processing Technicians</v>
          </cell>
          <cell r="C1298">
            <v>24020</v>
          </cell>
          <cell r="D1298">
            <v>2.2000000000000002</v>
          </cell>
          <cell r="E1298">
            <v>45910</v>
          </cell>
          <cell r="F1298">
            <v>0.6</v>
          </cell>
          <cell r="G1298">
            <v>39870</v>
          </cell>
        </row>
        <row r="1299">
          <cell r="A1299" t="str">
            <v>51-9150</v>
          </cell>
          <cell r="B1299" t="str">
            <v>Photographic Process Workers and Processing Machine Operators</v>
          </cell>
          <cell r="C1299">
            <v>5740</v>
          </cell>
          <cell r="D1299">
            <v>6.2</v>
          </cell>
          <cell r="E1299">
            <v>40300</v>
          </cell>
          <cell r="F1299">
            <v>1.8</v>
          </cell>
          <cell r="G1299">
            <v>36590</v>
          </cell>
        </row>
        <row r="1300">
          <cell r="A1300" t="str">
            <v>51-9151</v>
          </cell>
          <cell r="B1300" t="str">
            <v>Photographic Process Workers and Processing Machine Operators</v>
          </cell>
          <cell r="C1300">
            <v>5740</v>
          </cell>
          <cell r="D1300">
            <v>6.2</v>
          </cell>
          <cell r="E1300">
            <v>40300</v>
          </cell>
          <cell r="F1300">
            <v>1.8</v>
          </cell>
          <cell r="G1300">
            <v>36590</v>
          </cell>
        </row>
        <row r="1301">
          <cell r="A1301" t="str">
            <v>51-9160</v>
          </cell>
          <cell r="B1301" t="str">
            <v>Computer Numerically Controlled Tool Operators and Programmers</v>
          </cell>
          <cell r="C1301">
            <v>183630</v>
          </cell>
          <cell r="D1301">
            <v>1.3</v>
          </cell>
          <cell r="E1301">
            <v>48500</v>
          </cell>
          <cell r="F1301">
            <v>0.3</v>
          </cell>
          <cell r="G1301">
            <v>47380</v>
          </cell>
        </row>
        <row r="1302">
          <cell r="A1302" t="str">
            <v>51-9161</v>
          </cell>
          <cell r="B1302" t="str">
            <v>Computer Numerically Controlled Tool Operators</v>
          </cell>
          <cell r="C1302">
            <v>157840</v>
          </cell>
          <cell r="D1302">
            <v>1.4</v>
          </cell>
          <cell r="E1302">
            <v>46240</v>
          </cell>
          <cell r="F1302">
            <v>0.3</v>
          </cell>
          <cell r="G1302">
            <v>46640</v>
          </cell>
        </row>
        <row r="1303">
          <cell r="A1303" t="str">
            <v>51-9162</v>
          </cell>
          <cell r="B1303" t="str">
            <v>Computer Numerically Controlled Tool Programmers</v>
          </cell>
          <cell r="C1303">
            <v>25800</v>
          </cell>
          <cell r="D1303">
            <v>1.9</v>
          </cell>
          <cell r="E1303">
            <v>62360</v>
          </cell>
          <cell r="F1303">
            <v>0.6</v>
          </cell>
          <cell r="G1303">
            <v>60780</v>
          </cell>
        </row>
        <row r="1304">
          <cell r="A1304" t="str">
            <v>51-9190</v>
          </cell>
          <cell r="B1304" t="str">
            <v>Miscellaneous Production Workers</v>
          </cell>
          <cell r="C1304">
            <v>591200</v>
          </cell>
          <cell r="D1304">
            <v>0.8</v>
          </cell>
          <cell r="E1304">
            <v>36920</v>
          </cell>
          <cell r="F1304">
            <v>0.3</v>
          </cell>
          <cell r="G1304">
            <v>35840</v>
          </cell>
        </row>
        <row r="1305">
          <cell r="A1305" t="str">
            <v>51-9191</v>
          </cell>
          <cell r="B1305" t="str">
            <v>Adhesive Bonding Machine Operators and Tenders</v>
          </cell>
          <cell r="C1305">
            <v>12510</v>
          </cell>
          <cell r="D1305">
            <v>4.8</v>
          </cell>
          <cell r="E1305">
            <v>38580</v>
          </cell>
          <cell r="F1305">
            <v>1.2</v>
          </cell>
          <cell r="G1305">
            <v>37630</v>
          </cell>
        </row>
        <row r="1306">
          <cell r="A1306" t="str">
            <v>51-9192</v>
          </cell>
          <cell r="B1306" t="str">
            <v>Cleaning, Washing, and Metal Pickling Equipment Operators and Tenders</v>
          </cell>
          <cell r="C1306">
            <v>13580</v>
          </cell>
          <cell r="D1306">
            <v>3.2</v>
          </cell>
          <cell r="E1306">
            <v>35820</v>
          </cell>
          <cell r="F1306">
            <v>0.8</v>
          </cell>
          <cell r="G1306">
            <v>35090</v>
          </cell>
        </row>
        <row r="1307">
          <cell r="A1307" t="str">
            <v>51-9193</v>
          </cell>
          <cell r="B1307" t="str">
            <v>Cooling and Freezing Equipment Operators and Tenders</v>
          </cell>
          <cell r="C1307">
            <v>7500</v>
          </cell>
          <cell r="D1307">
            <v>2.4</v>
          </cell>
          <cell r="E1307">
            <v>42910</v>
          </cell>
          <cell r="F1307">
            <v>0.5</v>
          </cell>
          <cell r="G1307">
            <v>40390</v>
          </cell>
        </row>
        <row r="1308">
          <cell r="A1308" t="str">
            <v>51-9194</v>
          </cell>
          <cell r="B1308" t="str">
            <v>Etchers and Engravers</v>
          </cell>
          <cell r="C1308">
            <v>7110</v>
          </cell>
          <cell r="D1308">
            <v>10.6</v>
          </cell>
          <cell r="E1308">
            <v>36970</v>
          </cell>
          <cell r="F1308">
            <v>1.7</v>
          </cell>
          <cell r="G1308">
            <v>36590</v>
          </cell>
        </row>
        <row r="1309">
          <cell r="A1309" t="str">
            <v>51-9195</v>
          </cell>
          <cell r="B1309" t="str">
            <v>Molders, Shapers, and Casters, Except Metal and Plastic</v>
          </cell>
          <cell r="C1309">
            <v>38420</v>
          </cell>
          <cell r="D1309">
            <v>2.7</v>
          </cell>
          <cell r="E1309">
            <v>39020</v>
          </cell>
          <cell r="F1309">
            <v>0.6</v>
          </cell>
          <cell r="G1309">
            <v>37500</v>
          </cell>
        </row>
        <row r="1310">
          <cell r="A1310" t="str">
            <v>51-9196</v>
          </cell>
          <cell r="B1310" t="str">
            <v>Paper Goods Machine Setters, Operators, and Tenders</v>
          </cell>
          <cell r="C1310">
            <v>87480</v>
          </cell>
          <cell r="D1310">
            <v>1.7</v>
          </cell>
          <cell r="E1310">
            <v>44180</v>
          </cell>
          <cell r="F1310">
            <v>0.5</v>
          </cell>
          <cell r="G1310">
            <v>44820</v>
          </cell>
        </row>
        <row r="1311">
          <cell r="A1311" t="str">
            <v>51-9197</v>
          </cell>
          <cell r="B1311" t="str">
            <v>Tire Builders</v>
          </cell>
          <cell r="C1311">
            <v>17240</v>
          </cell>
          <cell r="D1311">
            <v>2.2000000000000002</v>
          </cell>
          <cell r="E1311">
            <v>47840</v>
          </cell>
          <cell r="F1311">
            <v>0.6</v>
          </cell>
          <cell r="G1311">
            <v>47940</v>
          </cell>
        </row>
        <row r="1312">
          <cell r="A1312" t="str">
            <v>51-9198</v>
          </cell>
          <cell r="B1312" t="str">
            <v>Helpers--Production Workers</v>
          </cell>
          <cell r="C1312">
            <v>202860</v>
          </cell>
          <cell r="D1312">
            <v>1.3</v>
          </cell>
          <cell r="E1312">
            <v>32910</v>
          </cell>
          <cell r="F1312">
            <v>0.4</v>
          </cell>
          <cell r="G1312">
            <v>30000</v>
          </cell>
        </row>
        <row r="1313">
          <cell r="A1313" t="str">
            <v>51-9199</v>
          </cell>
          <cell r="B1313" t="str">
            <v>Production Workers, All Other</v>
          </cell>
          <cell r="C1313">
            <v>204500</v>
          </cell>
          <cell r="D1313">
            <v>1.6</v>
          </cell>
          <cell r="E1313">
            <v>36230</v>
          </cell>
          <cell r="F1313">
            <v>0.5</v>
          </cell>
          <cell r="G1313">
            <v>32930</v>
          </cell>
        </row>
        <row r="1314">
          <cell r="A1314" t="str">
            <v>53-0000</v>
          </cell>
          <cell r="B1314" t="str">
            <v>Transportation and Material Moving Occupations</v>
          </cell>
          <cell r="C1314">
            <v>12639920</v>
          </cell>
          <cell r="D1314">
            <v>0.2</v>
          </cell>
          <cell r="E1314">
            <v>41340</v>
          </cell>
          <cell r="F1314">
            <v>0.2</v>
          </cell>
          <cell r="G1314">
            <v>36860</v>
          </cell>
        </row>
        <row r="1315">
          <cell r="A1315" t="str">
            <v>53-1000</v>
          </cell>
          <cell r="B1315" t="str">
            <v>Supervisors of Transportation and Material Moving Workers</v>
          </cell>
          <cell r="C1315">
            <v>557850</v>
          </cell>
          <cell r="D1315">
            <v>0.5</v>
          </cell>
          <cell r="E1315">
            <v>58630</v>
          </cell>
          <cell r="F1315">
            <v>0.2</v>
          </cell>
          <cell r="G1315">
            <v>54830</v>
          </cell>
        </row>
        <row r="1316">
          <cell r="A1316" t="str">
            <v>53-1040</v>
          </cell>
          <cell r="B1316" t="str">
            <v>First-Line Supervisors of Transportation and Material Moving Workers</v>
          </cell>
          <cell r="C1316">
            <v>557850</v>
          </cell>
          <cell r="D1316">
            <v>0.5</v>
          </cell>
          <cell r="E1316">
            <v>58630</v>
          </cell>
          <cell r="F1316">
            <v>0.2</v>
          </cell>
          <cell r="G1316">
            <v>54830</v>
          </cell>
        </row>
        <row r="1317">
          <cell r="A1317" t="str">
            <v>53-1041</v>
          </cell>
          <cell r="B1317" t="str">
            <v>Aircraft Cargo Handling Supervisors</v>
          </cell>
          <cell r="C1317">
            <v>8590</v>
          </cell>
          <cell r="D1317">
            <v>3.4</v>
          </cell>
          <cell r="E1317">
            <v>62080</v>
          </cell>
          <cell r="F1317">
            <v>0.8</v>
          </cell>
          <cell r="G1317">
            <v>53540</v>
          </cell>
        </row>
        <row r="1318">
          <cell r="A1318" t="str">
            <v>53-1047</v>
          </cell>
          <cell r="B1318" t="str">
            <v>First-Line Supervisors of Transportation and Material Moving Workers, Except Aircraft Cargo Handling Supervisors</v>
          </cell>
          <cell r="C1318">
            <v>549260</v>
          </cell>
          <cell r="D1318">
            <v>0.5</v>
          </cell>
          <cell r="E1318">
            <v>58580</v>
          </cell>
          <cell r="F1318">
            <v>0.2</v>
          </cell>
          <cell r="G1318">
            <v>54850</v>
          </cell>
        </row>
        <row r="1319">
          <cell r="A1319" t="str">
            <v>53-2000</v>
          </cell>
          <cell r="B1319" t="str">
            <v>Air Transportation Workers</v>
          </cell>
          <cell r="C1319">
            <v>254820</v>
          </cell>
          <cell r="D1319">
            <v>0.6</v>
          </cell>
          <cell r="E1319">
            <v>119590</v>
          </cell>
          <cell r="F1319">
            <v>0.4</v>
          </cell>
          <cell r="G1319">
            <v>82170</v>
          </cell>
        </row>
        <row r="1320">
          <cell r="A1320" t="str">
            <v>53-2010</v>
          </cell>
          <cell r="B1320" t="str">
            <v>Aircraft Pilots and Flight Engineers</v>
          </cell>
          <cell r="C1320">
            <v>124080</v>
          </cell>
          <cell r="D1320">
            <v>1.1000000000000001</v>
          </cell>
          <cell r="E1320">
            <v>169540</v>
          </cell>
          <cell r="F1320">
            <v>0.5</v>
          </cell>
          <cell r="G1320">
            <v>134630</v>
          </cell>
        </row>
        <row r="1321">
          <cell r="A1321" t="str">
            <v>53-2011</v>
          </cell>
          <cell r="B1321" t="str">
            <v>Airline Pilots, Copilots, and Flight Engineers</v>
          </cell>
          <cell r="C1321">
            <v>81310</v>
          </cell>
          <cell r="D1321">
            <v>0.9</v>
          </cell>
          <cell r="E1321">
            <v>198190</v>
          </cell>
          <cell r="F1321">
            <v>0.4</v>
          </cell>
          <cell r="G1321">
            <v>202180</v>
          </cell>
        </row>
        <row r="1322">
          <cell r="A1322" t="str">
            <v>53-2012</v>
          </cell>
          <cell r="B1322" t="str">
            <v>Commercial Pilots</v>
          </cell>
          <cell r="C1322">
            <v>42770</v>
          </cell>
          <cell r="D1322">
            <v>2.6</v>
          </cell>
          <cell r="E1322">
            <v>115080</v>
          </cell>
          <cell r="F1322">
            <v>1.6</v>
          </cell>
          <cell r="G1322">
            <v>99640</v>
          </cell>
        </row>
        <row r="1323">
          <cell r="A1323" t="str">
            <v>53-2020</v>
          </cell>
          <cell r="B1323" t="str">
            <v>Air Traffic Controllers and Airfield Operations Specialists</v>
          </cell>
          <cell r="C1323">
            <v>33830</v>
          </cell>
          <cell r="D1323">
            <v>1.1000000000000001</v>
          </cell>
          <cell r="E1323">
            <v>100510</v>
          </cell>
          <cell r="F1323">
            <v>0.6</v>
          </cell>
          <cell r="G1323">
            <v>90600</v>
          </cell>
        </row>
        <row r="1324">
          <cell r="A1324" t="str">
            <v>53-2021</v>
          </cell>
          <cell r="B1324" t="str">
            <v>Air Traffic Controllers</v>
          </cell>
          <cell r="C1324">
            <v>21230</v>
          </cell>
          <cell r="D1324">
            <v>0.5</v>
          </cell>
          <cell r="E1324">
            <v>127920</v>
          </cell>
          <cell r="F1324">
            <v>0.2</v>
          </cell>
          <cell r="G1324">
            <v>129750</v>
          </cell>
        </row>
        <row r="1325">
          <cell r="A1325" t="str">
            <v>53-2022</v>
          </cell>
          <cell r="B1325" t="str">
            <v>Airfield Operations Specialists</v>
          </cell>
          <cell r="C1325">
            <v>12610</v>
          </cell>
          <cell r="D1325">
            <v>2.9</v>
          </cell>
          <cell r="E1325">
            <v>54360</v>
          </cell>
          <cell r="F1325">
            <v>0.9</v>
          </cell>
          <cell r="G1325">
            <v>47880</v>
          </cell>
        </row>
        <row r="1326">
          <cell r="A1326" t="str">
            <v>53-2030</v>
          </cell>
          <cell r="B1326" t="str">
            <v>Flight Attendants</v>
          </cell>
          <cell r="C1326">
            <v>96900</v>
          </cell>
          <cell r="D1326">
            <v>0.3</v>
          </cell>
          <cell r="E1326">
            <v>62280</v>
          </cell>
          <cell r="F1326">
            <v>0.2</v>
          </cell>
          <cell r="G1326">
            <v>61640</v>
          </cell>
        </row>
        <row r="1327">
          <cell r="A1327" t="str">
            <v>53-2031</v>
          </cell>
          <cell r="B1327" t="str">
            <v>Flight Attendants</v>
          </cell>
          <cell r="C1327">
            <v>96900</v>
          </cell>
          <cell r="D1327">
            <v>0.3</v>
          </cell>
          <cell r="E1327">
            <v>62280</v>
          </cell>
          <cell r="F1327">
            <v>0.2</v>
          </cell>
          <cell r="G1327">
            <v>61640</v>
          </cell>
        </row>
        <row r="1328">
          <cell r="A1328" t="str">
            <v>53-3000</v>
          </cell>
          <cell r="B1328" t="str">
            <v>Motor Vehicle Operators</v>
          </cell>
          <cell r="C1328">
            <v>4147650</v>
          </cell>
          <cell r="D1328">
            <v>0.4</v>
          </cell>
          <cell r="E1328">
            <v>44330</v>
          </cell>
          <cell r="F1328">
            <v>0.3</v>
          </cell>
          <cell r="G1328">
            <v>42670</v>
          </cell>
        </row>
        <row r="1329">
          <cell r="A1329" t="str">
            <v>53-3010</v>
          </cell>
          <cell r="B1329" t="str">
            <v>Ambulance Drivers and Attendants, Except Emergency Medical Technicians</v>
          </cell>
          <cell r="C1329">
            <v>11710</v>
          </cell>
          <cell r="D1329">
            <v>5.7</v>
          </cell>
          <cell r="E1329">
            <v>31060</v>
          </cell>
          <cell r="F1329">
            <v>2.2000000000000002</v>
          </cell>
          <cell r="G1329">
            <v>29120</v>
          </cell>
        </row>
        <row r="1330">
          <cell r="A1330" t="str">
            <v>53-3011</v>
          </cell>
          <cell r="B1330" t="str">
            <v>Ambulance Drivers and Attendants, Except Emergency Medical Technicians</v>
          </cell>
          <cell r="C1330">
            <v>11710</v>
          </cell>
          <cell r="D1330">
            <v>5.7</v>
          </cell>
          <cell r="E1330">
            <v>31060</v>
          </cell>
          <cell r="F1330">
            <v>2.2000000000000002</v>
          </cell>
          <cell r="G1330">
            <v>29120</v>
          </cell>
        </row>
        <row r="1331">
          <cell r="A1331" t="str">
            <v>53-3030</v>
          </cell>
          <cell r="B1331" t="str">
            <v>Driver/Sales Workers and Truck Drivers</v>
          </cell>
          <cell r="C1331">
            <v>3390490</v>
          </cell>
          <cell r="D1331">
            <v>0.5</v>
          </cell>
          <cell r="E1331">
            <v>45460</v>
          </cell>
          <cell r="F1331">
            <v>0.3</v>
          </cell>
          <cell r="G1331">
            <v>45580</v>
          </cell>
        </row>
        <row r="1332">
          <cell r="A1332" t="str">
            <v>53-3031</v>
          </cell>
          <cell r="B1332" t="str">
            <v>Driver/Sales Workers</v>
          </cell>
          <cell r="C1332">
            <v>477020</v>
          </cell>
          <cell r="D1332">
            <v>2.4</v>
          </cell>
          <cell r="E1332">
            <v>31970</v>
          </cell>
          <cell r="F1332">
            <v>0.8</v>
          </cell>
          <cell r="G1332">
            <v>29280</v>
          </cell>
        </row>
        <row r="1333">
          <cell r="A1333" t="str">
            <v>53-3032</v>
          </cell>
          <cell r="B1333" t="str">
            <v>Heavy and Tractor-Trailer Truck Drivers</v>
          </cell>
          <cell r="C1333">
            <v>1903420</v>
          </cell>
          <cell r="D1333">
            <v>0.5</v>
          </cell>
          <cell r="E1333">
            <v>50340</v>
          </cell>
          <cell r="F1333">
            <v>0.3</v>
          </cell>
          <cell r="G1333">
            <v>48310</v>
          </cell>
        </row>
        <row r="1334">
          <cell r="A1334" t="str">
            <v>53-3033</v>
          </cell>
          <cell r="B1334" t="str">
            <v>Light Truck Drivers</v>
          </cell>
          <cell r="C1334">
            <v>1010040</v>
          </cell>
          <cell r="D1334">
            <v>0.7</v>
          </cell>
          <cell r="E1334">
            <v>42630</v>
          </cell>
          <cell r="F1334">
            <v>0.3</v>
          </cell>
          <cell r="G1334">
            <v>38280</v>
          </cell>
        </row>
        <row r="1335">
          <cell r="A1335" t="str">
            <v>53-3050</v>
          </cell>
          <cell r="B1335" t="str">
            <v>Passenger Vehicle Drivers</v>
          </cell>
          <cell r="C1335">
            <v>696760</v>
          </cell>
          <cell r="D1335">
            <v>0.7</v>
          </cell>
          <cell r="E1335">
            <v>39640</v>
          </cell>
          <cell r="F1335">
            <v>0.4</v>
          </cell>
          <cell r="G1335">
            <v>37540</v>
          </cell>
        </row>
        <row r="1336">
          <cell r="A1336" t="str">
            <v>53-3051</v>
          </cell>
          <cell r="B1336" t="str">
            <v>Bus Drivers, School</v>
          </cell>
          <cell r="C1336">
            <v>361420</v>
          </cell>
          <cell r="D1336">
            <v>1.2</v>
          </cell>
          <cell r="E1336">
            <v>38750</v>
          </cell>
          <cell r="F1336">
            <v>0.7</v>
          </cell>
          <cell r="G1336">
            <v>37910</v>
          </cell>
        </row>
        <row r="1337">
          <cell r="A1337" t="str">
            <v>53-3052</v>
          </cell>
          <cell r="B1337" t="str">
            <v>Bus Drivers, Transit and Intercity</v>
          </cell>
          <cell r="C1337">
            <v>145720</v>
          </cell>
          <cell r="D1337">
            <v>1.2</v>
          </cell>
          <cell r="E1337">
            <v>51310</v>
          </cell>
          <cell r="F1337">
            <v>0.4</v>
          </cell>
          <cell r="G1337">
            <v>48620</v>
          </cell>
        </row>
        <row r="1338">
          <cell r="A1338" t="str">
            <v>53-3053</v>
          </cell>
          <cell r="B1338" t="str">
            <v>Shuttle Drivers and Chauffeurs</v>
          </cell>
          <cell r="C1338">
            <v>175660</v>
          </cell>
          <cell r="D1338">
            <v>1.2</v>
          </cell>
          <cell r="E1338">
            <v>32570</v>
          </cell>
          <cell r="F1338">
            <v>0.3</v>
          </cell>
          <cell r="G1338">
            <v>30000</v>
          </cell>
        </row>
        <row r="1339">
          <cell r="A1339" t="str">
            <v>53-3054</v>
          </cell>
          <cell r="B1339" t="str">
            <v>Taxi Drivers</v>
          </cell>
          <cell r="C1339">
            <v>13950</v>
          </cell>
          <cell r="D1339">
            <v>4</v>
          </cell>
          <cell r="E1339">
            <v>30050</v>
          </cell>
          <cell r="F1339">
            <v>1.6</v>
          </cell>
          <cell r="G1339">
            <v>29310</v>
          </cell>
        </row>
        <row r="1340">
          <cell r="A1340" t="str">
            <v>53-3090</v>
          </cell>
          <cell r="B1340" t="str">
            <v>Miscellaneous Motor Vehicle Operators</v>
          </cell>
          <cell r="C1340">
            <v>48690</v>
          </cell>
          <cell r="D1340">
            <v>3.3</v>
          </cell>
          <cell r="E1340">
            <v>36410</v>
          </cell>
          <cell r="F1340">
            <v>1.7</v>
          </cell>
          <cell r="G1340">
            <v>30600</v>
          </cell>
        </row>
        <row r="1341">
          <cell r="A1341" t="str">
            <v>53-3099</v>
          </cell>
          <cell r="B1341" t="str">
            <v>Motor Vehicle Operators, All Other</v>
          </cell>
          <cell r="C1341">
            <v>48690</v>
          </cell>
          <cell r="D1341">
            <v>3.3</v>
          </cell>
          <cell r="E1341">
            <v>36410</v>
          </cell>
          <cell r="F1341">
            <v>1.7</v>
          </cell>
          <cell r="G1341">
            <v>30600</v>
          </cell>
        </row>
        <row r="1342">
          <cell r="A1342" t="str">
            <v>53-4000</v>
          </cell>
          <cell r="B1342" t="str">
            <v>Rail Transportation Workers</v>
          </cell>
          <cell r="C1342">
            <v>119120</v>
          </cell>
          <cell r="D1342">
            <v>0.4</v>
          </cell>
          <cell r="E1342">
            <v>68330</v>
          </cell>
          <cell r="F1342">
            <v>0.4</v>
          </cell>
          <cell r="G1342">
            <v>64170</v>
          </cell>
        </row>
        <row r="1343">
          <cell r="A1343" t="str">
            <v>53-4010</v>
          </cell>
          <cell r="B1343" t="str">
            <v>Locomotive Engineers and Operators</v>
          </cell>
          <cell r="C1343">
            <v>43440</v>
          </cell>
          <cell r="D1343">
            <v>1.3</v>
          </cell>
          <cell r="E1343">
            <v>71410</v>
          </cell>
          <cell r="F1343">
            <v>0.9</v>
          </cell>
          <cell r="G1343">
            <v>78680</v>
          </cell>
        </row>
        <row r="1344">
          <cell r="A1344" t="str">
            <v>53-4011</v>
          </cell>
          <cell r="B1344" t="str">
            <v>Locomotive Engineers</v>
          </cell>
          <cell r="C1344">
            <v>38980</v>
          </cell>
          <cell r="D1344">
            <v>1.3</v>
          </cell>
          <cell r="E1344">
            <v>72940</v>
          </cell>
          <cell r="F1344">
            <v>1</v>
          </cell>
          <cell r="G1344">
            <v>79740</v>
          </cell>
        </row>
        <row r="1345">
          <cell r="A1345" t="str">
            <v>53-4013</v>
          </cell>
          <cell r="B1345" t="str">
            <v>Rail Yard Engineers, Dinkey Operators, and Hostlers</v>
          </cell>
          <cell r="C1345">
            <v>4460</v>
          </cell>
          <cell r="D1345">
            <v>4.5</v>
          </cell>
          <cell r="E1345">
            <v>58070</v>
          </cell>
          <cell r="F1345">
            <v>1</v>
          </cell>
          <cell r="G1345">
            <v>61090</v>
          </cell>
        </row>
        <row r="1346">
          <cell r="A1346" t="str">
            <v>53-4020</v>
          </cell>
          <cell r="B1346" t="str">
            <v>Railroad Brake, Signal, and Switch Operators and Locomotive Firers</v>
          </cell>
          <cell r="C1346">
            <v>16200</v>
          </cell>
          <cell r="D1346">
            <v>1.2</v>
          </cell>
          <cell r="E1346">
            <v>63050</v>
          </cell>
          <cell r="F1346">
            <v>0.5</v>
          </cell>
          <cell r="G1346">
            <v>63840</v>
          </cell>
        </row>
        <row r="1347">
          <cell r="A1347" t="str">
            <v>53-4022</v>
          </cell>
          <cell r="B1347" t="str">
            <v>Railroad Brake, Signal, and Switch Operators and Locomotive Firers</v>
          </cell>
          <cell r="C1347">
            <v>16200</v>
          </cell>
          <cell r="D1347">
            <v>1.2</v>
          </cell>
          <cell r="E1347">
            <v>63050</v>
          </cell>
          <cell r="F1347">
            <v>0.5</v>
          </cell>
          <cell r="G1347">
            <v>63840</v>
          </cell>
        </row>
        <row r="1348">
          <cell r="A1348" t="str">
            <v>53-4030</v>
          </cell>
          <cell r="B1348" t="str">
            <v>Railroad Conductors and Yardmasters</v>
          </cell>
          <cell r="C1348">
            <v>48030</v>
          </cell>
          <cell r="D1348">
            <v>0.4</v>
          </cell>
          <cell r="E1348">
            <v>66990</v>
          </cell>
          <cell r="F1348">
            <v>0.2</v>
          </cell>
          <cell r="G1348">
            <v>63960</v>
          </cell>
        </row>
        <row r="1349">
          <cell r="A1349" t="str">
            <v>53-4031</v>
          </cell>
          <cell r="B1349" t="str">
            <v>Railroad Conductors and Yardmasters</v>
          </cell>
          <cell r="C1349">
            <v>48030</v>
          </cell>
          <cell r="D1349">
            <v>0.4</v>
          </cell>
          <cell r="E1349">
            <v>66990</v>
          </cell>
          <cell r="F1349">
            <v>0.2</v>
          </cell>
          <cell r="G1349">
            <v>63960</v>
          </cell>
        </row>
        <row r="1350">
          <cell r="A1350" t="str">
            <v>53-4040</v>
          </cell>
          <cell r="B1350" t="str">
            <v>Subway and Streetcar Operators</v>
          </cell>
          <cell r="C1350">
            <v>10310</v>
          </cell>
          <cell r="D1350">
            <v>1.1000000000000001</v>
          </cell>
          <cell r="E1350">
            <v>71520</v>
          </cell>
          <cell r="F1350">
            <v>0.6</v>
          </cell>
          <cell r="G1350">
            <v>81180</v>
          </cell>
        </row>
        <row r="1351">
          <cell r="A1351" t="str">
            <v>53-4041</v>
          </cell>
          <cell r="B1351" t="str">
            <v>Subway and Streetcar Operators</v>
          </cell>
          <cell r="C1351">
            <v>10310</v>
          </cell>
          <cell r="D1351">
            <v>1.1000000000000001</v>
          </cell>
          <cell r="E1351">
            <v>71520</v>
          </cell>
          <cell r="F1351">
            <v>0.6</v>
          </cell>
          <cell r="G1351">
            <v>81180</v>
          </cell>
        </row>
        <row r="1352">
          <cell r="A1352" t="str">
            <v>53-4090</v>
          </cell>
          <cell r="B1352" t="str">
            <v>Miscellaneous Rail Transportation Workers</v>
          </cell>
          <cell r="C1352">
            <v>1140</v>
          </cell>
          <cell r="D1352">
            <v>12.3</v>
          </cell>
          <cell r="E1352">
            <v>54140</v>
          </cell>
          <cell r="F1352">
            <v>3.4</v>
          </cell>
          <cell r="G1352">
            <v>47590</v>
          </cell>
        </row>
        <row r="1353">
          <cell r="A1353" t="str">
            <v>53-4099</v>
          </cell>
          <cell r="B1353" t="str">
            <v>Rail Transportation Workers, All Other</v>
          </cell>
          <cell r="C1353">
            <v>1140</v>
          </cell>
          <cell r="D1353">
            <v>12.3</v>
          </cell>
          <cell r="E1353">
            <v>54140</v>
          </cell>
          <cell r="F1353">
            <v>3.4</v>
          </cell>
          <cell r="G1353">
            <v>47590</v>
          </cell>
        </row>
        <row r="1354">
          <cell r="A1354" t="str">
            <v>53-5000</v>
          </cell>
          <cell r="B1354" t="str">
            <v>Water Transportation Workers</v>
          </cell>
          <cell r="C1354">
            <v>70480</v>
          </cell>
          <cell r="D1354">
            <v>2.5</v>
          </cell>
          <cell r="E1354">
            <v>80780</v>
          </cell>
          <cell r="F1354">
            <v>1.7</v>
          </cell>
          <cell r="G1354">
            <v>62760</v>
          </cell>
        </row>
        <row r="1355">
          <cell r="A1355" t="str">
            <v>53-5010</v>
          </cell>
          <cell r="B1355" t="str">
            <v>Sailors and Marine Oilers</v>
          </cell>
          <cell r="C1355">
            <v>26610</v>
          </cell>
          <cell r="D1355">
            <v>3.7</v>
          </cell>
          <cell r="E1355">
            <v>57800</v>
          </cell>
          <cell r="F1355">
            <v>2.7</v>
          </cell>
          <cell r="G1355">
            <v>46720</v>
          </cell>
        </row>
        <row r="1356">
          <cell r="A1356" t="str">
            <v>53-5011</v>
          </cell>
          <cell r="B1356" t="str">
            <v>Sailors and Marine Oilers</v>
          </cell>
          <cell r="C1356">
            <v>26610</v>
          </cell>
          <cell r="D1356">
            <v>3.7</v>
          </cell>
          <cell r="E1356">
            <v>57800</v>
          </cell>
          <cell r="F1356">
            <v>2.7</v>
          </cell>
          <cell r="G1356">
            <v>46720</v>
          </cell>
        </row>
        <row r="1357">
          <cell r="A1357" t="str">
            <v>53-5020</v>
          </cell>
          <cell r="B1357" t="str">
            <v>Ship and Boat Captains and Operators</v>
          </cell>
          <cell r="C1357">
            <v>36220</v>
          </cell>
          <cell r="D1357">
            <v>3.2</v>
          </cell>
          <cell r="E1357">
            <v>94250</v>
          </cell>
          <cell r="F1357">
            <v>1.8</v>
          </cell>
          <cell r="G1357">
            <v>80010</v>
          </cell>
        </row>
        <row r="1358">
          <cell r="A1358" t="str">
            <v>53-5021</v>
          </cell>
          <cell r="B1358" t="str">
            <v>Captains, Mates, and Pilots of Water Vessels</v>
          </cell>
          <cell r="C1358">
            <v>33490</v>
          </cell>
          <cell r="D1358">
            <v>3.4</v>
          </cell>
          <cell r="E1358">
            <v>98330</v>
          </cell>
          <cell r="F1358">
            <v>1.8</v>
          </cell>
          <cell r="G1358">
            <v>81640</v>
          </cell>
        </row>
        <row r="1359">
          <cell r="A1359" t="str">
            <v>53-5022</v>
          </cell>
          <cell r="B1359" t="str">
            <v>Motorboat Operators</v>
          </cell>
          <cell r="C1359">
            <v>2740</v>
          </cell>
          <cell r="D1359">
            <v>11</v>
          </cell>
          <cell r="E1359">
            <v>44410</v>
          </cell>
          <cell r="F1359">
            <v>2.8</v>
          </cell>
          <cell r="G1359">
            <v>38670</v>
          </cell>
        </row>
        <row r="1360">
          <cell r="A1360" t="str">
            <v>53-5030</v>
          </cell>
          <cell r="B1360" t="str">
            <v>Ship Engineers</v>
          </cell>
          <cell r="C1360">
            <v>7650</v>
          </cell>
          <cell r="D1360">
            <v>4.2</v>
          </cell>
          <cell r="E1360">
            <v>96910</v>
          </cell>
          <cell r="F1360">
            <v>2.2000000000000002</v>
          </cell>
          <cell r="G1360">
            <v>82410</v>
          </cell>
        </row>
        <row r="1361">
          <cell r="A1361" t="str">
            <v>53-5031</v>
          </cell>
          <cell r="B1361" t="str">
            <v>Ship Engineers</v>
          </cell>
          <cell r="C1361">
            <v>7650</v>
          </cell>
          <cell r="D1361">
            <v>4.2</v>
          </cell>
          <cell r="E1361">
            <v>96910</v>
          </cell>
          <cell r="F1361">
            <v>2.2000000000000002</v>
          </cell>
          <cell r="G1361">
            <v>82410</v>
          </cell>
        </row>
        <row r="1362">
          <cell r="A1362" t="str">
            <v>53-6000</v>
          </cell>
          <cell r="B1362" t="str">
            <v>Other Transportation Workers</v>
          </cell>
          <cell r="C1362">
            <v>286680</v>
          </cell>
          <cell r="D1362">
            <v>1.6</v>
          </cell>
          <cell r="E1362">
            <v>35900</v>
          </cell>
          <cell r="F1362">
            <v>0.5</v>
          </cell>
          <cell r="G1362">
            <v>29940</v>
          </cell>
        </row>
        <row r="1363">
          <cell r="A1363" t="str">
            <v>53-6010</v>
          </cell>
          <cell r="B1363" t="str">
            <v>Bridge and Lock Tenders</v>
          </cell>
          <cell r="C1363">
            <v>4040</v>
          </cell>
          <cell r="D1363">
            <v>5</v>
          </cell>
          <cell r="E1363">
            <v>44760</v>
          </cell>
          <cell r="F1363">
            <v>1.6</v>
          </cell>
          <cell r="G1363">
            <v>45390</v>
          </cell>
        </row>
        <row r="1364">
          <cell r="A1364" t="str">
            <v>53-6011</v>
          </cell>
          <cell r="B1364" t="str">
            <v>Bridge and Lock Tenders</v>
          </cell>
          <cell r="C1364">
            <v>4040</v>
          </cell>
          <cell r="D1364">
            <v>5</v>
          </cell>
          <cell r="E1364">
            <v>44760</v>
          </cell>
          <cell r="F1364">
            <v>1.6</v>
          </cell>
          <cell r="G1364">
            <v>45390</v>
          </cell>
        </row>
        <row r="1365">
          <cell r="A1365" t="str">
            <v>53-6020</v>
          </cell>
          <cell r="B1365" t="str">
            <v>Parking Attendants</v>
          </cell>
          <cell r="C1365">
            <v>91160</v>
          </cell>
          <cell r="D1365">
            <v>3.6</v>
          </cell>
          <cell r="E1365">
            <v>29210</v>
          </cell>
          <cell r="F1365">
            <v>0.9</v>
          </cell>
          <cell r="G1365">
            <v>29240</v>
          </cell>
        </row>
        <row r="1366">
          <cell r="A1366" t="str">
            <v>53-6021</v>
          </cell>
          <cell r="B1366" t="str">
            <v>Parking Attendants</v>
          </cell>
          <cell r="C1366">
            <v>91160</v>
          </cell>
          <cell r="D1366">
            <v>3.6</v>
          </cell>
          <cell r="E1366">
            <v>29210</v>
          </cell>
          <cell r="F1366">
            <v>0.9</v>
          </cell>
          <cell r="G1366">
            <v>29240</v>
          </cell>
        </row>
        <row r="1367">
          <cell r="A1367" t="str">
            <v>53-6030</v>
          </cell>
          <cell r="B1367" t="str">
            <v>Transportation Service Attendants</v>
          </cell>
          <cell r="C1367">
            <v>123660</v>
          </cell>
          <cell r="D1367">
            <v>1.7</v>
          </cell>
          <cell r="E1367">
            <v>30810</v>
          </cell>
          <cell r="F1367">
            <v>0.4</v>
          </cell>
          <cell r="G1367">
            <v>29570</v>
          </cell>
        </row>
        <row r="1368">
          <cell r="A1368" t="str">
            <v>53-6031</v>
          </cell>
          <cell r="B1368" t="str">
            <v>Automotive and Watercraft Service Attendants</v>
          </cell>
          <cell r="C1368">
            <v>111480</v>
          </cell>
          <cell r="D1368">
            <v>1.7</v>
          </cell>
          <cell r="E1368">
            <v>29960</v>
          </cell>
          <cell r="F1368">
            <v>0.3</v>
          </cell>
          <cell r="G1368">
            <v>29330</v>
          </cell>
        </row>
        <row r="1369">
          <cell r="A1369" t="str">
            <v>53-6032</v>
          </cell>
          <cell r="B1369" t="str">
            <v>Aircraft Service Attendants</v>
          </cell>
          <cell r="C1369">
            <v>12170</v>
          </cell>
          <cell r="D1369">
            <v>6.7</v>
          </cell>
          <cell r="E1369">
            <v>38640</v>
          </cell>
          <cell r="F1369">
            <v>1.4</v>
          </cell>
          <cell r="G1369">
            <v>36390</v>
          </cell>
        </row>
        <row r="1370">
          <cell r="A1370" t="str">
            <v>53-6040</v>
          </cell>
          <cell r="B1370" t="str">
            <v>Traffic Technicians</v>
          </cell>
          <cell r="C1370">
            <v>7770</v>
          </cell>
          <cell r="D1370">
            <v>6.3</v>
          </cell>
          <cell r="E1370">
            <v>53210</v>
          </cell>
          <cell r="F1370">
            <v>2</v>
          </cell>
          <cell r="G1370">
            <v>48610</v>
          </cell>
        </row>
        <row r="1371">
          <cell r="A1371" t="str">
            <v>53-6041</v>
          </cell>
          <cell r="B1371" t="str">
            <v>Traffic Technicians</v>
          </cell>
          <cell r="C1371">
            <v>7770</v>
          </cell>
          <cell r="D1371">
            <v>6.3</v>
          </cell>
          <cell r="E1371">
            <v>53210</v>
          </cell>
          <cell r="F1371">
            <v>2</v>
          </cell>
          <cell r="G1371">
            <v>48610</v>
          </cell>
        </row>
        <row r="1372">
          <cell r="A1372" t="str">
            <v>53-6050</v>
          </cell>
          <cell r="B1372" t="str">
            <v>Transportation Inspectors</v>
          </cell>
          <cell r="C1372">
            <v>25070</v>
          </cell>
          <cell r="D1372">
            <v>2</v>
          </cell>
          <cell r="E1372">
            <v>77620</v>
          </cell>
          <cell r="F1372">
            <v>1.1000000000000001</v>
          </cell>
          <cell r="G1372">
            <v>79770</v>
          </cell>
        </row>
        <row r="1373">
          <cell r="A1373" t="str">
            <v>53-6051</v>
          </cell>
          <cell r="B1373" t="str">
            <v>Transportation Inspectors</v>
          </cell>
          <cell r="C1373">
            <v>25070</v>
          </cell>
          <cell r="D1373">
            <v>2</v>
          </cell>
          <cell r="E1373">
            <v>77620</v>
          </cell>
          <cell r="F1373">
            <v>1.1000000000000001</v>
          </cell>
          <cell r="G1373">
            <v>79770</v>
          </cell>
        </row>
        <row r="1374">
          <cell r="A1374" t="str">
            <v>53-6060</v>
          </cell>
          <cell r="B1374" t="str">
            <v>Passenger Attendants</v>
          </cell>
          <cell r="C1374">
            <v>21240</v>
          </cell>
          <cell r="D1374">
            <v>7.1</v>
          </cell>
          <cell r="E1374">
            <v>34380</v>
          </cell>
          <cell r="F1374">
            <v>1.6</v>
          </cell>
          <cell r="G1374">
            <v>30470</v>
          </cell>
        </row>
        <row r="1375">
          <cell r="A1375" t="str">
            <v>53-6061</v>
          </cell>
          <cell r="B1375" t="str">
            <v>Passenger Attendants</v>
          </cell>
          <cell r="C1375">
            <v>21240</v>
          </cell>
          <cell r="D1375">
            <v>7.1</v>
          </cell>
          <cell r="E1375">
            <v>34380</v>
          </cell>
          <cell r="F1375">
            <v>1.6</v>
          </cell>
          <cell r="G1375">
            <v>30470</v>
          </cell>
        </row>
        <row r="1376">
          <cell r="A1376" t="str">
            <v>53-6090</v>
          </cell>
          <cell r="B1376" t="str">
            <v>Miscellaneous Transportation Workers</v>
          </cell>
          <cell r="C1376">
            <v>13750</v>
          </cell>
          <cell r="D1376">
            <v>4.7</v>
          </cell>
          <cell r="E1376">
            <v>39990</v>
          </cell>
          <cell r="F1376">
            <v>1.3</v>
          </cell>
          <cell r="G1376">
            <v>36880</v>
          </cell>
        </row>
        <row r="1377">
          <cell r="A1377" t="str">
            <v>53-6099</v>
          </cell>
          <cell r="B1377" t="str">
            <v>Transportation Workers, All Other</v>
          </cell>
          <cell r="C1377">
            <v>13750</v>
          </cell>
          <cell r="D1377">
            <v>4.7</v>
          </cell>
          <cell r="E1377">
            <v>39990</v>
          </cell>
          <cell r="F1377">
            <v>1.3</v>
          </cell>
          <cell r="G1377">
            <v>36880</v>
          </cell>
        </row>
        <row r="1378">
          <cell r="A1378" t="str">
            <v>53-7000</v>
          </cell>
          <cell r="B1378" t="str">
            <v>Material Moving Workers</v>
          </cell>
          <cell r="C1378">
            <v>7203320</v>
          </cell>
          <cell r="D1378">
            <v>0.3</v>
          </cell>
          <cell r="E1378">
            <v>34900</v>
          </cell>
          <cell r="F1378">
            <v>0.2</v>
          </cell>
          <cell r="G1378">
            <v>31010</v>
          </cell>
        </row>
        <row r="1379">
          <cell r="A1379" t="str">
            <v>53-7010</v>
          </cell>
          <cell r="B1379" t="str">
            <v>Conveyor Operators and Tenders</v>
          </cell>
          <cell r="C1379">
            <v>28650</v>
          </cell>
          <cell r="D1379">
            <v>2.8</v>
          </cell>
          <cell r="E1379">
            <v>37010</v>
          </cell>
          <cell r="F1379">
            <v>0.5</v>
          </cell>
          <cell r="G1379">
            <v>36420</v>
          </cell>
        </row>
        <row r="1380">
          <cell r="A1380" t="str">
            <v>53-7011</v>
          </cell>
          <cell r="B1380" t="str">
            <v>Conveyor Operators and Tenders</v>
          </cell>
          <cell r="C1380">
            <v>28650</v>
          </cell>
          <cell r="D1380">
            <v>2.8</v>
          </cell>
          <cell r="E1380">
            <v>37010</v>
          </cell>
          <cell r="F1380">
            <v>0.5</v>
          </cell>
          <cell r="G1380">
            <v>36420</v>
          </cell>
        </row>
        <row r="1381">
          <cell r="A1381" t="str">
            <v>53-7020</v>
          </cell>
          <cell r="B1381" t="str">
            <v>Crane and Tower Operators</v>
          </cell>
          <cell r="C1381">
            <v>43400</v>
          </cell>
          <cell r="D1381">
            <v>3.7</v>
          </cell>
          <cell r="E1381">
            <v>65270</v>
          </cell>
          <cell r="F1381">
            <v>1.4</v>
          </cell>
          <cell r="G1381">
            <v>62240</v>
          </cell>
        </row>
        <row r="1382">
          <cell r="A1382" t="str">
            <v>53-7021</v>
          </cell>
          <cell r="B1382" t="str">
            <v>Crane and Tower Operators</v>
          </cell>
          <cell r="C1382">
            <v>43400</v>
          </cell>
          <cell r="D1382">
            <v>3.7</v>
          </cell>
          <cell r="E1382">
            <v>65270</v>
          </cell>
          <cell r="F1382">
            <v>1.4</v>
          </cell>
          <cell r="G1382">
            <v>62240</v>
          </cell>
        </row>
        <row r="1383">
          <cell r="A1383" t="str">
            <v>53-7030</v>
          </cell>
          <cell r="B1383" t="str">
            <v>Dredge Operators</v>
          </cell>
          <cell r="C1383">
            <v>1650</v>
          </cell>
          <cell r="D1383">
            <v>10.1</v>
          </cell>
          <cell r="E1383">
            <v>50530</v>
          </cell>
          <cell r="F1383">
            <v>2.8</v>
          </cell>
          <cell r="G1383">
            <v>46210</v>
          </cell>
        </row>
        <row r="1384">
          <cell r="A1384" t="str">
            <v>53-7031</v>
          </cell>
          <cell r="B1384" t="str">
            <v>Dredge Operators</v>
          </cell>
          <cell r="C1384">
            <v>1650</v>
          </cell>
          <cell r="D1384">
            <v>10.1</v>
          </cell>
          <cell r="E1384">
            <v>50530</v>
          </cell>
          <cell r="F1384">
            <v>2.8</v>
          </cell>
          <cell r="G1384">
            <v>46210</v>
          </cell>
        </row>
        <row r="1385">
          <cell r="A1385" t="str">
            <v>53-7040</v>
          </cell>
          <cell r="B1385" t="str">
            <v>Hoist and Winch Operators</v>
          </cell>
          <cell r="C1385">
            <v>2610</v>
          </cell>
          <cell r="D1385">
            <v>6.4</v>
          </cell>
          <cell r="E1385">
            <v>58450</v>
          </cell>
          <cell r="F1385">
            <v>1.8</v>
          </cell>
          <cell r="G1385">
            <v>52300</v>
          </cell>
        </row>
        <row r="1386">
          <cell r="A1386" t="str">
            <v>53-7041</v>
          </cell>
          <cell r="B1386" t="str">
            <v>Hoist and Winch Operators</v>
          </cell>
          <cell r="C1386">
            <v>2610</v>
          </cell>
          <cell r="D1386">
            <v>6.4</v>
          </cell>
          <cell r="E1386">
            <v>58450</v>
          </cell>
          <cell r="F1386">
            <v>1.8</v>
          </cell>
          <cell r="G1386">
            <v>52300</v>
          </cell>
        </row>
        <row r="1387">
          <cell r="A1387" t="str">
            <v>53-7050</v>
          </cell>
          <cell r="B1387" t="str">
            <v>Industrial Truck and Tractor Operators</v>
          </cell>
          <cell r="C1387">
            <v>758290</v>
          </cell>
          <cell r="D1387">
            <v>0.7</v>
          </cell>
          <cell r="E1387">
            <v>40950</v>
          </cell>
          <cell r="F1387">
            <v>0.2</v>
          </cell>
          <cell r="G1387">
            <v>38380</v>
          </cell>
        </row>
        <row r="1388">
          <cell r="A1388" t="str">
            <v>53-7051</v>
          </cell>
          <cell r="B1388" t="str">
            <v>Industrial Truck and Tractor Operators</v>
          </cell>
          <cell r="C1388">
            <v>758290</v>
          </cell>
          <cell r="D1388">
            <v>0.7</v>
          </cell>
          <cell r="E1388">
            <v>40950</v>
          </cell>
          <cell r="F1388">
            <v>0.2</v>
          </cell>
          <cell r="G1388">
            <v>38380</v>
          </cell>
        </row>
        <row r="1389">
          <cell r="A1389" t="str">
            <v>53-7060</v>
          </cell>
          <cell r="B1389" t="str">
            <v>Laborers and Material Movers</v>
          </cell>
          <cell r="C1389">
            <v>6178560</v>
          </cell>
          <cell r="D1389">
            <v>0.3</v>
          </cell>
          <cell r="E1389">
            <v>33570</v>
          </cell>
          <cell r="F1389">
            <v>0.2</v>
          </cell>
          <cell r="G1389">
            <v>30320</v>
          </cell>
        </row>
        <row r="1390">
          <cell r="A1390" t="str">
            <v>53-7061</v>
          </cell>
          <cell r="B1390" t="str">
            <v>Cleaners of Vehicles and Equipment</v>
          </cell>
          <cell r="C1390">
            <v>351960</v>
          </cell>
          <cell r="D1390">
            <v>0.7</v>
          </cell>
          <cell r="E1390">
            <v>30550</v>
          </cell>
          <cell r="F1390">
            <v>0.3</v>
          </cell>
          <cell r="G1390">
            <v>29280</v>
          </cell>
        </row>
        <row r="1391">
          <cell r="A1391" t="str">
            <v>53-7062</v>
          </cell>
          <cell r="B1391" t="str">
            <v>Laborers and Freight, Stock, and Material Movers, Hand</v>
          </cell>
          <cell r="C1391">
            <v>2729010</v>
          </cell>
          <cell r="D1391">
            <v>0.6</v>
          </cell>
          <cell r="E1391">
            <v>34950</v>
          </cell>
          <cell r="F1391">
            <v>0.2</v>
          </cell>
          <cell r="G1391">
            <v>31230</v>
          </cell>
        </row>
        <row r="1392">
          <cell r="A1392" t="str">
            <v>53-7063</v>
          </cell>
          <cell r="B1392" t="str">
            <v>Machine Feeders and Offbearers</v>
          </cell>
          <cell r="C1392">
            <v>60880</v>
          </cell>
          <cell r="D1392">
            <v>2.4</v>
          </cell>
          <cell r="E1392">
            <v>36660</v>
          </cell>
          <cell r="F1392">
            <v>0.4</v>
          </cell>
          <cell r="G1392">
            <v>37010</v>
          </cell>
        </row>
        <row r="1393">
          <cell r="A1393" t="str">
            <v>53-7064</v>
          </cell>
          <cell r="B1393" t="str">
            <v>Packers and Packagers, Hand</v>
          </cell>
          <cell r="C1393">
            <v>585270</v>
          </cell>
          <cell r="D1393">
            <v>1</v>
          </cell>
          <cell r="E1393">
            <v>30950</v>
          </cell>
          <cell r="F1393">
            <v>0.3</v>
          </cell>
          <cell r="G1393">
            <v>29940</v>
          </cell>
        </row>
        <row r="1394">
          <cell r="A1394" t="str">
            <v>53-7065</v>
          </cell>
          <cell r="B1394" t="str">
            <v>Stockers and Order Fillers</v>
          </cell>
          <cell r="C1394">
            <v>2451430</v>
          </cell>
          <cell r="D1394">
            <v>0.4</v>
          </cell>
          <cell r="E1394">
            <v>33020</v>
          </cell>
          <cell r="F1394">
            <v>0.2</v>
          </cell>
          <cell r="G1394">
            <v>30110</v>
          </cell>
        </row>
        <row r="1395">
          <cell r="A1395" t="str">
            <v>53-7070</v>
          </cell>
          <cell r="B1395" t="str">
            <v>Pumping Station Operators</v>
          </cell>
          <cell r="C1395">
            <v>29550</v>
          </cell>
          <cell r="D1395">
            <v>4.5</v>
          </cell>
          <cell r="E1395">
            <v>62590</v>
          </cell>
          <cell r="F1395">
            <v>1.3</v>
          </cell>
          <cell r="G1395">
            <v>62090</v>
          </cell>
        </row>
        <row r="1396">
          <cell r="A1396" t="str">
            <v>53-7071</v>
          </cell>
          <cell r="B1396" t="str">
            <v>Gas Compressor and Gas Pumping Station Operators</v>
          </cell>
          <cell r="C1396">
            <v>2910</v>
          </cell>
          <cell r="D1396">
            <v>6.1</v>
          </cell>
          <cell r="E1396">
            <v>67130</v>
          </cell>
          <cell r="F1396">
            <v>1.6</v>
          </cell>
          <cell r="G1396">
            <v>70720</v>
          </cell>
        </row>
        <row r="1397">
          <cell r="A1397" t="str">
            <v>53-7072</v>
          </cell>
          <cell r="B1397" t="str">
            <v>Pump Operators, Except Wellhead Pumpers</v>
          </cell>
          <cell r="C1397">
            <v>10600</v>
          </cell>
          <cell r="D1397">
            <v>7.2</v>
          </cell>
          <cell r="E1397">
            <v>54400</v>
          </cell>
          <cell r="F1397">
            <v>2.4</v>
          </cell>
          <cell r="G1397">
            <v>49580</v>
          </cell>
        </row>
        <row r="1398">
          <cell r="A1398" t="str">
            <v>53-7073</v>
          </cell>
          <cell r="B1398" t="str">
            <v>Wellhead Pumpers</v>
          </cell>
          <cell r="C1398">
            <v>16040</v>
          </cell>
          <cell r="D1398">
            <v>7</v>
          </cell>
          <cell r="E1398">
            <v>67170</v>
          </cell>
          <cell r="F1398">
            <v>1.7</v>
          </cell>
          <cell r="G1398">
            <v>63740</v>
          </cell>
        </row>
        <row r="1399">
          <cell r="A1399" t="str">
            <v>53-7080</v>
          </cell>
          <cell r="B1399" t="str">
            <v>Refuse and Recyclable Material Collectors</v>
          </cell>
          <cell r="C1399">
            <v>126050</v>
          </cell>
          <cell r="D1399">
            <v>1.5</v>
          </cell>
          <cell r="E1399">
            <v>42780</v>
          </cell>
          <cell r="F1399">
            <v>0.7</v>
          </cell>
          <cell r="G1399">
            <v>38500</v>
          </cell>
        </row>
        <row r="1400">
          <cell r="A1400" t="str">
            <v>53-7081</v>
          </cell>
          <cell r="B1400" t="str">
            <v>Refuse and Recyclable Material Collectors</v>
          </cell>
          <cell r="C1400">
            <v>126050</v>
          </cell>
          <cell r="D1400">
            <v>1.5</v>
          </cell>
          <cell r="E1400">
            <v>42780</v>
          </cell>
          <cell r="F1400">
            <v>0.7</v>
          </cell>
          <cell r="G1400">
            <v>38500</v>
          </cell>
        </row>
        <row r="1401">
          <cell r="A1401" t="str">
            <v>53-7120</v>
          </cell>
          <cell r="B1401" t="str">
            <v>Tank Car, Truck, and Ship Loaders</v>
          </cell>
          <cell r="C1401">
            <v>12090</v>
          </cell>
          <cell r="D1401">
            <v>6.8</v>
          </cell>
          <cell r="E1401">
            <v>55330</v>
          </cell>
          <cell r="F1401">
            <v>2.6</v>
          </cell>
          <cell r="G1401">
            <v>49390</v>
          </cell>
        </row>
        <row r="1402">
          <cell r="A1402" t="str">
            <v>53-7121</v>
          </cell>
          <cell r="B1402" t="str">
            <v>Tank Car, Truck, and Ship Loaders</v>
          </cell>
          <cell r="C1402">
            <v>12090</v>
          </cell>
          <cell r="D1402">
            <v>6.8</v>
          </cell>
          <cell r="E1402">
            <v>55330</v>
          </cell>
          <cell r="F1402">
            <v>2.6</v>
          </cell>
          <cell r="G1402">
            <v>49390</v>
          </cell>
        </row>
        <row r="1403">
          <cell r="A1403" t="str">
            <v>53-7190</v>
          </cell>
          <cell r="B1403" t="str">
            <v>Miscellaneous Material Moving Workers</v>
          </cell>
          <cell r="C1403">
            <v>22470</v>
          </cell>
          <cell r="D1403">
            <v>4.7</v>
          </cell>
          <cell r="E1403">
            <v>40190</v>
          </cell>
          <cell r="F1403">
            <v>1.8</v>
          </cell>
          <cell r="G1403">
            <v>36150</v>
          </cell>
        </row>
        <row r="1404">
          <cell r="A1404" t="str">
            <v>53-7199</v>
          </cell>
          <cell r="B1404" t="str">
            <v>Material Moving Workers, All Other</v>
          </cell>
          <cell r="C1404">
            <v>22470</v>
          </cell>
          <cell r="D1404">
            <v>4.7</v>
          </cell>
          <cell r="E1404">
            <v>40190</v>
          </cell>
          <cell r="F1404">
            <v>1.8</v>
          </cell>
          <cell r="G1404">
            <v>36150</v>
          </cell>
        </row>
      </sheetData>
      <sheetData sheetId="1">
        <row r="1">
          <cell r="A1" t="str">
            <v>OCC_CODE</v>
          </cell>
          <cell r="B1" t="str">
            <v>OCC_TITLE</v>
          </cell>
          <cell r="C1" t="str">
            <v>TOT_EMP</v>
          </cell>
          <cell r="D1" t="str">
            <v>EMP_PRSE</v>
          </cell>
          <cell r="E1" t="str">
            <v>A_MEAN</v>
          </cell>
          <cell r="F1" t="str">
            <v>MEAN_PRSE</v>
          </cell>
          <cell r="G1" t="str">
            <v>A_MEDIAN</v>
          </cell>
        </row>
        <row r="2">
          <cell r="A2" t="str">
            <v>00-0000</v>
          </cell>
          <cell r="B2" t="str">
            <v>All Occupations</v>
          </cell>
          <cell r="C2">
            <v>147886000</v>
          </cell>
          <cell r="D2">
            <v>0</v>
          </cell>
          <cell r="E2">
            <v>61900</v>
          </cell>
          <cell r="F2">
            <v>0.2</v>
          </cell>
          <cell r="G2">
            <v>46310</v>
          </cell>
        </row>
        <row r="3">
          <cell r="A3" t="str">
            <v>11-0000</v>
          </cell>
          <cell r="B3" t="str">
            <v>Management Occupations</v>
          </cell>
          <cell r="C3">
            <v>9860740</v>
          </cell>
          <cell r="D3">
            <v>0.6</v>
          </cell>
          <cell r="E3">
            <v>131200</v>
          </cell>
          <cell r="F3">
            <v>0.6</v>
          </cell>
          <cell r="G3">
            <v>107360</v>
          </cell>
        </row>
        <row r="4">
          <cell r="A4" t="str">
            <v>11-1000</v>
          </cell>
          <cell r="B4" t="str">
            <v>Top Executives</v>
          </cell>
          <cell r="C4">
            <v>3618820</v>
          </cell>
          <cell r="D4">
            <v>0.3</v>
          </cell>
          <cell r="E4">
            <v>129050</v>
          </cell>
          <cell r="F4">
            <v>1.1000000000000001</v>
          </cell>
          <cell r="G4">
            <v>99890</v>
          </cell>
        </row>
        <row r="5">
          <cell r="A5" t="str">
            <v>11-1010</v>
          </cell>
          <cell r="B5" t="str">
            <v>Chief Executives</v>
          </cell>
          <cell r="C5">
            <v>199240</v>
          </cell>
          <cell r="D5">
            <v>0.9</v>
          </cell>
          <cell r="E5">
            <v>246440</v>
          </cell>
          <cell r="F5">
            <v>1.6</v>
          </cell>
          <cell r="G5">
            <v>189520</v>
          </cell>
        </row>
        <row r="6">
          <cell r="A6" t="str">
            <v>11-1011</v>
          </cell>
          <cell r="B6" t="str">
            <v>Chief Executives</v>
          </cell>
          <cell r="C6">
            <v>199240</v>
          </cell>
          <cell r="D6">
            <v>0.9</v>
          </cell>
          <cell r="E6">
            <v>246440</v>
          </cell>
          <cell r="F6">
            <v>1.6</v>
          </cell>
          <cell r="G6">
            <v>189520</v>
          </cell>
        </row>
        <row r="7">
          <cell r="A7" t="str">
            <v>11-1020</v>
          </cell>
          <cell r="B7" t="str">
            <v>General and Operations Managers</v>
          </cell>
          <cell r="C7">
            <v>3376680</v>
          </cell>
          <cell r="D7">
            <v>0.3</v>
          </cell>
          <cell r="E7">
            <v>122860</v>
          </cell>
          <cell r="F7">
            <v>1.1000000000000001</v>
          </cell>
          <cell r="G7">
            <v>98100</v>
          </cell>
        </row>
        <row r="8">
          <cell r="A8" t="str">
            <v>11-1021</v>
          </cell>
          <cell r="B8" t="str">
            <v>General and Operations Managers</v>
          </cell>
          <cell r="C8">
            <v>3376680</v>
          </cell>
          <cell r="D8">
            <v>0.3</v>
          </cell>
          <cell r="E8">
            <v>122860</v>
          </cell>
          <cell r="F8">
            <v>1.1000000000000001</v>
          </cell>
          <cell r="G8">
            <v>98100</v>
          </cell>
        </row>
        <row r="9">
          <cell r="A9" t="str">
            <v>11-1030</v>
          </cell>
          <cell r="B9" t="str">
            <v>Legislators</v>
          </cell>
          <cell r="C9">
            <v>42890</v>
          </cell>
          <cell r="D9">
            <v>2.1</v>
          </cell>
          <cell r="E9">
            <v>71100</v>
          </cell>
          <cell r="F9">
            <v>1.7</v>
          </cell>
          <cell r="G9">
            <v>48090</v>
          </cell>
        </row>
        <row r="10">
          <cell r="A10" t="str">
            <v>11-1031</v>
          </cell>
          <cell r="B10" t="str">
            <v>Legislators</v>
          </cell>
          <cell r="C10">
            <v>42890</v>
          </cell>
          <cell r="D10">
            <v>2.1</v>
          </cell>
          <cell r="E10">
            <v>71100</v>
          </cell>
          <cell r="F10">
            <v>1.7</v>
          </cell>
          <cell r="G10">
            <v>48090</v>
          </cell>
        </row>
        <row r="11">
          <cell r="A11" t="str">
            <v>11-2000</v>
          </cell>
          <cell r="B11" t="str">
            <v>Advertising, Marketing, Promotions, Public Relations, and Sales Managers</v>
          </cell>
          <cell r="C11">
            <v>977490</v>
          </cell>
          <cell r="D11">
            <v>2</v>
          </cell>
          <cell r="E11">
            <v>152320</v>
          </cell>
          <cell r="F11">
            <v>0.4</v>
          </cell>
          <cell r="G11">
            <v>132820</v>
          </cell>
        </row>
        <row r="12">
          <cell r="A12" t="str">
            <v>11-2010</v>
          </cell>
          <cell r="B12" t="str">
            <v>Advertising and Promotions Managers</v>
          </cell>
          <cell r="C12">
            <v>22010</v>
          </cell>
          <cell r="D12">
            <v>3.1</v>
          </cell>
          <cell r="E12">
            <v>147050</v>
          </cell>
          <cell r="F12">
            <v>2.2000000000000002</v>
          </cell>
          <cell r="G12">
            <v>127830</v>
          </cell>
        </row>
        <row r="13">
          <cell r="A13" t="str">
            <v>11-2011</v>
          </cell>
          <cell r="B13" t="str">
            <v>Advertising and Promotions Managers</v>
          </cell>
          <cell r="C13">
            <v>22010</v>
          </cell>
          <cell r="D13">
            <v>3.1</v>
          </cell>
          <cell r="E13">
            <v>147050</v>
          </cell>
          <cell r="F13">
            <v>2.2000000000000002</v>
          </cell>
          <cell r="G13">
            <v>127830</v>
          </cell>
        </row>
        <row r="14">
          <cell r="A14" t="str">
            <v>11-2020</v>
          </cell>
          <cell r="B14" t="str">
            <v>Marketing and Sales Managers</v>
          </cell>
          <cell r="C14">
            <v>864970</v>
          </cell>
          <cell r="D14">
            <v>2.1</v>
          </cell>
          <cell r="E14">
            <v>153470</v>
          </cell>
          <cell r="F14">
            <v>0.4</v>
          </cell>
          <cell r="G14">
            <v>133880</v>
          </cell>
        </row>
        <row r="15">
          <cell r="A15" t="str">
            <v>11-2021</v>
          </cell>
          <cell r="B15" t="str">
            <v>Marketing Managers</v>
          </cell>
          <cell r="C15">
            <v>328570</v>
          </cell>
          <cell r="D15">
            <v>1.1000000000000001</v>
          </cell>
          <cell r="E15">
            <v>158280</v>
          </cell>
          <cell r="F15">
            <v>0.6</v>
          </cell>
          <cell r="G15">
            <v>140040</v>
          </cell>
        </row>
        <row r="16">
          <cell r="A16" t="str">
            <v>11-2022</v>
          </cell>
          <cell r="B16" t="str">
            <v>Sales Managers</v>
          </cell>
          <cell r="C16">
            <v>536390</v>
          </cell>
          <cell r="D16">
            <v>2.8</v>
          </cell>
          <cell r="E16">
            <v>150530</v>
          </cell>
          <cell r="F16">
            <v>0.4</v>
          </cell>
          <cell r="G16">
            <v>130600</v>
          </cell>
        </row>
        <row r="17">
          <cell r="A17" t="str">
            <v>11-2030</v>
          </cell>
          <cell r="B17" t="str">
            <v>Public Relations and Fundraising Managers</v>
          </cell>
          <cell r="C17">
            <v>90510</v>
          </cell>
          <cell r="D17">
            <v>1.5</v>
          </cell>
          <cell r="E17">
            <v>142610</v>
          </cell>
          <cell r="F17">
            <v>0.7</v>
          </cell>
          <cell r="G17">
            <v>125620</v>
          </cell>
        </row>
        <row r="18">
          <cell r="A18" t="str">
            <v>11-2032</v>
          </cell>
          <cell r="B18" t="str">
            <v>Public Relations Managers</v>
          </cell>
          <cell r="C18">
            <v>64280</v>
          </cell>
          <cell r="D18">
            <v>1.4</v>
          </cell>
          <cell r="E18">
            <v>150030</v>
          </cell>
          <cell r="F18">
            <v>0.8</v>
          </cell>
          <cell r="G18">
            <v>129430</v>
          </cell>
        </row>
        <row r="19">
          <cell r="A19" t="str">
            <v>11-2033</v>
          </cell>
          <cell r="B19" t="str">
            <v>Fundraising Managers</v>
          </cell>
          <cell r="C19">
            <v>26240</v>
          </cell>
          <cell r="D19">
            <v>2.7</v>
          </cell>
          <cell r="E19">
            <v>124450</v>
          </cell>
          <cell r="F19">
            <v>1.3</v>
          </cell>
          <cell r="G19">
            <v>107390</v>
          </cell>
        </row>
        <row r="20">
          <cell r="A20" t="str">
            <v>11-3000</v>
          </cell>
          <cell r="B20" t="str">
            <v>Operations Specialties Managers</v>
          </cell>
          <cell r="C20">
            <v>2322010</v>
          </cell>
          <cell r="D20">
            <v>1.2</v>
          </cell>
          <cell r="E20">
            <v>148190</v>
          </cell>
          <cell r="F20">
            <v>0.4</v>
          </cell>
          <cell r="G20">
            <v>130950</v>
          </cell>
        </row>
        <row r="21">
          <cell r="A21" t="str">
            <v>11-3010</v>
          </cell>
          <cell r="B21" t="str">
            <v>Administrative Services and Facilities Managers</v>
          </cell>
          <cell r="C21">
            <v>353550</v>
          </cell>
          <cell r="D21">
            <v>1.5</v>
          </cell>
          <cell r="E21">
            <v>112440</v>
          </cell>
          <cell r="F21">
            <v>0.3</v>
          </cell>
          <cell r="G21">
            <v>101870</v>
          </cell>
        </row>
        <row r="22">
          <cell r="A22" t="str">
            <v>11-3012</v>
          </cell>
          <cell r="B22" t="str">
            <v>Administrative Services Managers</v>
          </cell>
          <cell r="C22">
            <v>236570</v>
          </cell>
          <cell r="D22">
            <v>2.1</v>
          </cell>
          <cell r="E22">
            <v>115640</v>
          </cell>
          <cell r="F22">
            <v>0.4</v>
          </cell>
          <cell r="G22">
            <v>103330</v>
          </cell>
        </row>
        <row r="23">
          <cell r="A23" t="str">
            <v>11-3013</v>
          </cell>
          <cell r="B23" t="str">
            <v>Facilities Managers</v>
          </cell>
          <cell r="C23">
            <v>116980</v>
          </cell>
          <cell r="D23">
            <v>0.6</v>
          </cell>
          <cell r="E23">
            <v>105970</v>
          </cell>
          <cell r="F23">
            <v>0.4</v>
          </cell>
          <cell r="G23">
            <v>99030</v>
          </cell>
        </row>
        <row r="24">
          <cell r="A24" t="str">
            <v>11-3020</v>
          </cell>
          <cell r="B24" t="str">
            <v>Computer and Information Systems Managers</v>
          </cell>
          <cell r="C24">
            <v>533220</v>
          </cell>
          <cell r="D24">
            <v>1.2</v>
          </cell>
          <cell r="E24">
            <v>173670</v>
          </cell>
          <cell r="F24">
            <v>0.4</v>
          </cell>
          <cell r="G24">
            <v>164070</v>
          </cell>
        </row>
        <row r="25">
          <cell r="A25" t="str">
            <v>11-3021</v>
          </cell>
          <cell r="B25" t="str">
            <v>Computer and Information Systems Managers</v>
          </cell>
          <cell r="C25">
            <v>533220</v>
          </cell>
          <cell r="D25">
            <v>1.2</v>
          </cell>
          <cell r="E25">
            <v>173670</v>
          </cell>
          <cell r="F25">
            <v>0.4</v>
          </cell>
          <cell r="G25">
            <v>164070</v>
          </cell>
        </row>
        <row r="26">
          <cell r="A26" t="str">
            <v>11-3030</v>
          </cell>
          <cell r="B26" t="str">
            <v>Financial Managers</v>
          </cell>
          <cell r="C26">
            <v>740780</v>
          </cell>
          <cell r="D26">
            <v>1.2</v>
          </cell>
          <cell r="E26">
            <v>166050</v>
          </cell>
          <cell r="F26">
            <v>0.5</v>
          </cell>
          <cell r="G26">
            <v>139790</v>
          </cell>
        </row>
        <row r="27">
          <cell r="A27" t="str">
            <v>11-3031</v>
          </cell>
          <cell r="B27" t="str">
            <v>Financial Managers</v>
          </cell>
          <cell r="C27">
            <v>740780</v>
          </cell>
          <cell r="D27">
            <v>1.2</v>
          </cell>
          <cell r="E27">
            <v>166050</v>
          </cell>
          <cell r="F27">
            <v>0.5</v>
          </cell>
          <cell r="G27">
            <v>139790</v>
          </cell>
        </row>
        <row r="28">
          <cell r="A28" t="str">
            <v>11-3050</v>
          </cell>
          <cell r="B28" t="str">
            <v>Industrial Production Managers</v>
          </cell>
          <cell r="C28">
            <v>211710</v>
          </cell>
          <cell r="D28">
            <v>0.6</v>
          </cell>
          <cell r="E28">
            <v>120900</v>
          </cell>
          <cell r="F28">
            <v>0.4</v>
          </cell>
          <cell r="G28">
            <v>107560</v>
          </cell>
        </row>
        <row r="29">
          <cell r="A29" t="str">
            <v>11-3051</v>
          </cell>
          <cell r="B29" t="str">
            <v>Industrial Production Managers</v>
          </cell>
          <cell r="C29">
            <v>211710</v>
          </cell>
          <cell r="D29">
            <v>0.6</v>
          </cell>
          <cell r="E29">
            <v>120900</v>
          </cell>
          <cell r="F29">
            <v>0.4</v>
          </cell>
          <cell r="G29">
            <v>107560</v>
          </cell>
        </row>
        <row r="30">
          <cell r="A30" t="str">
            <v>11-3060</v>
          </cell>
          <cell r="B30" t="str">
            <v>Purchasing Managers</v>
          </cell>
          <cell r="C30">
            <v>75070</v>
          </cell>
          <cell r="D30">
            <v>1.4</v>
          </cell>
          <cell r="E30">
            <v>140650</v>
          </cell>
          <cell r="F30">
            <v>0.4</v>
          </cell>
          <cell r="G30">
            <v>131350</v>
          </cell>
        </row>
        <row r="31">
          <cell r="A31" t="str">
            <v>11-3061</v>
          </cell>
          <cell r="B31" t="str">
            <v>Purchasing Managers</v>
          </cell>
          <cell r="C31">
            <v>75070</v>
          </cell>
          <cell r="D31">
            <v>1.4</v>
          </cell>
          <cell r="E31">
            <v>140650</v>
          </cell>
          <cell r="F31">
            <v>0.4</v>
          </cell>
          <cell r="G31">
            <v>131350</v>
          </cell>
        </row>
        <row r="32">
          <cell r="A32" t="str">
            <v>11-3070</v>
          </cell>
          <cell r="B32" t="str">
            <v>Transportation, Storage, and Distribution Managers</v>
          </cell>
          <cell r="C32">
            <v>169910</v>
          </cell>
          <cell r="D32">
            <v>1.1000000000000001</v>
          </cell>
          <cell r="E32">
            <v>108910</v>
          </cell>
          <cell r="F32">
            <v>0.5</v>
          </cell>
          <cell r="G32">
            <v>98560</v>
          </cell>
        </row>
        <row r="33">
          <cell r="A33" t="str">
            <v>11-3071</v>
          </cell>
          <cell r="B33" t="str">
            <v>Transportation, Storage, and Distribution Managers</v>
          </cell>
          <cell r="C33">
            <v>169910</v>
          </cell>
          <cell r="D33">
            <v>1.1000000000000001</v>
          </cell>
          <cell r="E33">
            <v>108910</v>
          </cell>
          <cell r="F33">
            <v>0.5</v>
          </cell>
          <cell r="G33">
            <v>98560</v>
          </cell>
        </row>
        <row r="34">
          <cell r="A34" t="str">
            <v>11-3110</v>
          </cell>
          <cell r="B34" t="str">
            <v>Compensation and Benefits Managers</v>
          </cell>
          <cell r="C34">
            <v>16850</v>
          </cell>
          <cell r="D34">
            <v>2.2000000000000002</v>
          </cell>
          <cell r="E34">
            <v>143140</v>
          </cell>
          <cell r="F34">
            <v>0.7</v>
          </cell>
          <cell r="G34">
            <v>131280</v>
          </cell>
        </row>
        <row r="35">
          <cell r="A35" t="str">
            <v>11-3111</v>
          </cell>
          <cell r="B35" t="str">
            <v>Compensation and Benefits Managers</v>
          </cell>
          <cell r="C35">
            <v>16850</v>
          </cell>
          <cell r="D35">
            <v>2.2000000000000002</v>
          </cell>
          <cell r="E35">
            <v>143140</v>
          </cell>
          <cell r="F35">
            <v>0.7</v>
          </cell>
          <cell r="G35">
            <v>131280</v>
          </cell>
        </row>
        <row r="36">
          <cell r="A36" t="str">
            <v>11-3120</v>
          </cell>
          <cell r="B36" t="str">
            <v>Human Resources Managers</v>
          </cell>
          <cell r="C36">
            <v>181360</v>
          </cell>
          <cell r="D36">
            <v>1.7</v>
          </cell>
          <cell r="E36">
            <v>145750</v>
          </cell>
          <cell r="F36">
            <v>0.4</v>
          </cell>
          <cell r="G36">
            <v>130000</v>
          </cell>
        </row>
        <row r="37">
          <cell r="A37" t="str">
            <v>11-3121</v>
          </cell>
          <cell r="B37" t="str">
            <v>Human Resources Managers</v>
          </cell>
          <cell r="C37">
            <v>181360</v>
          </cell>
          <cell r="D37">
            <v>1.7</v>
          </cell>
          <cell r="E37">
            <v>145750</v>
          </cell>
          <cell r="F37">
            <v>0.4</v>
          </cell>
          <cell r="G37">
            <v>130000</v>
          </cell>
        </row>
        <row r="38">
          <cell r="A38" t="str">
            <v>11-3130</v>
          </cell>
          <cell r="B38" t="str">
            <v>Training and Development Managers</v>
          </cell>
          <cell r="C38">
            <v>39550</v>
          </cell>
          <cell r="D38">
            <v>1</v>
          </cell>
          <cell r="E38">
            <v>132100</v>
          </cell>
          <cell r="F38">
            <v>0.8</v>
          </cell>
          <cell r="G38">
            <v>120000</v>
          </cell>
        </row>
        <row r="39">
          <cell r="A39" t="str">
            <v>11-3131</v>
          </cell>
          <cell r="B39" t="str">
            <v>Training and Development Managers</v>
          </cell>
          <cell r="C39">
            <v>39550</v>
          </cell>
          <cell r="D39">
            <v>1</v>
          </cell>
          <cell r="E39">
            <v>132100</v>
          </cell>
          <cell r="F39">
            <v>0.8</v>
          </cell>
          <cell r="G39">
            <v>120000</v>
          </cell>
        </row>
        <row r="40">
          <cell r="A40" t="str">
            <v>11-9000</v>
          </cell>
          <cell r="B40" t="str">
            <v>Other Management Occupations</v>
          </cell>
          <cell r="C40">
            <v>2942420</v>
          </cell>
          <cell r="D40">
            <v>0.6</v>
          </cell>
          <cell r="E40">
            <v>113420</v>
          </cell>
          <cell r="F40">
            <v>0.3</v>
          </cell>
          <cell r="G40">
            <v>99740</v>
          </cell>
        </row>
        <row r="41">
          <cell r="A41" t="str">
            <v>11-9010</v>
          </cell>
          <cell r="B41" t="str">
            <v>Farmers, Ranchers, and Other Agricultural Managers</v>
          </cell>
          <cell r="C41">
            <v>6250</v>
          </cell>
          <cell r="D41">
            <v>4</v>
          </cell>
          <cell r="E41">
            <v>83790</v>
          </cell>
          <cell r="F41">
            <v>2.5</v>
          </cell>
          <cell r="G41">
            <v>75760</v>
          </cell>
        </row>
        <row r="42">
          <cell r="A42" t="str">
            <v>11-9013</v>
          </cell>
          <cell r="B42" t="str">
            <v>Farmers, Ranchers, and Other Agricultural Managers</v>
          </cell>
          <cell r="C42">
            <v>6250</v>
          </cell>
          <cell r="D42">
            <v>4</v>
          </cell>
          <cell r="E42">
            <v>83790</v>
          </cell>
          <cell r="F42">
            <v>2.5</v>
          </cell>
          <cell r="G42">
            <v>75760</v>
          </cell>
        </row>
        <row r="43">
          <cell r="A43" t="str">
            <v>11-9020</v>
          </cell>
          <cell r="B43" t="str">
            <v>Construction Managers</v>
          </cell>
          <cell r="C43">
            <v>303220</v>
          </cell>
          <cell r="D43">
            <v>1.9</v>
          </cell>
          <cell r="E43">
            <v>112790</v>
          </cell>
          <cell r="F43">
            <v>0.6</v>
          </cell>
          <cell r="G43">
            <v>101480</v>
          </cell>
        </row>
        <row r="44">
          <cell r="A44" t="str">
            <v>11-9021</v>
          </cell>
          <cell r="B44" t="str">
            <v>Construction Managers</v>
          </cell>
          <cell r="C44">
            <v>303220</v>
          </cell>
          <cell r="D44">
            <v>1.9</v>
          </cell>
          <cell r="E44">
            <v>112790</v>
          </cell>
          <cell r="F44">
            <v>0.6</v>
          </cell>
          <cell r="G44">
            <v>101480</v>
          </cell>
        </row>
        <row r="45">
          <cell r="A45" t="str">
            <v>11-9030</v>
          </cell>
          <cell r="B45" t="str">
            <v>Education and Childcare Administrators</v>
          </cell>
          <cell r="C45">
            <v>563170</v>
          </cell>
          <cell r="D45">
            <v>0.4</v>
          </cell>
          <cell r="E45">
            <v>103370</v>
          </cell>
          <cell r="F45">
            <v>0.4</v>
          </cell>
          <cell r="G45">
            <v>97920</v>
          </cell>
        </row>
        <row r="46">
          <cell r="A46" t="str">
            <v>11-9031</v>
          </cell>
          <cell r="B46" t="str">
            <v>Education and Childcare Administrators, Preschool and Daycare</v>
          </cell>
          <cell r="C46">
            <v>60010</v>
          </cell>
          <cell r="D46">
            <v>2.2999999999999998</v>
          </cell>
          <cell r="E46">
            <v>57610</v>
          </cell>
          <cell r="F46">
            <v>1.7</v>
          </cell>
          <cell r="G46">
            <v>49690</v>
          </cell>
        </row>
        <row r="47">
          <cell r="A47" t="str">
            <v>11-9032</v>
          </cell>
          <cell r="B47" t="str">
            <v>Education Administrators, Kindergarten through Secondary</v>
          </cell>
          <cell r="C47">
            <v>285910</v>
          </cell>
          <cell r="D47">
            <v>0.5</v>
          </cell>
          <cell r="E47">
            <v>106690</v>
          </cell>
          <cell r="F47">
            <v>0.5</v>
          </cell>
          <cell r="G47">
            <v>101320</v>
          </cell>
        </row>
        <row r="48">
          <cell r="A48" t="str">
            <v>11-9033</v>
          </cell>
          <cell r="B48" t="str">
            <v>Education Administrators, Postsecondary</v>
          </cell>
          <cell r="C48">
            <v>167060</v>
          </cell>
          <cell r="D48">
            <v>0.2</v>
          </cell>
          <cell r="E48">
            <v>115180</v>
          </cell>
          <cell r="F48">
            <v>0.4</v>
          </cell>
          <cell r="G48">
            <v>99940</v>
          </cell>
        </row>
        <row r="49">
          <cell r="A49" t="str">
            <v>11-9039</v>
          </cell>
          <cell r="B49" t="str">
            <v>Education Administrators, All Other</v>
          </cell>
          <cell r="C49">
            <v>50180</v>
          </cell>
          <cell r="D49">
            <v>1.3</v>
          </cell>
          <cell r="E49">
            <v>99820</v>
          </cell>
          <cell r="F49">
            <v>0.7</v>
          </cell>
          <cell r="G49">
            <v>89130</v>
          </cell>
        </row>
        <row r="50">
          <cell r="A50" t="str">
            <v>11-9040</v>
          </cell>
          <cell r="B50" t="str">
            <v>Architectural and Engineering Managers</v>
          </cell>
          <cell r="C50">
            <v>197180</v>
          </cell>
          <cell r="D50">
            <v>1.3</v>
          </cell>
          <cell r="E50">
            <v>163310</v>
          </cell>
          <cell r="F50">
            <v>0.3</v>
          </cell>
          <cell r="G50">
            <v>159920</v>
          </cell>
        </row>
        <row r="51">
          <cell r="A51" t="str">
            <v>11-9041</v>
          </cell>
          <cell r="B51" t="str">
            <v>Architectural and Engineering Managers</v>
          </cell>
          <cell r="C51">
            <v>197180</v>
          </cell>
          <cell r="D51">
            <v>1.3</v>
          </cell>
          <cell r="E51">
            <v>163310</v>
          </cell>
          <cell r="F51">
            <v>0.3</v>
          </cell>
          <cell r="G51">
            <v>159920</v>
          </cell>
        </row>
        <row r="52">
          <cell r="A52" t="str">
            <v>11-9050</v>
          </cell>
          <cell r="B52" t="str">
            <v>Food Service Managers</v>
          </cell>
          <cell r="C52">
            <v>231100</v>
          </cell>
          <cell r="D52">
            <v>1.6</v>
          </cell>
          <cell r="E52">
            <v>67130</v>
          </cell>
          <cell r="F52">
            <v>0.8</v>
          </cell>
          <cell r="G52">
            <v>61310</v>
          </cell>
        </row>
        <row r="53">
          <cell r="A53" t="str">
            <v>11-9051</v>
          </cell>
          <cell r="B53" t="str">
            <v>Food Service Managers</v>
          </cell>
          <cell r="C53">
            <v>231100</v>
          </cell>
          <cell r="D53">
            <v>1.6</v>
          </cell>
          <cell r="E53">
            <v>67130</v>
          </cell>
          <cell r="F53">
            <v>0.8</v>
          </cell>
          <cell r="G53">
            <v>61310</v>
          </cell>
        </row>
        <row r="54">
          <cell r="A54" t="str">
            <v>11-9070</v>
          </cell>
          <cell r="B54" t="str">
            <v>Entertainment and Recreation Managers</v>
          </cell>
          <cell r="C54">
            <v>27750</v>
          </cell>
          <cell r="D54">
            <v>2.1</v>
          </cell>
          <cell r="E54">
            <v>82530</v>
          </cell>
          <cell r="F54">
            <v>1.7</v>
          </cell>
          <cell r="G54">
            <v>71420</v>
          </cell>
        </row>
        <row r="55">
          <cell r="A55" t="str">
            <v>11-9071</v>
          </cell>
          <cell r="B55" t="str">
            <v>Gambling Managers</v>
          </cell>
          <cell r="C55">
            <v>4800</v>
          </cell>
          <cell r="D55">
            <v>2.2000000000000002</v>
          </cell>
          <cell r="E55">
            <v>95830</v>
          </cell>
          <cell r="F55">
            <v>1.1000000000000001</v>
          </cell>
          <cell r="G55">
            <v>80710</v>
          </cell>
        </row>
        <row r="56">
          <cell r="A56" t="str">
            <v>11-9072</v>
          </cell>
          <cell r="B56" t="str">
            <v>Entertainment and Recreation Managers, Except Gambling</v>
          </cell>
          <cell r="C56">
            <v>22950</v>
          </cell>
          <cell r="D56">
            <v>2.7</v>
          </cell>
          <cell r="E56">
            <v>79750</v>
          </cell>
          <cell r="F56">
            <v>1.8</v>
          </cell>
          <cell r="G56">
            <v>67220</v>
          </cell>
        </row>
        <row r="57">
          <cell r="A57" t="str">
            <v>11-9080</v>
          </cell>
          <cell r="B57" t="str">
            <v>Lodging Managers</v>
          </cell>
          <cell r="C57">
            <v>39870</v>
          </cell>
          <cell r="D57">
            <v>2.1</v>
          </cell>
          <cell r="E57">
            <v>73230</v>
          </cell>
          <cell r="F57">
            <v>1.7</v>
          </cell>
          <cell r="G57">
            <v>61910</v>
          </cell>
        </row>
        <row r="58">
          <cell r="A58" t="str">
            <v>11-9081</v>
          </cell>
          <cell r="B58" t="str">
            <v>Lodging Managers</v>
          </cell>
          <cell r="C58">
            <v>39870</v>
          </cell>
          <cell r="D58">
            <v>2.1</v>
          </cell>
          <cell r="E58">
            <v>73230</v>
          </cell>
          <cell r="F58">
            <v>1.7</v>
          </cell>
          <cell r="G58">
            <v>61910</v>
          </cell>
        </row>
        <row r="59">
          <cell r="A59" t="str">
            <v>11-9110</v>
          </cell>
          <cell r="B59" t="str">
            <v>Medical and Health Services Managers</v>
          </cell>
          <cell r="C59">
            <v>476750</v>
          </cell>
          <cell r="D59">
            <v>0.4</v>
          </cell>
          <cell r="E59">
            <v>127980</v>
          </cell>
          <cell r="F59">
            <v>0.4</v>
          </cell>
          <cell r="G59">
            <v>104830</v>
          </cell>
        </row>
        <row r="60">
          <cell r="A60" t="str">
            <v>11-9111</v>
          </cell>
          <cell r="B60" t="str">
            <v>Medical and Health Services Managers</v>
          </cell>
          <cell r="C60">
            <v>476750</v>
          </cell>
          <cell r="D60">
            <v>0.4</v>
          </cell>
          <cell r="E60">
            <v>127980</v>
          </cell>
          <cell r="F60">
            <v>0.4</v>
          </cell>
          <cell r="G60">
            <v>104830</v>
          </cell>
        </row>
        <row r="61">
          <cell r="A61" t="str">
            <v>11-9120</v>
          </cell>
          <cell r="B61" t="str">
            <v>Natural Sciences Managers</v>
          </cell>
          <cell r="C61">
            <v>82570</v>
          </cell>
          <cell r="D61">
            <v>1.4</v>
          </cell>
          <cell r="E61">
            <v>163610</v>
          </cell>
          <cell r="F61">
            <v>1.6</v>
          </cell>
          <cell r="G61">
            <v>144440</v>
          </cell>
        </row>
        <row r="62">
          <cell r="A62" t="str">
            <v>11-9121</v>
          </cell>
          <cell r="B62" t="str">
            <v>Natural Sciences Managers</v>
          </cell>
          <cell r="C62">
            <v>82570</v>
          </cell>
          <cell r="D62">
            <v>1.4</v>
          </cell>
          <cell r="E62">
            <v>163610</v>
          </cell>
          <cell r="F62">
            <v>1.6</v>
          </cell>
          <cell r="G62">
            <v>144440</v>
          </cell>
        </row>
        <row r="63">
          <cell r="A63" t="str">
            <v>11-9130</v>
          </cell>
          <cell r="B63" t="str">
            <v>Postmasters and Mail Superintendents</v>
          </cell>
          <cell r="C63">
            <v>13460</v>
          </cell>
          <cell r="D63">
            <v>0</v>
          </cell>
          <cell r="E63">
            <v>84190</v>
          </cell>
          <cell r="F63">
            <v>0</v>
          </cell>
          <cell r="G63">
            <v>82760</v>
          </cell>
        </row>
        <row r="64">
          <cell r="A64" t="str">
            <v>11-9131</v>
          </cell>
          <cell r="B64" t="str">
            <v>Postmasters and Mail Superintendents</v>
          </cell>
          <cell r="C64">
            <v>13460</v>
          </cell>
          <cell r="D64">
            <v>0</v>
          </cell>
          <cell r="E64">
            <v>84190</v>
          </cell>
          <cell r="F64">
            <v>0</v>
          </cell>
          <cell r="G64">
            <v>82760</v>
          </cell>
        </row>
        <row r="65">
          <cell r="A65" t="str">
            <v>11-9140</v>
          </cell>
          <cell r="B65" t="str">
            <v>Property, Real Estate, and Community Association Managers</v>
          </cell>
          <cell r="C65">
            <v>261120</v>
          </cell>
          <cell r="D65">
            <v>1.3</v>
          </cell>
          <cell r="E65">
            <v>76110</v>
          </cell>
          <cell r="F65">
            <v>1.3</v>
          </cell>
          <cell r="G65">
            <v>60670</v>
          </cell>
        </row>
        <row r="66">
          <cell r="A66" t="str">
            <v>11-9141</v>
          </cell>
          <cell r="B66" t="str">
            <v>Property, Real Estate, and Community Association Managers</v>
          </cell>
          <cell r="C66">
            <v>261120</v>
          </cell>
          <cell r="D66">
            <v>1.3</v>
          </cell>
          <cell r="E66">
            <v>76110</v>
          </cell>
          <cell r="F66">
            <v>1.3</v>
          </cell>
          <cell r="G66">
            <v>60670</v>
          </cell>
        </row>
        <row r="67">
          <cell r="A67" t="str">
            <v>11-9150</v>
          </cell>
          <cell r="B67" t="str">
            <v>Social and Community Service Managers</v>
          </cell>
          <cell r="C67">
            <v>162880</v>
          </cell>
          <cell r="D67">
            <v>1.2</v>
          </cell>
          <cell r="E67">
            <v>79310</v>
          </cell>
          <cell r="F67">
            <v>0.6</v>
          </cell>
          <cell r="G67">
            <v>74240</v>
          </cell>
        </row>
        <row r="68">
          <cell r="A68" t="str">
            <v>11-9151</v>
          </cell>
          <cell r="B68" t="str">
            <v>Social and Community Service Managers</v>
          </cell>
          <cell r="C68">
            <v>162880</v>
          </cell>
          <cell r="D68">
            <v>1.2</v>
          </cell>
          <cell r="E68">
            <v>79310</v>
          </cell>
          <cell r="F68">
            <v>0.6</v>
          </cell>
          <cell r="G68">
            <v>74240</v>
          </cell>
        </row>
        <row r="69">
          <cell r="A69" t="str">
            <v>11-9160</v>
          </cell>
          <cell r="B69" t="str">
            <v>Emergency Management Directors</v>
          </cell>
          <cell r="C69">
            <v>11290</v>
          </cell>
          <cell r="D69">
            <v>1.5</v>
          </cell>
          <cell r="E69">
            <v>88890</v>
          </cell>
          <cell r="F69">
            <v>0.7</v>
          </cell>
          <cell r="G69">
            <v>79180</v>
          </cell>
        </row>
        <row r="70">
          <cell r="A70" t="str">
            <v>11-9161</v>
          </cell>
          <cell r="B70" t="str">
            <v>Emergency Management Directors</v>
          </cell>
          <cell r="C70">
            <v>11290</v>
          </cell>
          <cell r="D70">
            <v>1.5</v>
          </cell>
          <cell r="E70">
            <v>88890</v>
          </cell>
          <cell r="F70">
            <v>0.7</v>
          </cell>
          <cell r="G70">
            <v>79180</v>
          </cell>
        </row>
        <row r="71">
          <cell r="A71" t="str">
            <v>11-9170</v>
          </cell>
          <cell r="B71" t="str">
            <v>Personal Service Managers</v>
          </cell>
          <cell r="C71">
            <v>22520</v>
          </cell>
          <cell r="D71">
            <v>3</v>
          </cell>
          <cell r="E71">
            <v>75250</v>
          </cell>
          <cell r="F71">
            <v>1.6</v>
          </cell>
          <cell r="G71">
            <v>62120</v>
          </cell>
        </row>
        <row r="72">
          <cell r="A72" t="str">
            <v>11-9171</v>
          </cell>
          <cell r="B72" t="str">
            <v>Funeral Home Managers</v>
          </cell>
          <cell r="C72">
            <v>13680</v>
          </cell>
          <cell r="D72">
            <v>3.3</v>
          </cell>
          <cell r="E72">
            <v>84770</v>
          </cell>
          <cell r="F72">
            <v>1.5</v>
          </cell>
          <cell r="G72">
            <v>72110</v>
          </cell>
        </row>
        <row r="73">
          <cell r="A73" t="str">
            <v>11-9179</v>
          </cell>
          <cell r="B73" t="str">
            <v>Personal Service Managers, All Other</v>
          </cell>
          <cell r="C73">
            <v>8840</v>
          </cell>
          <cell r="D73">
            <v>9.4</v>
          </cell>
          <cell r="E73">
            <v>60510</v>
          </cell>
          <cell r="F73">
            <v>2.7</v>
          </cell>
          <cell r="G73">
            <v>56090</v>
          </cell>
        </row>
        <row r="74">
          <cell r="A74" t="str">
            <v>11-9190</v>
          </cell>
          <cell r="B74" t="str">
            <v>Miscellaneous Managers</v>
          </cell>
          <cell r="C74">
            <v>543290</v>
          </cell>
          <cell r="D74">
            <v>1</v>
          </cell>
          <cell r="E74">
            <v>141190</v>
          </cell>
          <cell r="F74">
            <v>0.5</v>
          </cell>
          <cell r="G74">
            <v>128620</v>
          </cell>
        </row>
        <row r="75">
          <cell r="A75" t="str">
            <v>11-9199</v>
          </cell>
          <cell r="B75" t="str">
            <v>Managers, All Other</v>
          </cell>
          <cell r="C75">
            <v>543290</v>
          </cell>
          <cell r="D75">
            <v>1</v>
          </cell>
          <cell r="E75">
            <v>141190</v>
          </cell>
          <cell r="F75">
            <v>0.5</v>
          </cell>
          <cell r="G75">
            <v>128620</v>
          </cell>
        </row>
        <row r="76">
          <cell r="A76" t="str">
            <v>13-0000</v>
          </cell>
          <cell r="B76" t="str">
            <v>Business and Financial Operations Occupations</v>
          </cell>
          <cell r="C76">
            <v>9677720</v>
          </cell>
          <cell r="D76">
            <v>0.7</v>
          </cell>
          <cell r="E76">
            <v>86080</v>
          </cell>
          <cell r="F76">
            <v>0.3</v>
          </cell>
          <cell r="G76">
            <v>76850</v>
          </cell>
        </row>
        <row r="77">
          <cell r="A77" t="str">
            <v>13-1000</v>
          </cell>
          <cell r="B77" t="str">
            <v>Business Operations Specialists</v>
          </cell>
          <cell r="C77">
            <v>6660810</v>
          </cell>
          <cell r="D77">
            <v>0.7</v>
          </cell>
          <cell r="E77">
            <v>83280</v>
          </cell>
          <cell r="F77">
            <v>0.2</v>
          </cell>
          <cell r="G77">
            <v>76050</v>
          </cell>
        </row>
        <row r="78">
          <cell r="A78" t="str">
            <v>13-1010</v>
          </cell>
          <cell r="B78" t="str">
            <v>Agents and Business Managers of Artists, Performers, and Athletes</v>
          </cell>
          <cell r="C78">
            <v>13130</v>
          </cell>
          <cell r="D78">
            <v>5</v>
          </cell>
          <cell r="E78">
            <v>120100</v>
          </cell>
          <cell r="F78">
            <v>4.0999999999999996</v>
          </cell>
          <cell r="G78">
            <v>82530</v>
          </cell>
        </row>
        <row r="79">
          <cell r="A79" t="str">
            <v>13-1011</v>
          </cell>
          <cell r="B79" t="str">
            <v>Agents and Business Managers of Artists, Performers, and Athletes</v>
          </cell>
          <cell r="C79">
            <v>13130</v>
          </cell>
          <cell r="D79">
            <v>5</v>
          </cell>
          <cell r="E79">
            <v>120100</v>
          </cell>
          <cell r="F79">
            <v>4.0999999999999996</v>
          </cell>
          <cell r="G79">
            <v>82530</v>
          </cell>
        </row>
        <row r="80">
          <cell r="A80" t="str">
            <v>13-1020</v>
          </cell>
          <cell r="B80" t="str">
            <v>Buyers and Purchasing Agents</v>
          </cell>
          <cell r="C80">
            <v>464880</v>
          </cell>
          <cell r="D80">
            <v>1.3</v>
          </cell>
          <cell r="E80">
            <v>75140</v>
          </cell>
          <cell r="F80">
            <v>0.3</v>
          </cell>
          <cell r="G80">
            <v>67620</v>
          </cell>
        </row>
        <row r="81">
          <cell r="A81" t="str">
            <v>13-1020</v>
          </cell>
          <cell r="B81" t="str">
            <v>Buyers and Purchasing Agents</v>
          </cell>
          <cell r="C81">
            <v>464880</v>
          </cell>
          <cell r="D81">
            <v>1.3</v>
          </cell>
          <cell r="E81">
            <v>75140</v>
          </cell>
          <cell r="F81">
            <v>0.3</v>
          </cell>
          <cell r="G81">
            <v>67620</v>
          </cell>
        </row>
        <row r="82">
          <cell r="A82" t="str">
            <v>13-1030</v>
          </cell>
          <cell r="B82" t="str">
            <v>Claims Adjusters, Appraisers, Examiners, and Investigators</v>
          </cell>
          <cell r="C82">
            <v>296700</v>
          </cell>
          <cell r="D82">
            <v>1</v>
          </cell>
          <cell r="E82">
            <v>73320</v>
          </cell>
          <cell r="F82">
            <v>0.3</v>
          </cell>
          <cell r="G82">
            <v>72040</v>
          </cell>
        </row>
        <row r="83">
          <cell r="A83" t="str">
            <v>13-1031</v>
          </cell>
          <cell r="B83" t="str">
            <v>Claims Adjusters, Examiners, and Investigators</v>
          </cell>
          <cell r="C83">
            <v>285270</v>
          </cell>
          <cell r="D83">
            <v>1</v>
          </cell>
          <cell r="E83">
            <v>73380</v>
          </cell>
          <cell r="F83">
            <v>0.3</v>
          </cell>
          <cell r="G83">
            <v>72230</v>
          </cell>
        </row>
        <row r="84">
          <cell r="A84" t="str">
            <v>13-1032</v>
          </cell>
          <cell r="B84" t="str">
            <v>Insurance Appraisers, Auto Damage</v>
          </cell>
          <cell r="C84">
            <v>11430</v>
          </cell>
          <cell r="D84">
            <v>5.2</v>
          </cell>
          <cell r="E84">
            <v>71580</v>
          </cell>
          <cell r="F84">
            <v>0.7</v>
          </cell>
          <cell r="G84">
            <v>69380</v>
          </cell>
        </row>
        <row r="85">
          <cell r="A85" t="str">
            <v>13-1040</v>
          </cell>
          <cell r="B85" t="str">
            <v>Compliance Officers</v>
          </cell>
          <cell r="C85">
            <v>359640</v>
          </cell>
          <cell r="D85">
            <v>1.6</v>
          </cell>
          <cell r="E85">
            <v>76980</v>
          </cell>
          <cell r="F85">
            <v>0.7</v>
          </cell>
          <cell r="G85">
            <v>71690</v>
          </cell>
        </row>
        <row r="86">
          <cell r="A86" t="str">
            <v>13-1041</v>
          </cell>
          <cell r="B86" t="str">
            <v>Compliance Officers</v>
          </cell>
          <cell r="C86">
            <v>359640</v>
          </cell>
          <cell r="D86">
            <v>1.6</v>
          </cell>
          <cell r="E86">
            <v>76980</v>
          </cell>
          <cell r="F86">
            <v>0.7</v>
          </cell>
          <cell r="G86">
            <v>71690</v>
          </cell>
        </row>
        <row r="87">
          <cell r="A87" t="str">
            <v>13-1050</v>
          </cell>
          <cell r="B87" t="str">
            <v>Cost Estimators</v>
          </cell>
          <cell r="C87">
            <v>225310</v>
          </cell>
          <cell r="D87">
            <v>1</v>
          </cell>
          <cell r="E87">
            <v>76740</v>
          </cell>
          <cell r="F87">
            <v>0.5</v>
          </cell>
          <cell r="G87">
            <v>71200</v>
          </cell>
        </row>
        <row r="88">
          <cell r="A88" t="str">
            <v>13-1051</v>
          </cell>
          <cell r="B88" t="str">
            <v>Cost Estimators</v>
          </cell>
          <cell r="C88">
            <v>225310</v>
          </cell>
          <cell r="D88">
            <v>1</v>
          </cell>
          <cell r="E88">
            <v>76740</v>
          </cell>
          <cell r="F88">
            <v>0.5</v>
          </cell>
          <cell r="G88">
            <v>71200</v>
          </cell>
        </row>
        <row r="89">
          <cell r="A89" t="str">
            <v>13-1070</v>
          </cell>
          <cell r="B89" t="str">
            <v>Human Resources Workers</v>
          </cell>
          <cell r="C89">
            <v>898110</v>
          </cell>
          <cell r="D89">
            <v>1</v>
          </cell>
          <cell r="E89">
            <v>74060</v>
          </cell>
          <cell r="F89">
            <v>0.4</v>
          </cell>
          <cell r="G89">
            <v>65000</v>
          </cell>
        </row>
        <row r="90">
          <cell r="A90" t="str">
            <v>13-1071</v>
          </cell>
          <cell r="B90" t="str">
            <v>Human Resources Specialists</v>
          </cell>
          <cell r="C90">
            <v>835360</v>
          </cell>
          <cell r="D90">
            <v>1.2</v>
          </cell>
          <cell r="E90">
            <v>73080</v>
          </cell>
          <cell r="F90">
            <v>0.4</v>
          </cell>
          <cell r="G90">
            <v>64240</v>
          </cell>
        </row>
        <row r="91">
          <cell r="A91" t="str">
            <v>13-1074</v>
          </cell>
          <cell r="B91" t="str">
            <v>Farm Labor Contractors</v>
          </cell>
          <cell r="C91">
            <v>550</v>
          </cell>
          <cell r="D91">
            <v>15.4</v>
          </cell>
          <cell r="E91">
            <v>54630</v>
          </cell>
          <cell r="F91">
            <v>6.6</v>
          </cell>
          <cell r="G91">
            <v>49330</v>
          </cell>
        </row>
        <row r="92">
          <cell r="A92" t="str">
            <v>13-1075</v>
          </cell>
          <cell r="B92" t="str">
            <v>Labor Relations Specialists</v>
          </cell>
          <cell r="C92">
            <v>62200</v>
          </cell>
          <cell r="D92">
            <v>1.8</v>
          </cell>
          <cell r="E92">
            <v>87470</v>
          </cell>
          <cell r="F92">
            <v>0.8</v>
          </cell>
          <cell r="G92">
            <v>82010</v>
          </cell>
        </row>
        <row r="93">
          <cell r="A93" t="str">
            <v>13-1080</v>
          </cell>
          <cell r="B93" t="str">
            <v>Logisticians and Project Management Specialists</v>
          </cell>
          <cell r="C93">
            <v>1046880</v>
          </cell>
          <cell r="D93">
            <v>1</v>
          </cell>
          <cell r="E93">
            <v>97660</v>
          </cell>
          <cell r="F93">
            <v>0.4</v>
          </cell>
          <cell r="G93">
            <v>88050</v>
          </cell>
        </row>
        <row r="94">
          <cell r="A94" t="str">
            <v>13-1081</v>
          </cell>
          <cell r="B94" t="str">
            <v>Logisticians</v>
          </cell>
          <cell r="C94">
            <v>202970</v>
          </cell>
          <cell r="D94">
            <v>0.8</v>
          </cell>
          <cell r="E94">
            <v>81220</v>
          </cell>
          <cell r="F94">
            <v>0.4</v>
          </cell>
          <cell r="G94">
            <v>77520</v>
          </cell>
        </row>
        <row r="95">
          <cell r="A95" t="str">
            <v>13-1082</v>
          </cell>
          <cell r="B95" t="str">
            <v>Project Management Specialists</v>
          </cell>
          <cell r="C95">
            <v>843910</v>
          </cell>
          <cell r="D95">
            <v>1.3</v>
          </cell>
          <cell r="E95">
            <v>101610</v>
          </cell>
          <cell r="F95">
            <v>0.5</v>
          </cell>
          <cell r="G95">
            <v>95370</v>
          </cell>
        </row>
        <row r="96">
          <cell r="A96" t="str">
            <v>13-1110</v>
          </cell>
          <cell r="B96" t="str">
            <v>Management Analysts</v>
          </cell>
          <cell r="C96">
            <v>808860</v>
          </cell>
          <cell r="D96">
            <v>0.7</v>
          </cell>
          <cell r="E96">
            <v>104660</v>
          </cell>
          <cell r="F96">
            <v>0.4</v>
          </cell>
          <cell r="G96">
            <v>95290</v>
          </cell>
        </row>
        <row r="97">
          <cell r="A97" t="str">
            <v>13-1111</v>
          </cell>
          <cell r="B97" t="str">
            <v>Management Analysts</v>
          </cell>
          <cell r="C97">
            <v>808860</v>
          </cell>
          <cell r="D97">
            <v>0.7</v>
          </cell>
          <cell r="E97">
            <v>104660</v>
          </cell>
          <cell r="F97">
            <v>0.4</v>
          </cell>
          <cell r="G97">
            <v>95290</v>
          </cell>
        </row>
        <row r="98">
          <cell r="A98" t="str">
            <v>13-1120</v>
          </cell>
          <cell r="B98" t="str">
            <v>Meeting, Convention, and Event Planners</v>
          </cell>
          <cell r="C98">
            <v>112070</v>
          </cell>
          <cell r="D98">
            <v>2.1</v>
          </cell>
          <cell r="E98">
            <v>58750</v>
          </cell>
          <cell r="F98">
            <v>1.1000000000000001</v>
          </cell>
          <cell r="G98">
            <v>52560</v>
          </cell>
        </row>
        <row r="99">
          <cell r="A99" t="str">
            <v>13-1121</v>
          </cell>
          <cell r="B99" t="str">
            <v>Meeting, Convention, and Event Planners</v>
          </cell>
          <cell r="C99">
            <v>112070</v>
          </cell>
          <cell r="D99">
            <v>2.1</v>
          </cell>
          <cell r="E99">
            <v>58750</v>
          </cell>
          <cell r="F99">
            <v>1.1000000000000001</v>
          </cell>
          <cell r="G99">
            <v>52560</v>
          </cell>
        </row>
        <row r="100">
          <cell r="A100" t="str">
            <v>13-1130</v>
          </cell>
          <cell r="B100" t="str">
            <v>Fundraisers</v>
          </cell>
          <cell r="C100">
            <v>94630</v>
          </cell>
          <cell r="D100">
            <v>2.4</v>
          </cell>
          <cell r="E100">
            <v>66670</v>
          </cell>
          <cell r="F100">
            <v>0.8</v>
          </cell>
          <cell r="G100">
            <v>61190</v>
          </cell>
        </row>
        <row r="101">
          <cell r="A101" t="str">
            <v>13-1131</v>
          </cell>
          <cell r="B101" t="str">
            <v>Fundraisers</v>
          </cell>
          <cell r="C101">
            <v>94630</v>
          </cell>
          <cell r="D101">
            <v>2.4</v>
          </cell>
          <cell r="E101">
            <v>66670</v>
          </cell>
          <cell r="F101">
            <v>0.8</v>
          </cell>
          <cell r="G101">
            <v>61190</v>
          </cell>
        </row>
        <row r="102">
          <cell r="A102" t="str">
            <v>13-1140</v>
          </cell>
          <cell r="B102" t="str">
            <v>Compensation, Benefits, and Job Analysis Specialists</v>
          </cell>
          <cell r="C102">
            <v>93550</v>
          </cell>
          <cell r="D102">
            <v>1.2</v>
          </cell>
          <cell r="E102">
            <v>75920</v>
          </cell>
          <cell r="F102">
            <v>0.5</v>
          </cell>
          <cell r="G102">
            <v>67780</v>
          </cell>
        </row>
        <row r="103">
          <cell r="A103" t="str">
            <v>13-1141</v>
          </cell>
          <cell r="B103" t="str">
            <v>Compensation, Benefits, and Job Analysis Specialists</v>
          </cell>
          <cell r="C103">
            <v>93550</v>
          </cell>
          <cell r="D103">
            <v>1.2</v>
          </cell>
          <cell r="E103">
            <v>75920</v>
          </cell>
          <cell r="F103">
            <v>0.5</v>
          </cell>
          <cell r="G103">
            <v>67780</v>
          </cell>
        </row>
        <row r="104">
          <cell r="A104" t="str">
            <v>13-1150</v>
          </cell>
          <cell r="B104" t="str">
            <v>Training and Development Specialists</v>
          </cell>
          <cell r="C104">
            <v>367180</v>
          </cell>
          <cell r="D104">
            <v>1</v>
          </cell>
          <cell r="E104">
            <v>69870</v>
          </cell>
          <cell r="F104">
            <v>0.5</v>
          </cell>
          <cell r="G104">
            <v>63080</v>
          </cell>
        </row>
        <row r="105">
          <cell r="A105" t="str">
            <v>13-1151</v>
          </cell>
          <cell r="B105" t="str">
            <v>Training and Development Specialists</v>
          </cell>
          <cell r="C105">
            <v>367180</v>
          </cell>
          <cell r="D105">
            <v>1</v>
          </cell>
          <cell r="E105">
            <v>69870</v>
          </cell>
          <cell r="F105">
            <v>0.5</v>
          </cell>
          <cell r="G105">
            <v>63080</v>
          </cell>
        </row>
        <row r="106">
          <cell r="A106" t="str">
            <v>13-1160</v>
          </cell>
          <cell r="B106" t="str">
            <v>Market Research Analysts and Marketing Specialists</v>
          </cell>
          <cell r="C106">
            <v>798620</v>
          </cell>
          <cell r="D106">
            <v>1.3</v>
          </cell>
          <cell r="E106">
            <v>78880</v>
          </cell>
          <cell r="F106">
            <v>0.4</v>
          </cell>
          <cell r="G106">
            <v>68230</v>
          </cell>
        </row>
        <row r="107">
          <cell r="A107" t="str">
            <v>13-1161</v>
          </cell>
          <cell r="B107" t="str">
            <v>Market Research Analysts and Marketing Specialists</v>
          </cell>
          <cell r="C107">
            <v>798620</v>
          </cell>
          <cell r="D107">
            <v>1.3</v>
          </cell>
          <cell r="E107">
            <v>78880</v>
          </cell>
          <cell r="F107">
            <v>0.4</v>
          </cell>
          <cell r="G107">
            <v>68230</v>
          </cell>
        </row>
        <row r="108">
          <cell r="A108" t="str">
            <v>13-1190</v>
          </cell>
          <cell r="B108" t="str">
            <v>Miscellaneous Business Operations Specialists</v>
          </cell>
          <cell r="C108">
            <v>1081230</v>
          </cell>
          <cell r="D108">
            <v>0.8</v>
          </cell>
          <cell r="E108">
            <v>82670</v>
          </cell>
          <cell r="F108">
            <v>0.3</v>
          </cell>
          <cell r="G108">
            <v>75990</v>
          </cell>
        </row>
        <row r="109">
          <cell r="A109" t="str">
            <v>13-1199</v>
          </cell>
          <cell r="B109" t="str">
            <v>Business Operations Specialists, All Other</v>
          </cell>
          <cell r="C109">
            <v>1081230</v>
          </cell>
          <cell r="D109">
            <v>0.8</v>
          </cell>
          <cell r="E109">
            <v>82670</v>
          </cell>
          <cell r="F109">
            <v>0.3</v>
          </cell>
          <cell r="G109">
            <v>75990</v>
          </cell>
        </row>
        <row r="110">
          <cell r="A110" t="str">
            <v>13-2000</v>
          </cell>
          <cell r="B110" t="str">
            <v>Financial Specialists</v>
          </cell>
          <cell r="C110">
            <v>3016910</v>
          </cell>
          <cell r="D110">
            <v>0.7</v>
          </cell>
          <cell r="E110">
            <v>92290</v>
          </cell>
          <cell r="F110">
            <v>0.5</v>
          </cell>
          <cell r="G110">
            <v>78180</v>
          </cell>
        </row>
        <row r="111">
          <cell r="A111" t="str">
            <v>13-2010</v>
          </cell>
          <cell r="B111" t="str">
            <v>Accountants and Auditors</v>
          </cell>
          <cell r="C111">
            <v>1402420</v>
          </cell>
          <cell r="D111">
            <v>0.5</v>
          </cell>
          <cell r="E111">
            <v>86740</v>
          </cell>
          <cell r="F111">
            <v>0.4</v>
          </cell>
          <cell r="G111">
            <v>78000</v>
          </cell>
        </row>
        <row r="112">
          <cell r="A112" t="str">
            <v>13-2011</v>
          </cell>
          <cell r="B112" t="str">
            <v>Accountants and Auditors</v>
          </cell>
          <cell r="C112">
            <v>1402420</v>
          </cell>
          <cell r="D112">
            <v>0.5</v>
          </cell>
          <cell r="E112">
            <v>86740</v>
          </cell>
          <cell r="F112">
            <v>0.4</v>
          </cell>
          <cell r="G112">
            <v>78000</v>
          </cell>
        </row>
        <row r="113">
          <cell r="A113" t="str">
            <v>13-2020</v>
          </cell>
          <cell r="B113" t="str">
            <v>Property Appraisers and Assessors</v>
          </cell>
          <cell r="C113">
            <v>59970</v>
          </cell>
          <cell r="D113">
            <v>2.4</v>
          </cell>
          <cell r="E113">
            <v>80460</v>
          </cell>
          <cell r="F113">
            <v>7.3</v>
          </cell>
          <cell r="G113">
            <v>61560</v>
          </cell>
        </row>
        <row r="114">
          <cell r="A114" t="str">
            <v>13-2020</v>
          </cell>
          <cell r="B114" t="str">
            <v>Property Appraisers and Assessors</v>
          </cell>
          <cell r="C114">
            <v>59970</v>
          </cell>
          <cell r="D114">
            <v>2.4</v>
          </cell>
          <cell r="E114">
            <v>80460</v>
          </cell>
          <cell r="F114">
            <v>7.3</v>
          </cell>
          <cell r="G114">
            <v>61560</v>
          </cell>
        </row>
        <row r="115">
          <cell r="A115" t="str">
            <v>13-2030</v>
          </cell>
          <cell r="B115" t="str">
            <v>Budget Analysts</v>
          </cell>
          <cell r="C115">
            <v>48430</v>
          </cell>
          <cell r="D115">
            <v>1</v>
          </cell>
          <cell r="E115">
            <v>87680</v>
          </cell>
          <cell r="F115">
            <v>0.3</v>
          </cell>
          <cell r="G115">
            <v>82260</v>
          </cell>
        </row>
        <row r="116">
          <cell r="A116" t="str">
            <v>13-2031</v>
          </cell>
          <cell r="B116" t="str">
            <v>Budget Analysts</v>
          </cell>
          <cell r="C116">
            <v>48430</v>
          </cell>
          <cell r="D116">
            <v>1</v>
          </cell>
          <cell r="E116">
            <v>87680</v>
          </cell>
          <cell r="F116">
            <v>0.3</v>
          </cell>
          <cell r="G116">
            <v>82260</v>
          </cell>
        </row>
        <row r="117">
          <cell r="A117" t="str">
            <v>13-2040</v>
          </cell>
          <cell r="B117" t="str">
            <v>Credit Analysts</v>
          </cell>
          <cell r="C117">
            <v>71960</v>
          </cell>
          <cell r="D117">
            <v>1.5</v>
          </cell>
          <cell r="E117">
            <v>92180</v>
          </cell>
          <cell r="F117">
            <v>0.5</v>
          </cell>
          <cell r="G117">
            <v>78850</v>
          </cell>
        </row>
        <row r="118">
          <cell r="A118" t="str">
            <v>13-2041</v>
          </cell>
          <cell r="B118" t="str">
            <v>Credit Analysts</v>
          </cell>
          <cell r="C118">
            <v>71960</v>
          </cell>
          <cell r="D118">
            <v>1.5</v>
          </cell>
          <cell r="E118">
            <v>92180</v>
          </cell>
          <cell r="F118">
            <v>0.5</v>
          </cell>
          <cell r="G118">
            <v>78850</v>
          </cell>
        </row>
        <row r="119">
          <cell r="A119" t="str">
            <v>13-2050</v>
          </cell>
          <cell r="B119" t="str">
            <v>Financial Analysts and Advisors</v>
          </cell>
          <cell r="C119">
            <v>736130</v>
          </cell>
          <cell r="D119">
            <v>1.1000000000000001</v>
          </cell>
          <cell r="E119">
            <v>116770</v>
          </cell>
          <cell r="F119">
            <v>1.2</v>
          </cell>
          <cell r="G119">
            <v>90680</v>
          </cell>
        </row>
        <row r="120">
          <cell r="A120" t="str">
            <v>13-2051</v>
          </cell>
          <cell r="B120" t="str">
            <v>Financial and Investment Analysts</v>
          </cell>
          <cell r="C120">
            <v>291370</v>
          </cell>
          <cell r="D120">
            <v>1.6</v>
          </cell>
          <cell r="E120">
            <v>108790</v>
          </cell>
          <cell r="F120">
            <v>1.6</v>
          </cell>
          <cell r="G120">
            <v>95080</v>
          </cell>
        </row>
        <row r="121">
          <cell r="A121" t="str">
            <v>13-2052</v>
          </cell>
          <cell r="B121" t="str">
            <v>Personal Financial Advisors</v>
          </cell>
          <cell r="C121">
            <v>283060</v>
          </cell>
          <cell r="D121">
            <v>1.3</v>
          </cell>
          <cell r="E121">
            <v>137740</v>
          </cell>
          <cell r="F121">
            <v>1.6</v>
          </cell>
          <cell r="G121">
            <v>95390</v>
          </cell>
        </row>
        <row r="122">
          <cell r="A122" t="str">
            <v>13-2053</v>
          </cell>
          <cell r="B122" t="str">
            <v>Insurance Underwriters</v>
          </cell>
          <cell r="C122">
            <v>105900</v>
          </cell>
          <cell r="D122">
            <v>2</v>
          </cell>
          <cell r="E122">
            <v>82990</v>
          </cell>
          <cell r="F122">
            <v>0.8</v>
          </cell>
          <cell r="G122">
            <v>76230</v>
          </cell>
        </row>
        <row r="123">
          <cell r="A123" t="str">
            <v>13-2054</v>
          </cell>
          <cell r="B123" t="str">
            <v>Financial Risk Specialists</v>
          </cell>
          <cell r="C123">
            <v>55800</v>
          </cell>
          <cell r="D123">
            <v>1.5</v>
          </cell>
          <cell r="E123">
            <v>116140</v>
          </cell>
          <cell r="F123">
            <v>0.9</v>
          </cell>
          <cell r="G123">
            <v>102120</v>
          </cell>
        </row>
        <row r="124">
          <cell r="A124" t="str">
            <v>13-2060</v>
          </cell>
          <cell r="B124" t="str">
            <v>Financial Examiners</v>
          </cell>
          <cell r="C124">
            <v>63370</v>
          </cell>
          <cell r="D124">
            <v>1.2</v>
          </cell>
          <cell r="E124">
            <v>95610</v>
          </cell>
          <cell r="F124">
            <v>0.5</v>
          </cell>
          <cell r="G124">
            <v>82210</v>
          </cell>
        </row>
        <row r="125">
          <cell r="A125" t="str">
            <v>13-2061</v>
          </cell>
          <cell r="B125" t="str">
            <v>Financial Examiners</v>
          </cell>
          <cell r="C125">
            <v>63370</v>
          </cell>
          <cell r="D125">
            <v>1.2</v>
          </cell>
          <cell r="E125">
            <v>95610</v>
          </cell>
          <cell r="F125">
            <v>0.5</v>
          </cell>
          <cell r="G125">
            <v>82210</v>
          </cell>
        </row>
        <row r="126">
          <cell r="A126" t="str">
            <v>13-2070</v>
          </cell>
          <cell r="B126" t="str">
            <v>Credit Counselors and Loan Officers</v>
          </cell>
          <cell r="C126">
            <v>374640</v>
          </cell>
          <cell r="D126">
            <v>1.4</v>
          </cell>
          <cell r="E126">
            <v>81640</v>
          </cell>
          <cell r="F126">
            <v>1</v>
          </cell>
          <cell r="G126">
            <v>63650</v>
          </cell>
        </row>
        <row r="127">
          <cell r="A127" t="str">
            <v>13-2071</v>
          </cell>
          <cell r="B127" t="str">
            <v>Credit Counselors</v>
          </cell>
          <cell r="C127">
            <v>29090</v>
          </cell>
          <cell r="D127">
            <v>3.3</v>
          </cell>
          <cell r="E127">
            <v>51650</v>
          </cell>
          <cell r="F127">
            <v>1</v>
          </cell>
          <cell r="G127">
            <v>47320</v>
          </cell>
        </row>
        <row r="128">
          <cell r="A128" t="str">
            <v>13-2072</v>
          </cell>
          <cell r="B128" t="str">
            <v>Loan Officers</v>
          </cell>
          <cell r="C128">
            <v>345550</v>
          </cell>
          <cell r="D128">
            <v>1.4</v>
          </cell>
          <cell r="E128">
            <v>84160</v>
          </cell>
          <cell r="F128">
            <v>1</v>
          </cell>
          <cell r="G128">
            <v>65740</v>
          </cell>
        </row>
        <row r="129">
          <cell r="A129" t="str">
            <v>13-2080</v>
          </cell>
          <cell r="B129" t="str">
            <v>Tax Examiners, Collectors and Preparers, and Revenue Agents</v>
          </cell>
          <cell r="C129">
            <v>132980</v>
          </cell>
          <cell r="D129">
            <v>2</v>
          </cell>
          <cell r="E129">
            <v>59100</v>
          </cell>
          <cell r="F129">
            <v>0.9</v>
          </cell>
          <cell r="G129">
            <v>51830</v>
          </cell>
        </row>
        <row r="130">
          <cell r="A130" t="str">
            <v>13-2081</v>
          </cell>
          <cell r="B130" t="str">
            <v>Tax Examiners and Collectors, and Revenue Agents</v>
          </cell>
          <cell r="C130">
            <v>50610</v>
          </cell>
          <cell r="D130">
            <v>0.6</v>
          </cell>
          <cell r="E130">
            <v>64410</v>
          </cell>
          <cell r="F130">
            <v>0.3</v>
          </cell>
          <cell r="G130">
            <v>57950</v>
          </cell>
        </row>
        <row r="131">
          <cell r="A131" t="str">
            <v>13-2082</v>
          </cell>
          <cell r="B131" t="str">
            <v>Tax Preparers</v>
          </cell>
          <cell r="C131">
            <v>82370</v>
          </cell>
          <cell r="D131">
            <v>3.3</v>
          </cell>
          <cell r="E131">
            <v>55840</v>
          </cell>
          <cell r="F131">
            <v>1.4</v>
          </cell>
          <cell r="G131">
            <v>48250</v>
          </cell>
        </row>
        <row r="132">
          <cell r="A132" t="str">
            <v>13-2090</v>
          </cell>
          <cell r="B132" t="str">
            <v>Miscellaneous Financial Specialists</v>
          </cell>
          <cell r="C132">
            <v>127020</v>
          </cell>
          <cell r="D132">
            <v>1.1000000000000001</v>
          </cell>
          <cell r="E132">
            <v>83580</v>
          </cell>
          <cell r="F132">
            <v>1.1000000000000001</v>
          </cell>
          <cell r="G132">
            <v>73810</v>
          </cell>
        </row>
        <row r="133">
          <cell r="A133" t="str">
            <v>13-2099</v>
          </cell>
          <cell r="B133" t="str">
            <v>Financial Specialists, All Other</v>
          </cell>
          <cell r="C133">
            <v>127020</v>
          </cell>
          <cell r="D133">
            <v>1.1000000000000001</v>
          </cell>
          <cell r="E133">
            <v>83580</v>
          </cell>
          <cell r="F133">
            <v>1.1000000000000001</v>
          </cell>
          <cell r="G133">
            <v>73810</v>
          </cell>
        </row>
        <row r="134">
          <cell r="A134" t="str">
            <v>15-0000</v>
          </cell>
          <cell r="B134" t="str">
            <v>Computer and Mathematical Occupations</v>
          </cell>
          <cell r="C134">
            <v>5003910</v>
          </cell>
          <cell r="D134">
            <v>0.2</v>
          </cell>
          <cell r="E134">
            <v>108130</v>
          </cell>
          <cell r="F134">
            <v>0.5</v>
          </cell>
          <cell r="G134">
            <v>100440</v>
          </cell>
        </row>
        <row r="135">
          <cell r="A135" t="str">
            <v>15-1200</v>
          </cell>
          <cell r="B135" t="str">
            <v>Computer Occupations</v>
          </cell>
          <cell r="C135">
            <v>4677500</v>
          </cell>
          <cell r="D135">
            <v>0.2</v>
          </cell>
          <cell r="E135">
            <v>108100</v>
          </cell>
          <cell r="F135">
            <v>0.5</v>
          </cell>
          <cell r="G135">
            <v>100530</v>
          </cell>
        </row>
        <row r="136">
          <cell r="A136" t="str">
            <v>15-1210</v>
          </cell>
          <cell r="B136" t="str">
            <v>Computer and Information Analysts</v>
          </cell>
          <cell r="C136">
            <v>668900</v>
          </cell>
          <cell r="D136">
            <v>1.1000000000000001</v>
          </cell>
          <cell r="E136">
            <v>110550</v>
          </cell>
          <cell r="F136">
            <v>0.5</v>
          </cell>
          <cell r="G136">
            <v>104230</v>
          </cell>
        </row>
        <row r="137">
          <cell r="A137" t="str">
            <v>15-1211</v>
          </cell>
          <cell r="B137" t="str">
            <v>Computer Systems Analysts</v>
          </cell>
          <cell r="C137">
            <v>505210</v>
          </cell>
          <cell r="D137">
            <v>1.4</v>
          </cell>
          <cell r="E137">
            <v>107530</v>
          </cell>
          <cell r="F137">
            <v>0.5</v>
          </cell>
          <cell r="G137">
            <v>102240</v>
          </cell>
        </row>
        <row r="138">
          <cell r="A138" t="str">
            <v>15-1212</v>
          </cell>
          <cell r="B138" t="str">
            <v>Information Security Analysts</v>
          </cell>
          <cell r="C138">
            <v>163690</v>
          </cell>
          <cell r="D138">
            <v>1.3</v>
          </cell>
          <cell r="E138">
            <v>119860</v>
          </cell>
          <cell r="F138">
            <v>0.7</v>
          </cell>
          <cell r="G138">
            <v>112000</v>
          </cell>
        </row>
        <row r="139">
          <cell r="A139" t="str">
            <v>15-1220</v>
          </cell>
          <cell r="B139" t="str">
            <v>Computer and Information Research Scientists</v>
          </cell>
          <cell r="C139">
            <v>33780</v>
          </cell>
          <cell r="D139">
            <v>5.8</v>
          </cell>
          <cell r="E139">
            <v>155880</v>
          </cell>
          <cell r="F139">
            <v>6.7</v>
          </cell>
          <cell r="G139">
            <v>136620</v>
          </cell>
        </row>
        <row r="140">
          <cell r="A140" t="str">
            <v>15-1221</v>
          </cell>
          <cell r="B140" t="str">
            <v>Computer and Information Research Scientists</v>
          </cell>
          <cell r="C140">
            <v>33780</v>
          </cell>
          <cell r="D140">
            <v>5.8</v>
          </cell>
          <cell r="E140">
            <v>155880</v>
          </cell>
          <cell r="F140">
            <v>6.7</v>
          </cell>
          <cell r="G140">
            <v>136620</v>
          </cell>
        </row>
        <row r="141">
          <cell r="A141" t="str">
            <v>15-1230</v>
          </cell>
          <cell r="B141" t="str">
            <v>Computer Support Specialists</v>
          </cell>
          <cell r="C141">
            <v>865750</v>
          </cell>
          <cell r="D141">
            <v>0.6</v>
          </cell>
          <cell r="E141">
            <v>64410</v>
          </cell>
          <cell r="F141">
            <v>0.4</v>
          </cell>
          <cell r="G141">
            <v>59660</v>
          </cell>
        </row>
        <row r="142">
          <cell r="A142" t="str">
            <v>15-1231</v>
          </cell>
          <cell r="B142" t="str">
            <v>Computer Network Support Specialists</v>
          </cell>
          <cell r="C142">
            <v>168920</v>
          </cell>
          <cell r="D142">
            <v>1.2</v>
          </cell>
          <cell r="E142">
            <v>76060</v>
          </cell>
          <cell r="F142">
            <v>0.9</v>
          </cell>
          <cell r="G142">
            <v>68050</v>
          </cell>
        </row>
        <row r="143">
          <cell r="A143" t="str">
            <v>15-1232</v>
          </cell>
          <cell r="B143" t="str">
            <v>Computer User Support Specialists</v>
          </cell>
          <cell r="C143">
            <v>696830</v>
          </cell>
          <cell r="D143">
            <v>0.7</v>
          </cell>
          <cell r="E143">
            <v>61580</v>
          </cell>
          <cell r="F143">
            <v>0.5</v>
          </cell>
          <cell r="G143">
            <v>57890</v>
          </cell>
        </row>
        <row r="144">
          <cell r="A144" t="str">
            <v>15-1240</v>
          </cell>
          <cell r="B144" t="str">
            <v>Database and Network Administrators and Architects</v>
          </cell>
          <cell r="C144">
            <v>642840</v>
          </cell>
          <cell r="D144">
            <v>0.8</v>
          </cell>
          <cell r="E144">
            <v>110400</v>
          </cell>
          <cell r="F144">
            <v>0.7</v>
          </cell>
          <cell r="G144">
            <v>103270</v>
          </cell>
        </row>
        <row r="145">
          <cell r="A145" t="str">
            <v>15-1241</v>
          </cell>
          <cell r="B145" t="str">
            <v>Computer Network Architects</v>
          </cell>
          <cell r="C145">
            <v>173920</v>
          </cell>
          <cell r="D145">
            <v>1</v>
          </cell>
          <cell r="E145">
            <v>129490</v>
          </cell>
          <cell r="F145">
            <v>0.7</v>
          </cell>
          <cell r="G145">
            <v>126900</v>
          </cell>
        </row>
        <row r="146">
          <cell r="A146" t="str">
            <v>15-1242</v>
          </cell>
          <cell r="B146" t="str">
            <v>Database Administrators</v>
          </cell>
          <cell r="C146">
            <v>80520</v>
          </cell>
          <cell r="D146">
            <v>1.1000000000000001</v>
          </cell>
          <cell r="E146">
            <v>102530</v>
          </cell>
          <cell r="F146">
            <v>0.6</v>
          </cell>
          <cell r="G146">
            <v>99890</v>
          </cell>
        </row>
        <row r="147">
          <cell r="A147" t="str">
            <v>15-1243</v>
          </cell>
          <cell r="B147" t="str">
            <v>Database Architects</v>
          </cell>
          <cell r="C147">
            <v>62470</v>
          </cell>
          <cell r="D147">
            <v>6.1</v>
          </cell>
          <cell r="E147">
            <v>136540</v>
          </cell>
          <cell r="F147">
            <v>2.4</v>
          </cell>
          <cell r="G147">
            <v>134870</v>
          </cell>
        </row>
        <row r="148">
          <cell r="A148" t="str">
            <v>15-1244</v>
          </cell>
          <cell r="B148" t="str">
            <v>Network and Computer Systems Administrators</v>
          </cell>
          <cell r="C148">
            <v>325930</v>
          </cell>
          <cell r="D148">
            <v>0.7</v>
          </cell>
          <cell r="E148">
            <v>97160</v>
          </cell>
          <cell r="F148">
            <v>0.6</v>
          </cell>
          <cell r="G148">
            <v>90520</v>
          </cell>
        </row>
        <row r="149">
          <cell r="A149" t="str">
            <v>15-1250</v>
          </cell>
          <cell r="B149" t="str">
            <v>Software and Web Developers, Programmers, and Testers</v>
          </cell>
          <cell r="C149">
            <v>2049920</v>
          </cell>
          <cell r="D149">
            <v>0.4</v>
          </cell>
          <cell r="E149">
            <v>124940</v>
          </cell>
          <cell r="F149">
            <v>0.6</v>
          </cell>
          <cell r="G149">
            <v>114190</v>
          </cell>
        </row>
        <row r="150">
          <cell r="A150" t="str">
            <v>15-1251</v>
          </cell>
          <cell r="B150" t="str">
            <v>Computer Programmers</v>
          </cell>
          <cell r="C150">
            <v>132740</v>
          </cell>
          <cell r="D150">
            <v>2.8</v>
          </cell>
          <cell r="E150">
            <v>102790</v>
          </cell>
          <cell r="F150">
            <v>1.4</v>
          </cell>
          <cell r="G150">
            <v>97800</v>
          </cell>
        </row>
        <row r="151">
          <cell r="A151" t="str">
            <v>15-1252</v>
          </cell>
          <cell r="B151" t="str">
            <v>Software Developers</v>
          </cell>
          <cell r="C151">
            <v>1534790</v>
          </cell>
          <cell r="D151">
            <v>0.4</v>
          </cell>
          <cell r="E151">
            <v>132930</v>
          </cell>
          <cell r="F151">
            <v>0.6</v>
          </cell>
          <cell r="G151">
            <v>127260</v>
          </cell>
        </row>
        <row r="152">
          <cell r="A152" t="str">
            <v>15-1253</v>
          </cell>
          <cell r="B152" t="str">
            <v>Software Quality Assurance Analysts and Testers</v>
          </cell>
          <cell r="C152">
            <v>196420</v>
          </cell>
          <cell r="D152">
            <v>2</v>
          </cell>
          <cell r="E152">
            <v>105750</v>
          </cell>
          <cell r="F152">
            <v>0.6</v>
          </cell>
          <cell r="G152">
            <v>99620</v>
          </cell>
        </row>
        <row r="153">
          <cell r="A153" t="str">
            <v>15-1254</v>
          </cell>
          <cell r="B153" t="str">
            <v>Web Developers</v>
          </cell>
          <cell r="C153">
            <v>88620</v>
          </cell>
          <cell r="D153">
            <v>2.8</v>
          </cell>
          <cell r="E153">
            <v>87580</v>
          </cell>
          <cell r="F153">
            <v>2.9</v>
          </cell>
          <cell r="G153">
            <v>78580</v>
          </cell>
        </row>
        <row r="154">
          <cell r="A154" t="str">
            <v>15-1255</v>
          </cell>
          <cell r="B154" t="str">
            <v>Web and Digital Interface Designers</v>
          </cell>
          <cell r="C154">
            <v>97350</v>
          </cell>
          <cell r="D154">
            <v>3.7</v>
          </cell>
          <cell r="E154">
            <v>101740</v>
          </cell>
          <cell r="F154">
            <v>2.4</v>
          </cell>
          <cell r="G154">
            <v>83240</v>
          </cell>
        </row>
        <row r="155">
          <cell r="A155" t="str">
            <v>15-1290</v>
          </cell>
          <cell r="B155" t="str">
            <v>Miscellaneous Computer Occupations</v>
          </cell>
          <cell r="C155">
            <v>416320</v>
          </cell>
          <cell r="D155">
            <v>0.7</v>
          </cell>
          <cell r="E155">
            <v>104660</v>
          </cell>
          <cell r="F155">
            <v>0.7</v>
          </cell>
          <cell r="G155">
            <v>98740</v>
          </cell>
        </row>
        <row r="156">
          <cell r="A156" t="str">
            <v>15-1299</v>
          </cell>
          <cell r="B156" t="str">
            <v>Computer Occupations, All Other</v>
          </cell>
          <cell r="C156">
            <v>416320</v>
          </cell>
          <cell r="D156">
            <v>0.7</v>
          </cell>
          <cell r="E156">
            <v>104660</v>
          </cell>
          <cell r="F156">
            <v>0.7</v>
          </cell>
          <cell r="G156">
            <v>98740</v>
          </cell>
        </row>
        <row r="157">
          <cell r="A157" t="str">
            <v>15-2000</v>
          </cell>
          <cell r="B157" t="str">
            <v>Mathematical Science Occupations</v>
          </cell>
          <cell r="C157">
            <v>326400</v>
          </cell>
          <cell r="D157">
            <v>0.9</v>
          </cell>
          <cell r="E157">
            <v>108620</v>
          </cell>
          <cell r="F157">
            <v>0.5</v>
          </cell>
          <cell r="G157">
            <v>99590</v>
          </cell>
        </row>
        <row r="158">
          <cell r="A158" t="str">
            <v>15-2010</v>
          </cell>
          <cell r="B158" t="str">
            <v>Actuaries</v>
          </cell>
          <cell r="C158">
            <v>25010</v>
          </cell>
          <cell r="D158">
            <v>4.3</v>
          </cell>
          <cell r="E158">
            <v>127580</v>
          </cell>
          <cell r="F158">
            <v>0.9</v>
          </cell>
          <cell r="G158">
            <v>113990</v>
          </cell>
        </row>
        <row r="159">
          <cell r="A159" t="str">
            <v>15-2011</v>
          </cell>
          <cell r="B159" t="str">
            <v>Actuaries</v>
          </cell>
          <cell r="C159">
            <v>25010</v>
          </cell>
          <cell r="D159">
            <v>4.3</v>
          </cell>
          <cell r="E159">
            <v>127580</v>
          </cell>
          <cell r="F159">
            <v>0.9</v>
          </cell>
          <cell r="G159">
            <v>113990</v>
          </cell>
        </row>
        <row r="160">
          <cell r="A160" t="str">
            <v>15-2020</v>
          </cell>
          <cell r="B160" t="str">
            <v>Mathematicians</v>
          </cell>
          <cell r="C160">
            <v>2070</v>
          </cell>
          <cell r="D160">
            <v>3.7</v>
          </cell>
          <cell r="E160">
            <v>113860</v>
          </cell>
          <cell r="F160">
            <v>1</v>
          </cell>
          <cell r="G160">
            <v>112110</v>
          </cell>
        </row>
        <row r="161">
          <cell r="A161" t="str">
            <v>15-2021</v>
          </cell>
          <cell r="B161" t="str">
            <v>Mathematicians</v>
          </cell>
          <cell r="C161">
            <v>2070</v>
          </cell>
          <cell r="D161">
            <v>3.7</v>
          </cell>
          <cell r="E161">
            <v>113860</v>
          </cell>
          <cell r="F161">
            <v>1</v>
          </cell>
          <cell r="G161">
            <v>112110</v>
          </cell>
        </row>
        <row r="162">
          <cell r="A162" t="str">
            <v>15-2030</v>
          </cell>
          <cell r="B162" t="str">
            <v>Operations Research Analysts</v>
          </cell>
          <cell r="C162">
            <v>105080</v>
          </cell>
          <cell r="D162">
            <v>1.5</v>
          </cell>
          <cell r="E162">
            <v>95820</v>
          </cell>
          <cell r="F162">
            <v>0.8</v>
          </cell>
          <cell r="G162">
            <v>85720</v>
          </cell>
        </row>
        <row r="163">
          <cell r="A163" t="str">
            <v>15-2031</v>
          </cell>
          <cell r="B163" t="str">
            <v>Operations Research Analysts</v>
          </cell>
          <cell r="C163">
            <v>105080</v>
          </cell>
          <cell r="D163">
            <v>1.5</v>
          </cell>
          <cell r="E163">
            <v>95820</v>
          </cell>
          <cell r="F163">
            <v>0.8</v>
          </cell>
          <cell r="G163">
            <v>85720</v>
          </cell>
        </row>
        <row r="164">
          <cell r="A164" t="str">
            <v>15-2040</v>
          </cell>
          <cell r="B164" t="str">
            <v>Statisticians</v>
          </cell>
          <cell r="C164">
            <v>30780</v>
          </cell>
          <cell r="D164">
            <v>1.9</v>
          </cell>
          <cell r="E164">
            <v>105510</v>
          </cell>
          <cell r="F164">
            <v>1</v>
          </cell>
          <cell r="G164">
            <v>98920</v>
          </cell>
        </row>
        <row r="165">
          <cell r="A165" t="str">
            <v>15-2041</v>
          </cell>
          <cell r="B165" t="str">
            <v>Statisticians</v>
          </cell>
          <cell r="C165">
            <v>30780</v>
          </cell>
          <cell r="D165">
            <v>1.9</v>
          </cell>
          <cell r="E165">
            <v>105510</v>
          </cell>
          <cell r="F165">
            <v>1</v>
          </cell>
          <cell r="G165">
            <v>98920</v>
          </cell>
        </row>
        <row r="166">
          <cell r="A166" t="str">
            <v>15-2050</v>
          </cell>
          <cell r="B166" t="str">
            <v>Data Scientists</v>
          </cell>
          <cell r="C166">
            <v>159630</v>
          </cell>
          <cell r="D166">
            <v>1.4</v>
          </cell>
          <cell r="E166">
            <v>115240</v>
          </cell>
          <cell r="F166">
            <v>0.7</v>
          </cell>
          <cell r="G166">
            <v>103500</v>
          </cell>
        </row>
        <row r="167">
          <cell r="A167" t="str">
            <v>15-2051</v>
          </cell>
          <cell r="B167" t="str">
            <v>Data Scientists</v>
          </cell>
          <cell r="C167">
            <v>159630</v>
          </cell>
          <cell r="D167">
            <v>1.4</v>
          </cell>
          <cell r="E167">
            <v>115240</v>
          </cell>
          <cell r="F167">
            <v>0.7</v>
          </cell>
          <cell r="G167">
            <v>103500</v>
          </cell>
        </row>
        <row r="168">
          <cell r="A168" t="str">
            <v>15-2090</v>
          </cell>
          <cell r="B168" t="str">
            <v>Miscellaneous Mathematical Science Occupations</v>
          </cell>
          <cell r="C168">
            <v>3840</v>
          </cell>
          <cell r="D168">
            <v>6.7</v>
          </cell>
          <cell r="E168">
            <v>82160</v>
          </cell>
          <cell r="F168">
            <v>1.4</v>
          </cell>
          <cell r="G168">
            <v>71700</v>
          </cell>
        </row>
        <row r="169">
          <cell r="A169" t="str">
            <v>15-2099</v>
          </cell>
          <cell r="B169" t="str">
            <v>Mathematical Science Occupations, All Other</v>
          </cell>
          <cell r="C169">
            <v>3840</v>
          </cell>
          <cell r="D169">
            <v>6.7</v>
          </cell>
          <cell r="E169">
            <v>82160</v>
          </cell>
          <cell r="F169">
            <v>1.4</v>
          </cell>
          <cell r="G169">
            <v>71700</v>
          </cell>
        </row>
        <row r="170">
          <cell r="A170" t="str">
            <v>17-0000</v>
          </cell>
          <cell r="B170" t="str">
            <v>Architecture and Engineering Occupations</v>
          </cell>
          <cell r="C170">
            <v>2481170</v>
          </cell>
          <cell r="D170">
            <v>0.3</v>
          </cell>
          <cell r="E170">
            <v>94670</v>
          </cell>
          <cell r="F170">
            <v>0.5</v>
          </cell>
          <cell r="G170">
            <v>83700</v>
          </cell>
        </row>
        <row r="171">
          <cell r="A171" t="str">
            <v>17-1000</v>
          </cell>
          <cell r="B171" t="str">
            <v>Architects, Surveyors, and Cartographers</v>
          </cell>
          <cell r="C171">
            <v>186640</v>
          </cell>
          <cell r="D171">
            <v>1.2</v>
          </cell>
          <cell r="E171">
            <v>86670</v>
          </cell>
          <cell r="F171">
            <v>0.9</v>
          </cell>
          <cell r="G171">
            <v>79000</v>
          </cell>
        </row>
        <row r="172">
          <cell r="A172" t="str">
            <v>17-1010</v>
          </cell>
          <cell r="B172" t="str">
            <v>Architects, Except Naval</v>
          </cell>
          <cell r="C172">
            <v>125610</v>
          </cell>
          <cell r="D172">
            <v>1.6</v>
          </cell>
          <cell r="E172">
            <v>93810</v>
          </cell>
          <cell r="F172">
            <v>1.1000000000000001</v>
          </cell>
          <cell r="G172">
            <v>81640</v>
          </cell>
        </row>
        <row r="173">
          <cell r="A173" t="str">
            <v>17-1011</v>
          </cell>
          <cell r="B173" t="str">
            <v>Architects, Except Landscape and Naval</v>
          </cell>
          <cell r="C173">
            <v>107490</v>
          </cell>
          <cell r="D173">
            <v>1.4</v>
          </cell>
          <cell r="E173">
            <v>96510</v>
          </cell>
          <cell r="F173">
            <v>1.2</v>
          </cell>
          <cell r="G173">
            <v>82840</v>
          </cell>
        </row>
        <row r="174">
          <cell r="A174" t="str">
            <v>17-1012</v>
          </cell>
          <cell r="B174" t="str">
            <v>Landscape Architects</v>
          </cell>
          <cell r="C174">
            <v>18120</v>
          </cell>
          <cell r="D174">
            <v>4.5999999999999996</v>
          </cell>
          <cell r="E174">
            <v>77820</v>
          </cell>
          <cell r="F174">
            <v>1.1000000000000001</v>
          </cell>
          <cell r="G174">
            <v>73210</v>
          </cell>
        </row>
        <row r="175">
          <cell r="A175" t="str">
            <v>17-1020</v>
          </cell>
          <cell r="B175" t="str">
            <v>Surveyors, Cartographers, and Photogrammetrists</v>
          </cell>
          <cell r="C175">
            <v>61030</v>
          </cell>
          <cell r="D175">
            <v>4.9000000000000004</v>
          </cell>
          <cell r="E175">
            <v>71980</v>
          </cell>
          <cell r="F175">
            <v>0.6</v>
          </cell>
          <cell r="G175">
            <v>64710</v>
          </cell>
        </row>
        <row r="176">
          <cell r="A176" t="str">
            <v>17-1021</v>
          </cell>
          <cell r="B176" t="str">
            <v>Cartographers and Photogrammetrists</v>
          </cell>
          <cell r="C176">
            <v>13270</v>
          </cell>
          <cell r="D176">
            <v>8.9</v>
          </cell>
          <cell r="E176">
            <v>75300</v>
          </cell>
          <cell r="F176">
            <v>0.7</v>
          </cell>
          <cell r="G176">
            <v>71890</v>
          </cell>
        </row>
        <row r="177">
          <cell r="A177" t="str">
            <v>17-1022</v>
          </cell>
          <cell r="B177" t="str">
            <v>Surveyors</v>
          </cell>
          <cell r="C177">
            <v>47770</v>
          </cell>
          <cell r="D177">
            <v>4.4000000000000004</v>
          </cell>
          <cell r="E177">
            <v>71060</v>
          </cell>
          <cell r="F177">
            <v>0.7</v>
          </cell>
          <cell r="G177">
            <v>63080</v>
          </cell>
        </row>
        <row r="178">
          <cell r="A178" t="str">
            <v>17-2000</v>
          </cell>
          <cell r="B178" t="str">
            <v>Engineers</v>
          </cell>
          <cell r="C178">
            <v>1659230</v>
          </cell>
          <cell r="D178">
            <v>0.7</v>
          </cell>
          <cell r="E178">
            <v>107170</v>
          </cell>
          <cell r="F178">
            <v>0.4</v>
          </cell>
          <cell r="G178">
            <v>100030</v>
          </cell>
        </row>
        <row r="179">
          <cell r="A179" t="str">
            <v>17-2010</v>
          </cell>
          <cell r="B179" t="str">
            <v>Aerospace Engineers</v>
          </cell>
          <cell r="C179">
            <v>61580</v>
          </cell>
          <cell r="D179">
            <v>1.7</v>
          </cell>
          <cell r="E179">
            <v>127090</v>
          </cell>
          <cell r="F179">
            <v>0.6</v>
          </cell>
          <cell r="G179">
            <v>126880</v>
          </cell>
        </row>
        <row r="180">
          <cell r="A180" t="str">
            <v>17-2011</v>
          </cell>
          <cell r="B180" t="str">
            <v>Aerospace Engineers</v>
          </cell>
          <cell r="C180">
            <v>61580</v>
          </cell>
          <cell r="D180">
            <v>1.7</v>
          </cell>
          <cell r="E180">
            <v>127090</v>
          </cell>
          <cell r="F180">
            <v>0.6</v>
          </cell>
          <cell r="G180">
            <v>126880</v>
          </cell>
        </row>
        <row r="181">
          <cell r="A181" t="str">
            <v>17-2020</v>
          </cell>
          <cell r="B181" t="str">
            <v>Agricultural Engineers</v>
          </cell>
          <cell r="C181">
            <v>1500</v>
          </cell>
          <cell r="D181">
            <v>14.2</v>
          </cell>
          <cell r="E181">
            <v>90710</v>
          </cell>
          <cell r="F181">
            <v>1.3</v>
          </cell>
          <cell r="G181">
            <v>83260</v>
          </cell>
        </row>
        <row r="182">
          <cell r="A182" t="str">
            <v>17-2021</v>
          </cell>
          <cell r="B182" t="str">
            <v>Agricultural Engineers</v>
          </cell>
          <cell r="C182">
            <v>1500</v>
          </cell>
          <cell r="D182">
            <v>14.2</v>
          </cell>
          <cell r="E182">
            <v>90710</v>
          </cell>
          <cell r="F182">
            <v>1.3</v>
          </cell>
          <cell r="G182">
            <v>83260</v>
          </cell>
        </row>
        <row r="183">
          <cell r="A183" t="str">
            <v>17-2030</v>
          </cell>
          <cell r="B183" t="str">
            <v>Bioengineers and Biomedical Engineers</v>
          </cell>
          <cell r="C183">
            <v>19210</v>
          </cell>
          <cell r="D183">
            <v>4.5999999999999996</v>
          </cell>
          <cell r="E183">
            <v>108060</v>
          </cell>
          <cell r="F183">
            <v>1.5</v>
          </cell>
          <cell r="G183">
            <v>99550</v>
          </cell>
        </row>
        <row r="184">
          <cell r="A184" t="str">
            <v>17-2031</v>
          </cell>
          <cell r="B184" t="str">
            <v>Bioengineers and Biomedical Engineers</v>
          </cell>
          <cell r="C184">
            <v>19210</v>
          </cell>
          <cell r="D184">
            <v>4.5999999999999996</v>
          </cell>
          <cell r="E184">
            <v>108060</v>
          </cell>
          <cell r="F184">
            <v>1.5</v>
          </cell>
          <cell r="G184">
            <v>99550</v>
          </cell>
        </row>
        <row r="185">
          <cell r="A185" t="str">
            <v>17-2040</v>
          </cell>
          <cell r="B185" t="str">
            <v>Chemical Engineers</v>
          </cell>
          <cell r="C185">
            <v>20380</v>
          </cell>
          <cell r="D185">
            <v>3.7</v>
          </cell>
          <cell r="E185">
            <v>117820</v>
          </cell>
          <cell r="F185">
            <v>1.4</v>
          </cell>
          <cell r="G185">
            <v>106260</v>
          </cell>
        </row>
        <row r="186">
          <cell r="A186" t="str">
            <v>17-2041</v>
          </cell>
          <cell r="B186" t="str">
            <v>Chemical Engineers</v>
          </cell>
          <cell r="C186">
            <v>20380</v>
          </cell>
          <cell r="D186">
            <v>3.7</v>
          </cell>
          <cell r="E186">
            <v>117820</v>
          </cell>
          <cell r="F186">
            <v>1.4</v>
          </cell>
          <cell r="G186">
            <v>106260</v>
          </cell>
        </row>
        <row r="187">
          <cell r="A187" t="str">
            <v>17-2050</v>
          </cell>
          <cell r="B187" t="str">
            <v>Civil Engineers</v>
          </cell>
          <cell r="C187">
            <v>307570</v>
          </cell>
          <cell r="D187">
            <v>1.9</v>
          </cell>
          <cell r="E187">
            <v>97380</v>
          </cell>
          <cell r="F187">
            <v>0.8</v>
          </cell>
          <cell r="G187">
            <v>89940</v>
          </cell>
        </row>
        <row r="188">
          <cell r="A188" t="str">
            <v>17-2051</v>
          </cell>
          <cell r="B188" t="str">
            <v>Civil Engineers</v>
          </cell>
          <cell r="C188">
            <v>307570</v>
          </cell>
          <cell r="D188">
            <v>1.9</v>
          </cell>
          <cell r="E188">
            <v>97380</v>
          </cell>
          <cell r="F188">
            <v>0.8</v>
          </cell>
          <cell r="G188">
            <v>89940</v>
          </cell>
        </row>
        <row r="189">
          <cell r="A189" t="str">
            <v>17-2060</v>
          </cell>
          <cell r="B189" t="str">
            <v>Computer Hardware Engineers</v>
          </cell>
          <cell r="C189">
            <v>74640</v>
          </cell>
          <cell r="D189">
            <v>3.7</v>
          </cell>
          <cell r="E189">
            <v>140830</v>
          </cell>
          <cell r="F189">
            <v>1.8</v>
          </cell>
          <cell r="G189">
            <v>132360</v>
          </cell>
        </row>
        <row r="190">
          <cell r="A190" t="str">
            <v>17-2061</v>
          </cell>
          <cell r="B190" t="str">
            <v>Computer Hardware Engineers</v>
          </cell>
          <cell r="C190">
            <v>74640</v>
          </cell>
          <cell r="D190">
            <v>3.7</v>
          </cell>
          <cell r="E190">
            <v>140830</v>
          </cell>
          <cell r="F190">
            <v>1.8</v>
          </cell>
          <cell r="G190">
            <v>132360</v>
          </cell>
        </row>
        <row r="191">
          <cell r="A191" t="str">
            <v>17-2070</v>
          </cell>
          <cell r="B191" t="str">
            <v>Electrical and Electronics Engineers</v>
          </cell>
          <cell r="C191">
            <v>288860</v>
          </cell>
          <cell r="D191">
            <v>0.9</v>
          </cell>
          <cell r="E191">
            <v>115680</v>
          </cell>
          <cell r="F191">
            <v>0.7</v>
          </cell>
          <cell r="G191">
            <v>104610</v>
          </cell>
        </row>
        <row r="192">
          <cell r="A192" t="str">
            <v>17-2071</v>
          </cell>
          <cell r="B192" t="str">
            <v>Electrical Engineers</v>
          </cell>
          <cell r="C192">
            <v>182210</v>
          </cell>
          <cell r="D192">
            <v>1</v>
          </cell>
          <cell r="E192">
            <v>114050</v>
          </cell>
          <cell r="F192">
            <v>0.9</v>
          </cell>
          <cell r="G192">
            <v>103320</v>
          </cell>
        </row>
        <row r="193">
          <cell r="A193" t="str">
            <v>17-2072</v>
          </cell>
          <cell r="B193" t="str">
            <v>Electronics Engineers, Except Computer</v>
          </cell>
          <cell r="C193">
            <v>106640</v>
          </cell>
          <cell r="D193">
            <v>1.7</v>
          </cell>
          <cell r="E193">
            <v>118460</v>
          </cell>
          <cell r="F193">
            <v>0.9</v>
          </cell>
          <cell r="G193">
            <v>108170</v>
          </cell>
        </row>
        <row r="194">
          <cell r="A194" t="str">
            <v>17-2080</v>
          </cell>
          <cell r="B194" t="str">
            <v>Environmental Engineers</v>
          </cell>
          <cell r="C194">
            <v>45440</v>
          </cell>
          <cell r="D194">
            <v>2.7</v>
          </cell>
          <cell r="E194">
            <v>101670</v>
          </cell>
          <cell r="F194">
            <v>1</v>
          </cell>
          <cell r="G194">
            <v>96530</v>
          </cell>
        </row>
        <row r="195">
          <cell r="A195" t="str">
            <v>17-2081</v>
          </cell>
          <cell r="B195" t="str">
            <v>Environmental Engineers</v>
          </cell>
          <cell r="C195">
            <v>45440</v>
          </cell>
          <cell r="D195">
            <v>2.7</v>
          </cell>
          <cell r="E195">
            <v>101670</v>
          </cell>
          <cell r="F195">
            <v>1</v>
          </cell>
          <cell r="G195">
            <v>96530</v>
          </cell>
        </row>
        <row r="196">
          <cell r="A196" t="str">
            <v>17-2110</v>
          </cell>
          <cell r="B196" t="str">
            <v>Industrial Engineers, Including Health and Safety</v>
          </cell>
          <cell r="C196">
            <v>342920</v>
          </cell>
          <cell r="D196">
            <v>0.8</v>
          </cell>
          <cell r="E196">
            <v>98880</v>
          </cell>
          <cell r="F196">
            <v>0.4</v>
          </cell>
          <cell r="G196">
            <v>96590</v>
          </cell>
        </row>
        <row r="197">
          <cell r="A197" t="str">
            <v>17-2111</v>
          </cell>
          <cell r="B197" t="str">
            <v>Health and Safety Engineers, Except Mining Safety Engineers and Inspectors</v>
          </cell>
          <cell r="C197">
            <v>21520</v>
          </cell>
          <cell r="D197">
            <v>4.0999999999999996</v>
          </cell>
          <cell r="E197">
            <v>103570</v>
          </cell>
          <cell r="F197">
            <v>0.6</v>
          </cell>
          <cell r="G197">
            <v>100660</v>
          </cell>
        </row>
        <row r="198">
          <cell r="A198" t="str">
            <v>17-2112</v>
          </cell>
          <cell r="B198" t="str">
            <v>Industrial Engineers</v>
          </cell>
          <cell r="C198">
            <v>321400</v>
          </cell>
          <cell r="D198">
            <v>0.6</v>
          </cell>
          <cell r="E198">
            <v>98560</v>
          </cell>
          <cell r="F198">
            <v>0.4</v>
          </cell>
          <cell r="G198">
            <v>96350</v>
          </cell>
        </row>
        <row r="199">
          <cell r="A199" t="str">
            <v>17-2120</v>
          </cell>
          <cell r="B199" t="str">
            <v>Marine Engineers and Naval Architects</v>
          </cell>
          <cell r="C199">
            <v>7450</v>
          </cell>
          <cell r="D199">
            <v>7.5</v>
          </cell>
          <cell r="E199">
            <v>105560</v>
          </cell>
          <cell r="F199">
            <v>3.7</v>
          </cell>
          <cell r="G199">
            <v>96910</v>
          </cell>
        </row>
        <row r="200">
          <cell r="A200" t="str">
            <v>17-2121</v>
          </cell>
          <cell r="B200" t="str">
            <v>Marine Engineers and Naval Architects</v>
          </cell>
          <cell r="C200">
            <v>7450</v>
          </cell>
          <cell r="D200">
            <v>7.5</v>
          </cell>
          <cell r="E200">
            <v>105560</v>
          </cell>
          <cell r="F200">
            <v>3.7</v>
          </cell>
          <cell r="G200">
            <v>96910</v>
          </cell>
        </row>
        <row r="201">
          <cell r="A201" t="str">
            <v>17-2130</v>
          </cell>
          <cell r="B201" t="str">
            <v>Materials Engineers</v>
          </cell>
          <cell r="C201">
            <v>21510</v>
          </cell>
          <cell r="D201">
            <v>2.2000000000000002</v>
          </cell>
          <cell r="E201">
            <v>105420</v>
          </cell>
          <cell r="F201">
            <v>1.5</v>
          </cell>
          <cell r="G201">
            <v>100140</v>
          </cell>
        </row>
        <row r="202">
          <cell r="A202" t="str">
            <v>17-2131</v>
          </cell>
          <cell r="B202" t="str">
            <v>Materials Engineers</v>
          </cell>
          <cell r="C202">
            <v>21510</v>
          </cell>
          <cell r="D202">
            <v>2.2000000000000002</v>
          </cell>
          <cell r="E202">
            <v>105420</v>
          </cell>
          <cell r="F202">
            <v>1.5</v>
          </cell>
          <cell r="G202">
            <v>100140</v>
          </cell>
        </row>
        <row r="203">
          <cell r="A203" t="str">
            <v>17-2140</v>
          </cell>
          <cell r="B203" t="str">
            <v>Mechanical Engineers</v>
          </cell>
          <cell r="C203">
            <v>277560</v>
          </cell>
          <cell r="D203">
            <v>0.8</v>
          </cell>
          <cell r="E203">
            <v>100820</v>
          </cell>
          <cell r="F203">
            <v>0.7</v>
          </cell>
          <cell r="G203">
            <v>96310</v>
          </cell>
        </row>
        <row r="204">
          <cell r="A204" t="str">
            <v>17-2141</v>
          </cell>
          <cell r="B204" t="str">
            <v>Mechanical Engineers</v>
          </cell>
          <cell r="C204">
            <v>277560</v>
          </cell>
          <cell r="D204">
            <v>0.8</v>
          </cell>
          <cell r="E204">
            <v>100820</v>
          </cell>
          <cell r="F204">
            <v>0.7</v>
          </cell>
          <cell r="G204">
            <v>96310</v>
          </cell>
        </row>
        <row r="205">
          <cell r="A205" t="str">
            <v>17-2150</v>
          </cell>
          <cell r="B205" t="str">
            <v>Mining and Geological Engineers, Including Mining Safety Engineers</v>
          </cell>
          <cell r="C205">
            <v>7390</v>
          </cell>
          <cell r="D205">
            <v>5.7</v>
          </cell>
          <cell r="E205">
            <v>101290</v>
          </cell>
          <cell r="F205">
            <v>1.1000000000000001</v>
          </cell>
          <cell r="G205">
            <v>97490</v>
          </cell>
        </row>
        <row r="206">
          <cell r="A206" t="str">
            <v>17-2151</v>
          </cell>
          <cell r="B206" t="str">
            <v>Mining and Geological Engineers, Including Mining Safety Engineers</v>
          </cell>
          <cell r="C206">
            <v>7390</v>
          </cell>
          <cell r="D206">
            <v>5.7</v>
          </cell>
          <cell r="E206">
            <v>101290</v>
          </cell>
          <cell r="F206">
            <v>1.1000000000000001</v>
          </cell>
          <cell r="G206">
            <v>97490</v>
          </cell>
        </row>
        <row r="207">
          <cell r="A207" t="str">
            <v>17-2160</v>
          </cell>
          <cell r="B207" t="str">
            <v>Nuclear Engineers</v>
          </cell>
          <cell r="C207">
            <v>12250</v>
          </cell>
          <cell r="D207">
            <v>2.2000000000000002</v>
          </cell>
          <cell r="E207">
            <v>124540</v>
          </cell>
          <cell r="F207">
            <v>1.7</v>
          </cell>
          <cell r="G207">
            <v>122480</v>
          </cell>
        </row>
        <row r="208">
          <cell r="A208" t="str">
            <v>17-2161</v>
          </cell>
          <cell r="B208" t="str">
            <v>Nuclear Engineers</v>
          </cell>
          <cell r="C208">
            <v>12250</v>
          </cell>
          <cell r="D208">
            <v>2.2000000000000002</v>
          </cell>
          <cell r="E208">
            <v>124540</v>
          </cell>
          <cell r="F208">
            <v>1.7</v>
          </cell>
          <cell r="G208">
            <v>122480</v>
          </cell>
        </row>
        <row r="209">
          <cell r="A209" t="str">
            <v>17-2170</v>
          </cell>
          <cell r="B209" t="str">
            <v>Petroleum Engineers</v>
          </cell>
          <cell r="C209">
            <v>20540</v>
          </cell>
          <cell r="D209">
            <v>4.3</v>
          </cell>
          <cell r="E209">
            <v>142800</v>
          </cell>
          <cell r="F209">
            <v>1.5</v>
          </cell>
          <cell r="G209">
            <v>131800</v>
          </cell>
        </row>
        <row r="210">
          <cell r="A210" t="str">
            <v>17-2171</v>
          </cell>
          <cell r="B210" t="str">
            <v>Petroleum Engineers</v>
          </cell>
          <cell r="C210">
            <v>20540</v>
          </cell>
          <cell r="D210">
            <v>4.3</v>
          </cell>
          <cell r="E210">
            <v>142800</v>
          </cell>
          <cell r="F210">
            <v>1.5</v>
          </cell>
          <cell r="G210">
            <v>131800</v>
          </cell>
        </row>
        <row r="211">
          <cell r="A211" t="str">
            <v>17-2190</v>
          </cell>
          <cell r="B211" t="str">
            <v>Miscellaneous Engineers</v>
          </cell>
          <cell r="C211">
            <v>150420</v>
          </cell>
          <cell r="D211">
            <v>1.1000000000000001</v>
          </cell>
          <cell r="E211">
            <v>111280</v>
          </cell>
          <cell r="F211">
            <v>0.5</v>
          </cell>
          <cell r="G211">
            <v>104600</v>
          </cell>
        </row>
        <row r="212">
          <cell r="A212" t="str">
            <v>17-2199</v>
          </cell>
          <cell r="B212" t="str">
            <v>Engineers, All Other</v>
          </cell>
          <cell r="C212">
            <v>150420</v>
          </cell>
          <cell r="D212">
            <v>1.1000000000000001</v>
          </cell>
          <cell r="E212">
            <v>111280</v>
          </cell>
          <cell r="F212">
            <v>0.5</v>
          </cell>
          <cell r="G212">
            <v>104600</v>
          </cell>
        </row>
        <row r="213">
          <cell r="A213" t="str">
            <v>17-3000</v>
          </cell>
          <cell r="B213" t="str">
            <v>Drafters, Engineering Technicians, and Mapping Technicians</v>
          </cell>
          <cell r="C213">
            <v>635300</v>
          </cell>
          <cell r="D213">
            <v>0.9</v>
          </cell>
          <cell r="E213">
            <v>64370</v>
          </cell>
          <cell r="F213">
            <v>0.4</v>
          </cell>
          <cell r="G213">
            <v>61090</v>
          </cell>
        </row>
        <row r="214">
          <cell r="A214" t="str">
            <v>17-3010</v>
          </cell>
          <cell r="B214" t="str">
            <v>Drafters</v>
          </cell>
          <cell r="C214">
            <v>192410</v>
          </cell>
          <cell r="D214">
            <v>1.6</v>
          </cell>
          <cell r="E214">
            <v>63300</v>
          </cell>
          <cell r="F214">
            <v>0.6</v>
          </cell>
          <cell r="G214">
            <v>60400</v>
          </cell>
        </row>
        <row r="215">
          <cell r="A215" t="str">
            <v>17-3011</v>
          </cell>
          <cell r="B215" t="str">
            <v>Architectural and Civil Drafters</v>
          </cell>
          <cell r="C215">
            <v>105960</v>
          </cell>
          <cell r="D215">
            <v>2.2000000000000002</v>
          </cell>
          <cell r="E215">
            <v>61660</v>
          </cell>
          <cell r="F215">
            <v>0.7</v>
          </cell>
          <cell r="G215">
            <v>59820</v>
          </cell>
        </row>
        <row r="216">
          <cell r="A216" t="str">
            <v>17-3012</v>
          </cell>
          <cell r="B216" t="str">
            <v>Electrical and Electronics Drafters</v>
          </cell>
          <cell r="C216">
            <v>20930</v>
          </cell>
          <cell r="D216">
            <v>3.9</v>
          </cell>
          <cell r="E216">
            <v>68640</v>
          </cell>
          <cell r="F216">
            <v>1</v>
          </cell>
          <cell r="G216">
            <v>64240</v>
          </cell>
        </row>
        <row r="217">
          <cell r="A217" t="str">
            <v>17-3013</v>
          </cell>
          <cell r="B217" t="str">
            <v>Mechanical Drafters</v>
          </cell>
          <cell r="C217">
            <v>47540</v>
          </cell>
          <cell r="D217">
            <v>1.5</v>
          </cell>
          <cell r="E217">
            <v>65700</v>
          </cell>
          <cell r="F217">
            <v>0.7</v>
          </cell>
          <cell r="G217">
            <v>61310</v>
          </cell>
        </row>
        <row r="218">
          <cell r="A218" t="str">
            <v>17-3019</v>
          </cell>
          <cell r="B218" t="str">
            <v>Drafters, All Other</v>
          </cell>
          <cell r="C218">
            <v>17980</v>
          </cell>
          <cell r="D218">
            <v>3.5</v>
          </cell>
          <cell r="E218">
            <v>60370</v>
          </cell>
          <cell r="F218">
            <v>0.8</v>
          </cell>
          <cell r="G218">
            <v>57640</v>
          </cell>
        </row>
        <row r="219">
          <cell r="A219" t="str">
            <v>17-3020</v>
          </cell>
          <cell r="B219" t="str">
            <v>Engineering Technologists and Technicians, Except Drafters</v>
          </cell>
          <cell r="C219">
            <v>386310</v>
          </cell>
          <cell r="D219">
            <v>0.7</v>
          </cell>
          <cell r="E219">
            <v>66780</v>
          </cell>
          <cell r="F219">
            <v>0.4</v>
          </cell>
          <cell r="G219">
            <v>62530</v>
          </cell>
        </row>
        <row r="220">
          <cell r="A220" t="str">
            <v>17-3021</v>
          </cell>
          <cell r="B220" t="str">
            <v>Aerospace Engineering and Operations Technologists and Technicians</v>
          </cell>
          <cell r="C220">
            <v>9750</v>
          </cell>
          <cell r="D220">
            <v>5.4</v>
          </cell>
          <cell r="E220">
            <v>77060</v>
          </cell>
          <cell r="F220">
            <v>1.9</v>
          </cell>
          <cell r="G220">
            <v>74410</v>
          </cell>
        </row>
        <row r="221">
          <cell r="A221" t="str">
            <v>17-3022</v>
          </cell>
          <cell r="B221" t="str">
            <v>Civil Engineering Technologists and Technicians</v>
          </cell>
          <cell r="C221">
            <v>62350</v>
          </cell>
          <cell r="D221">
            <v>2.1</v>
          </cell>
          <cell r="E221">
            <v>61480</v>
          </cell>
          <cell r="F221">
            <v>1.2</v>
          </cell>
          <cell r="G221">
            <v>59630</v>
          </cell>
        </row>
        <row r="222">
          <cell r="A222" t="str">
            <v>17-3023</v>
          </cell>
          <cell r="B222" t="str">
            <v>Electrical and Electronic Engineering Technologists and Technicians</v>
          </cell>
          <cell r="C222">
            <v>99050</v>
          </cell>
          <cell r="D222">
            <v>1.1000000000000001</v>
          </cell>
          <cell r="E222">
            <v>70810</v>
          </cell>
          <cell r="F222">
            <v>0.4</v>
          </cell>
          <cell r="G222">
            <v>66390</v>
          </cell>
        </row>
        <row r="223">
          <cell r="A223" t="str">
            <v>17-3024</v>
          </cell>
          <cell r="B223" t="str">
            <v>Electro-Mechanical and Mechatronics Technologists and Technicians</v>
          </cell>
          <cell r="C223">
            <v>14540</v>
          </cell>
          <cell r="D223">
            <v>4.5999999999999996</v>
          </cell>
          <cell r="E223">
            <v>65920</v>
          </cell>
          <cell r="F223">
            <v>1.1000000000000001</v>
          </cell>
          <cell r="G223">
            <v>60570</v>
          </cell>
        </row>
        <row r="224">
          <cell r="A224" t="str">
            <v>17-3025</v>
          </cell>
          <cell r="B224" t="str">
            <v>Environmental Engineering Technologists and Technicians</v>
          </cell>
          <cell r="C224">
            <v>13400</v>
          </cell>
          <cell r="D224">
            <v>4.2</v>
          </cell>
          <cell r="E224">
            <v>58020</v>
          </cell>
          <cell r="F224">
            <v>1.8</v>
          </cell>
          <cell r="G224">
            <v>50980</v>
          </cell>
        </row>
        <row r="225">
          <cell r="A225" t="str">
            <v>17-3026</v>
          </cell>
          <cell r="B225" t="str">
            <v>Industrial Engineering Technologists and Technicians</v>
          </cell>
          <cell r="C225">
            <v>66560</v>
          </cell>
          <cell r="D225">
            <v>1.3</v>
          </cell>
          <cell r="E225">
            <v>63470</v>
          </cell>
          <cell r="F225">
            <v>0.5</v>
          </cell>
          <cell r="G225">
            <v>61210</v>
          </cell>
        </row>
        <row r="226">
          <cell r="A226" t="str">
            <v>17-3027</v>
          </cell>
          <cell r="B226" t="str">
            <v>Mechanical Engineering Technologists and Technicians</v>
          </cell>
          <cell r="C226">
            <v>39610</v>
          </cell>
          <cell r="D226">
            <v>1.8</v>
          </cell>
          <cell r="E226">
            <v>64530</v>
          </cell>
          <cell r="F226">
            <v>0.6</v>
          </cell>
          <cell r="G226">
            <v>61990</v>
          </cell>
        </row>
        <row r="227">
          <cell r="A227" t="str">
            <v>17-3028</v>
          </cell>
          <cell r="B227" t="str">
            <v>Calibration Technologists and Technicians</v>
          </cell>
          <cell r="C227">
            <v>10790</v>
          </cell>
          <cell r="D227">
            <v>4.9000000000000004</v>
          </cell>
          <cell r="E227">
            <v>67200</v>
          </cell>
          <cell r="F227">
            <v>1.2</v>
          </cell>
          <cell r="G227">
            <v>62050</v>
          </cell>
        </row>
        <row r="228">
          <cell r="A228" t="str">
            <v>17-3029</v>
          </cell>
          <cell r="B228" t="str">
            <v>Engineering Technologists and Technicians, Except Drafters, All Other</v>
          </cell>
          <cell r="C228">
            <v>70250</v>
          </cell>
          <cell r="D228">
            <v>1.9</v>
          </cell>
          <cell r="E228">
            <v>70550</v>
          </cell>
          <cell r="F228">
            <v>0.7</v>
          </cell>
          <cell r="G228">
            <v>65520</v>
          </cell>
        </row>
        <row r="229">
          <cell r="A229" t="str">
            <v>17-3030</v>
          </cell>
          <cell r="B229" t="str">
            <v>Surveying and Mapping Technicians</v>
          </cell>
          <cell r="C229">
            <v>56580</v>
          </cell>
          <cell r="D229">
            <v>2.7</v>
          </cell>
          <cell r="E229">
            <v>51570</v>
          </cell>
          <cell r="F229">
            <v>0.7</v>
          </cell>
          <cell r="G229">
            <v>47180</v>
          </cell>
        </row>
        <row r="230">
          <cell r="A230" t="str">
            <v>17-3031</v>
          </cell>
          <cell r="B230" t="str">
            <v>Surveying and Mapping Technicians</v>
          </cell>
          <cell r="C230">
            <v>56580</v>
          </cell>
          <cell r="D230">
            <v>2.7</v>
          </cell>
          <cell r="E230">
            <v>51570</v>
          </cell>
          <cell r="F230">
            <v>0.7</v>
          </cell>
          <cell r="G230">
            <v>47180</v>
          </cell>
        </row>
        <row r="231">
          <cell r="A231" t="str">
            <v>19-0000</v>
          </cell>
          <cell r="B231" t="str">
            <v>Life, Physical, and Social Science Occupations</v>
          </cell>
          <cell r="C231">
            <v>1314360</v>
          </cell>
          <cell r="D231">
            <v>0.5</v>
          </cell>
          <cell r="E231">
            <v>83640</v>
          </cell>
          <cell r="F231">
            <v>0.6</v>
          </cell>
          <cell r="G231">
            <v>74330</v>
          </cell>
        </row>
        <row r="232">
          <cell r="A232" t="str">
            <v>19-1000</v>
          </cell>
          <cell r="B232" t="str">
            <v>Life Scientists</v>
          </cell>
          <cell r="C232">
            <v>318780</v>
          </cell>
          <cell r="D232">
            <v>1</v>
          </cell>
          <cell r="E232">
            <v>96840</v>
          </cell>
          <cell r="F232">
            <v>0.8</v>
          </cell>
          <cell r="G232">
            <v>83060</v>
          </cell>
        </row>
        <row r="233">
          <cell r="A233" t="str">
            <v>19-1010</v>
          </cell>
          <cell r="B233" t="str">
            <v>Agricultural and Food Scientists</v>
          </cell>
          <cell r="C233">
            <v>33250</v>
          </cell>
          <cell r="D233">
            <v>3.9</v>
          </cell>
          <cell r="E233">
            <v>81250</v>
          </cell>
          <cell r="F233">
            <v>5.6</v>
          </cell>
          <cell r="G233">
            <v>74940</v>
          </cell>
        </row>
        <row r="234">
          <cell r="A234" t="str">
            <v>19-1011</v>
          </cell>
          <cell r="B234" t="str">
            <v>Animal Scientists</v>
          </cell>
          <cell r="C234">
            <v>2520</v>
          </cell>
          <cell r="D234">
            <v>8.1999999999999993</v>
          </cell>
          <cell r="E234">
            <v>85870</v>
          </cell>
          <cell r="F234">
            <v>3.9</v>
          </cell>
          <cell r="G234">
            <v>69390</v>
          </cell>
        </row>
        <row r="235">
          <cell r="A235" t="str">
            <v>19-1012</v>
          </cell>
          <cell r="B235" t="str">
            <v>Food Scientists and Technologists</v>
          </cell>
          <cell r="C235">
            <v>14720</v>
          </cell>
          <cell r="D235">
            <v>4.2</v>
          </cell>
          <cell r="E235">
            <v>85730</v>
          </cell>
          <cell r="F235">
            <v>1</v>
          </cell>
          <cell r="G235">
            <v>79860</v>
          </cell>
        </row>
        <row r="236">
          <cell r="A236" t="str">
            <v>19-1013</v>
          </cell>
          <cell r="B236" t="str">
            <v>Soil and Plant Scientists</v>
          </cell>
          <cell r="C236">
            <v>16010</v>
          </cell>
          <cell r="D236">
            <v>5.6</v>
          </cell>
          <cell r="E236">
            <v>76410</v>
          </cell>
          <cell r="F236">
            <v>11.9</v>
          </cell>
          <cell r="G236">
            <v>65730</v>
          </cell>
        </row>
        <row r="237">
          <cell r="A237" t="str">
            <v>19-1020</v>
          </cell>
          <cell r="B237" t="str">
            <v>Biological Scientists</v>
          </cell>
          <cell r="C237">
            <v>124910</v>
          </cell>
          <cell r="D237">
            <v>2.2999999999999998</v>
          </cell>
          <cell r="E237">
            <v>96460</v>
          </cell>
          <cell r="F237">
            <v>0.8</v>
          </cell>
          <cell r="G237">
            <v>86000</v>
          </cell>
        </row>
        <row r="238">
          <cell r="A238" t="str">
            <v>19-1021</v>
          </cell>
          <cell r="B238" t="str">
            <v>Biochemists and Biophysicists</v>
          </cell>
          <cell r="C238">
            <v>32500</v>
          </cell>
          <cell r="D238">
            <v>5.4</v>
          </cell>
          <cell r="E238">
            <v>114740</v>
          </cell>
          <cell r="F238">
            <v>1.6</v>
          </cell>
          <cell r="G238">
            <v>103810</v>
          </cell>
        </row>
        <row r="239">
          <cell r="A239" t="str">
            <v>19-1022</v>
          </cell>
          <cell r="B239" t="str">
            <v>Microbiologists</v>
          </cell>
          <cell r="C239">
            <v>19710</v>
          </cell>
          <cell r="D239">
            <v>3.3</v>
          </cell>
          <cell r="E239">
            <v>88950</v>
          </cell>
          <cell r="F239">
            <v>1.1000000000000001</v>
          </cell>
          <cell r="G239">
            <v>81990</v>
          </cell>
        </row>
        <row r="240">
          <cell r="A240" t="str">
            <v>19-1023</v>
          </cell>
          <cell r="B240" t="str">
            <v>Zoologists and Wildlife Biologists</v>
          </cell>
          <cell r="C240">
            <v>17410</v>
          </cell>
          <cell r="D240">
            <v>2.7</v>
          </cell>
          <cell r="E240">
            <v>72610</v>
          </cell>
          <cell r="F240">
            <v>0.9</v>
          </cell>
          <cell r="G240">
            <v>67430</v>
          </cell>
        </row>
        <row r="241">
          <cell r="A241" t="str">
            <v>19-1029</v>
          </cell>
          <cell r="B241" t="str">
            <v>Biological Scientists, All Other</v>
          </cell>
          <cell r="C241">
            <v>55300</v>
          </cell>
          <cell r="D241">
            <v>2.6</v>
          </cell>
          <cell r="E241">
            <v>95920</v>
          </cell>
          <cell r="F241">
            <v>0.9</v>
          </cell>
          <cell r="G241">
            <v>87300</v>
          </cell>
        </row>
        <row r="242">
          <cell r="A242" t="str">
            <v>19-1030</v>
          </cell>
          <cell r="B242" t="str">
            <v>Conservation Scientists and Foresters</v>
          </cell>
          <cell r="C242">
            <v>32320</v>
          </cell>
          <cell r="D242">
            <v>1.6</v>
          </cell>
          <cell r="E242">
            <v>69310</v>
          </cell>
          <cell r="F242">
            <v>0.7</v>
          </cell>
          <cell r="G242">
            <v>64420</v>
          </cell>
        </row>
        <row r="243">
          <cell r="A243" t="str">
            <v>19-1031</v>
          </cell>
          <cell r="B243" t="str">
            <v>Conservation Scientists</v>
          </cell>
          <cell r="C243">
            <v>22880</v>
          </cell>
          <cell r="D243">
            <v>1.3</v>
          </cell>
          <cell r="E243">
            <v>69810</v>
          </cell>
          <cell r="F243">
            <v>0.6</v>
          </cell>
          <cell r="G243">
            <v>64460</v>
          </cell>
        </row>
        <row r="244">
          <cell r="A244" t="str">
            <v>19-1032</v>
          </cell>
          <cell r="B244" t="str">
            <v>Foresters</v>
          </cell>
          <cell r="C244">
            <v>9430</v>
          </cell>
          <cell r="D244">
            <v>4.5999999999999996</v>
          </cell>
          <cell r="E244">
            <v>68090</v>
          </cell>
          <cell r="F244">
            <v>1.4</v>
          </cell>
          <cell r="G244">
            <v>64220</v>
          </cell>
        </row>
        <row r="245">
          <cell r="A245" t="str">
            <v>19-1040</v>
          </cell>
          <cell r="B245" t="str">
            <v>Medical Scientists</v>
          </cell>
          <cell r="C245">
            <v>119980</v>
          </cell>
          <cell r="D245">
            <v>1.5</v>
          </cell>
          <cell r="E245">
            <v>108720</v>
          </cell>
          <cell r="F245">
            <v>1.3</v>
          </cell>
          <cell r="G245">
            <v>97210</v>
          </cell>
        </row>
        <row r="246">
          <cell r="A246" t="str">
            <v>19-1041</v>
          </cell>
          <cell r="B246" t="str">
            <v>Epidemiologists</v>
          </cell>
          <cell r="C246">
            <v>9430</v>
          </cell>
          <cell r="D246">
            <v>1.6</v>
          </cell>
          <cell r="E246">
            <v>85880</v>
          </cell>
          <cell r="F246">
            <v>0.6</v>
          </cell>
          <cell r="G246">
            <v>78520</v>
          </cell>
        </row>
        <row r="247">
          <cell r="A247" t="str">
            <v>19-1042</v>
          </cell>
          <cell r="B247" t="str">
            <v>Medical Scientists, Except Epidemiologists</v>
          </cell>
          <cell r="C247">
            <v>110550</v>
          </cell>
          <cell r="D247">
            <v>1.6</v>
          </cell>
          <cell r="E247">
            <v>110670</v>
          </cell>
          <cell r="F247">
            <v>1.3</v>
          </cell>
          <cell r="G247">
            <v>99930</v>
          </cell>
        </row>
        <row r="248">
          <cell r="A248" t="str">
            <v>19-1090</v>
          </cell>
          <cell r="B248" t="str">
            <v>Miscellaneous Life Scientists</v>
          </cell>
          <cell r="C248">
            <v>8320</v>
          </cell>
          <cell r="D248">
            <v>4.4000000000000004</v>
          </cell>
          <cell r="E248">
            <v>100370</v>
          </cell>
          <cell r="F248">
            <v>1.9</v>
          </cell>
          <cell r="G248">
            <v>83930</v>
          </cell>
        </row>
        <row r="249">
          <cell r="A249" t="str">
            <v>19-1099</v>
          </cell>
          <cell r="B249" t="str">
            <v>Life Scientists, All Other</v>
          </cell>
          <cell r="C249">
            <v>8320</v>
          </cell>
          <cell r="D249">
            <v>4.4000000000000004</v>
          </cell>
          <cell r="E249">
            <v>100370</v>
          </cell>
          <cell r="F249">
            <v>1.9</v>
          </cell>
          <cell r="G249">
            <v>83930</v>
          </cell>
        </row>
        <row r="250">
          <cell r="A250" t="str">
            <v>19-2000</v>
          </cell>
          <cell r="B250" t="str">
            <v>Physical Scientists</v>
          </cell>
          <cell r="C250">
            <v>251060</v>
          </cell>
          <cell r="D250">
            <v>0.9</v>
          </cell>
          <cell r="E250">
            <v>97570</v>
          </cell>
          <cell r="F250">
            <v>0.6</v>
          </cell>
          <cell r="G250">
            <v>83760</v>
          </cell>
        </row>
        <row r="251">
          <cell r="A251" t="str">
            <v>19-2010</v>
          </cell>
          <cell r="B251" t="str">
            <v>Astronomers and Physicists</v>
          </cell>
          <cell r="C251">
            <v>21000</v>
          </cell>
          <cell r="D251">
            <v>2.7</v>
          </cell>
          <cell r="E251">
            <v>147800</v>
          </cell>
          <cell r="F251">
            <v>1.1000000000000001</v>
          </cell>
          <cell r="G251">
            <v>139220</v>
          </cell>
        </row>
        <row r="252">
          <cell r="A252" t="str">
            <v>19-2011</v>
          </cell>
          <cell r="B252" t="str">
            <v>Astronomers</v>
          </cell>
          <cell r="C252">
            <v>2160</v>
          </cell>
          <cell r="D252">
            <v>10.1</v>
          </cell>
          <cell r="E252">
            <v>127460</v>
          </cell>
          <cell r="F252">
            <v>4.3</v>
          </cell>
          <cell r="G252">
            <v>128330</v>
          </cell>
        </row>
        <row r="253">
          <cell r="A253" t="str">
            <v>19-2012</v>
          </cell>
          <cell r="B253" t="str">
            <v>Physicists</v>
          </cell>
          <cell r="C253">
            <v>18840</v>
          </cell>
          <cell r="D253">
            <v>2.7</v>
          </cell>
          <cell r="E253">
            <v>150130</v>
          </cell>
          <cell r="F253">
            <v>1.2</v>
          </cell>
          <cell r="G253">
            <v>142850</v>
          </cell>
        </row>
        <row r="254">
          <cell r="A254" t="str">
            <v>19-2020</v>
          </cell>
          <cell r="B254" t="str">
            <v>Atmospheric and Space Scientists</v>
          </cell>
          <cell r="C254">
            <v>9900</v>
          </cell>
          <cell r="D254">
            <v>3.5</v>
          </cell>
          <cell r="E254">
            <v>93610</v>
          </cell>
          <cell r="F254">
            <v>1.1000000000000001</v>
          </cell>
          <cell r="G254">
            <v>83780</v>
          </cell>
        </row>
        <row r="255">
          <cell r="A255" t="str">
            <v>19-2021</v>
          </cell>
          <cell r="B255" t="str">
            <v>Atmospheric and Space Scientists</v>
          </cell>
          <cell r="C255">
            <v>9900</v>
          </cell>
          <cell r="D255">
            <v>3.5</v>
          </cell>
          <cell r="E255">
            <v>93610</v>
          </cell>
          <cell r="F255">
            <v>1.1000000000000001</v>
          </cell>
          <cell r="G255">
            <v>83780</v>
          </cell>
        </row>
        <row r="256">
          <cell r="A256" t="str">
            <v>19-2030</v>
          </cell>
          <cell r="B256" t="str">
            <v>Chemists and Materials Scientists</v>
          </cell>
          <cell r="C256">
            <v>91570</v>
          </cell>
          <cell r="D256">
            <v>1.6</v>
          </cell>
          <cell r="E256">
            <v>92210</v>
          </cell>
          <cell r="F256">
            <v>0.7</v>
          </cell>
          <cell r="G256">
            <v>81810</v>
          </cell>
        </row>
        <row r="257">
          <cell r="A257" t="str">
            <v>19-2031</v>
          </cell>
          <cell r="B257" t="str">
            <v>Chemists</v>
          </cell>
          <cell r="C257">
            <v>83940</v>
          </cell>
          <cell r="D257">
            <v>1.5</v>
          </cell>
          <cell r="E257">
            <v>90530</v>
          </cell>
          <cell r="F257">
            <v>0.7</v>
          </cell>
          <cell r="G257">
            <v>80670</v>
          </cell>
        </row>
        <row r="258">
          <cell r="A258" t="str">
            <v>19-2032</v>
          </cell>
          <cell r="B258" t="str">
            <v>Materials Scientists</v>
          </cell>
          <cell r="C258">
            <v>7620</v>
          </cell>
          <cell r="D258">
            <v>6.5</v>
          </cell>
          <cell r="E258">
            <v>110690</v>
          </cell>
          <cell r="F258">
            <v>1.4</v>
          </cell>
          <cell r="G258">
            <v>104380</v>
          </cell>
        </row>
        <row r="259">
          <cell r="A259" t="str">
            <v>19-2040</v>
          </cell>
          <cell r="B259" t="str">
            <v>Environmental Scientists and Geoscientists</v>
          </cell>
          <cell r="C259">
            <v>108780</v>
          </cell>
          <cell r="D259">
            <v>1.5</v>
          </cell>
          <cell r="E259">
            <v>89350</v>
          </cell>
          <cell r="F259">
            <v>0.9</v>
          </cell>
          <cell r="G259">
            <v>78730</v>
          </cell>
        </row>
        <row r="260">
          <cell r="A260" t="str">
            <v>19-2041</v>
          </cell>
          <cell r="B260" t="str">
            <v>Environmental Scientists and Specialists, Including Health</v>
          </cell>
          <cell r="C260">
            <v>77270</v>
          </cell>
          <cell r="D260">
            <v>1.8</v>
          </cell>
          <cell r="E260">
            <v>83820</v>
          </cell>
          <cell r="F260">
            <v>1.1000000000000001</v>
          </cell>
          <cell r="G260">
            <v>76480</v>
          </cell>
        </row>
        <row r="261">
          <cell r="A261" t="str">
            <v>19-2042</v>
          </cell>
          <cell r="B261" t="str">
            <v>Geoscientists, Except Hydrologists and Geographers</v>
          </cell>
          <cell r="C261">
            <v>25230</v>
          </cell>
          <cell r="D261">
            <v>2.8</v>
          </cell>
          <cell r="E261">
            <v>104560</v>
          </cell>
          <cell r="F261">
            <v>1.3</v>
          </cell>
          <cell r="G261">
            <v>87480</v>
          </cell>
        </row>
        <row r="262">
          <cell r="A262" t="str">
            <v>19-2043</v>
          </cell>
          <cell r="B262" t="str">
            <v>Hydrologists</v>
          </cell>
          <cell r="C262">
            <v>6270</v>
          </cell>
          <cell r="D262">
            <v>4.5</v>
          </cell>
          <cell r="E262">
            <v>96300</v>
          </cell>
          <cell r="F262">
            <v>2.1</v>
          </cell>
          <cell r="G262">
            <v>85990</v>
          </cell>
        </row>
        <row r="263">
          <cell r="A263" t="str">
            <v>19-2090</v>
          </cell>
          <cell r="B263" t="str">
            <v>Miscellaneous Physical Scientists</v>
          </cell>
          <cell r="C263">
            <v>19820</v>
          </cell>
          <cell r="D263">
            <v>2.2000000000000002</v>
          </cell>
          <cell r="E263">
            <v>116230</v>
          </cell>
          <cell r="F263">
            <v>1.4</v>
          </cell>
          <cell r="G263">
            <v>107970</v>
          </cell>
        </row>
        <row r="264">
          <cell r="A264" t="str">
            <v>19-2099</v>
          </cell>
          <cell r="B264" t="str">
            <v>Physical Scientists, All Other</v>
          </cell>
          <cell r="C264">
            <v>19820</v>
          </cell>
          <cell r="D264">
            <v>2.2000000000000002</v>
          </cell>
          <cell r="E264">
            <v>116230</v>
          </cell>
          <cell r="F264">
            <v>1.4</v>
          </cell>
          <cell r="G264">
            <v>107970</v>
          </cell>
        </row>
        <row r="265">
          <cell r="A265" t="str">
            <v>19-3000</v>
          </cell>
          <cell r="B265" t="str">
            <v>Social Scientists and Related Workers</v>
          </cell>
          <cell r="C265">
            <v>256110</v>
          </cell>
          <cell r="D265">
            <v>1.1000000000000001</v>
          </cell>
          <cell r="E265">
            <v>94560</v>
          </cell>
          <cell r="F265">
            <v>0.7</v>
          </cell>
          <cell r="G265">
            <v>84000</v>
          </cell>
        </row>
        <row r="266">
          <cell r="A266" t="str">
            <v>19-3010</v>
          </cell>
          <cell r="B266" t="str">
            <v>Economists</v>
          </cell>
          <cell r="C266">
            <v>16370</v>
          </cell>
          <cell r="D266">
            <v>5.3</v>
          </cell>
          <cell r="E266">
            <v>128180</v>
          </cell>
          <cell r="F266">
            <v>2.8</v>
          </cell>
          <cell r="G266">
            <v>113940</v>
          </cell>
        </row>
        <row r="267">
          <cell r="A267" t="str">
            <v>19-3011</v>
          </cell>
          <cell r="B267" t="str">
            <v>Economists</v>
          </cell>
          <cell r="C267">
            <v>16370</v>
          </cell>
          <cell r="D267">
            <v>5.3</v>
          </cell>
          <cell r="E267">
            <v>128180</v>
          </cell>
          <cell r="F267">
            <v>2.8</v>
          </cell>
          <cell r="G267">
            <v>113940</v>
          </cell>
        </row>
        <row r="268">
          <cell r="A268" t="str">
            <v>19-3020</v>
          </cell>
          <cell r="B268" t="str">
            <v>Survey Researchers</v>
          </cell>
          <cell r="C268">
            <v>7880</v>
          </cell>
          <cell r="D268">
            <v>5.0999999999999996</v>
          </cell>
          <cell r="E268">
            <v>66440</v>
          </cell>
          <cell r="F268">
            <v>3</v>
          </cell>
          <cell r="G268">
            <v>60410</v>
          </cell>
        </row>
        <row r="269">
          <cell r="A269" t="str">
            <v>19-3022</v>
          </cell>
          <cell r="B269" t="str">
            <v>Survey Researchers</v>
          </cell>
          <cell r="C269">
            <v>7880</v>
          </cell>
          <cell r="D269">
            <v>5.0999999999999996</v>
          </cell>
          <cell r="E269">
            <v>66440</v>
          </cell>
          <cell r="F269">
            <v>3</v>
          </cell>
          <cell r="G269">
            <v>60410</v>
          </cell>
        </row>
        <row r="270">
          <cell r="A270" t="str">
            <v>19-3030</v>
          </cell>
          <cell r="B270" t="str">
            <v>Psychologists</v>
          </cell>
          <cell r="C270">
            <v>138310</v>
          </cell>
          <cell r="D270">
            <v>1.6</v>
          </cell>
          <cell r="E270">
            <v>96190</v>
          </cell>
          <cell r="F270">
            <v>1</v>
          </cell>
          <cell r="G270">
            <v>85330</v>
          </cell>
        </row>
        <row r="271">
          <cell r="A271" t="str">
            <v>19-3032</v>
          </cell>
          <cell r="B271" t="str">
            <v>Industrial-Organizational Psychologists</v>
          </cell>
          <cell r="C271">
            <v>1280</v>
          </cell>
          <cell r="D271">
            <v>12.5</v>
          </cell>
          <cell r="E271">
            <v>144610</v>
          </cell>
          <cell r="F271">
            <v>3.7</v>
          </cell>
          <cell r="G271">
            <v>139280</v>
          </cell>
        </row>
        <row r="272">
          <cell r="A272" t="str">
            <v>19-3033</v>
          </cell>
          <cell r="B272" t="str">
            <v>Clinical and Counseling Psychologists</v>
          </cell>
          <cell r="C272">
            <v>62880</v>
          </cell>
          <cell r="D272">
            <v>3.1</v>
          </cell>
          <cell r="E272">
            <v>102740</v>
          </cell>
          <cell r="F272">
            <v>1.8</v>
          </cell>
          <cell r="G272">
            <v>90130</v>
          </cell>
        </row>
        <row r="273">
          <cell r="A273" t="str">
            <v>19-3034</v>
          </cell>
          <cell r="B273" t="str">
            <v>School Psychologists</v>
          </cell>
          <cell r="C273">
            <v>60250</v>
          </cell>
          <cell r="D273">
            <v>1.5</v>
          </cell>
          <cell r="E273">
            <v>87550</v>
          </cell>
          <cell r="F273">
            <v>0.8</v>
          </cell>
          <cell r="G273">
            <v>81500</v>
          </cell>
        </row>
        <row r="274">
          <cell r="A274" t="str">
            <v>19-3039</v>
          </cell>
          <cell r="B274" t="str">
            <v>Psychologists, All Other</v>
          </cell>
          <cell r="C274">
            <v>13900</v>
          </cell>
          <cell r="D274">
            <v>2</v>
          </cell>
          <cell r="E274">
            <v>99560</v>
          </cell>
          <cell r="F274">
            <v>1.1000000000000001</v>
          </cell>
          <cell r="G274">
            <v>106420</v>
          </cell>
        </row>
        <row r="275">
          <cell r="A275" t="str">
            <v>19-3040</v>
          </cell>
          <cell r="B275" t="str">
            <v>Sociologists</v>
          </cell>
          <cell r="C275">
            <v>2980</v>
          </cell>
          <cell r="D275">
            <v>8.9</v>
          </cell>
          <cell r="E275">
            <v>101310</v>
          </cell>
          <cell r="F275">
            <v>2.9</v>
          </cell>
          <cell r="G275">
            <v>98590</v>
          </cell>
        </row>
        <row r="276">
          <cell r="A276" t="str">
            <v>19-3041</v>
          </cell>
          <cell r="B276" t="str">
            <v>Sociologists</v>
          </cell>
          <cell r="C276">
            <v>2980</v>
          </cell>
          <cell r="D276">
            <v>8.9</v>
          </cell>
          <cell r="E276">
            <v>101310</v>
          </cell>
          <cell r="F276">
            <v>2.9</v>
          </cell>
          <cell r="G276">
            <v>98590</v>
          </cell>
        </row>
        <row r="277">
          <cell r="A277" t="str">
            <v>19-3050</v>
          </cell>
          <cell r="B277" t="str">
            <v>Urban and Regional Planners</v>
          </cell>
          <cell r="C277">
            <v>39880</v>
          </cell>
          <cell r="D277">
            <v>1.5</v>
          </cell>
          <cell r="E277">
            <v>82420</v>
          </cell>
          <cell r="F277">
            <v>0.8</v>
          </cell>
          <cell r="G277">
            <v>79540</v>
          </cell>
        </row>
        <row r="278">
          <cell r="A278" t="str">
            <v>19-3051</v>
          </cell>
          <cell r="B278" t="str">
            <v>Urban and Regional Planners</v>
          </cell>
          <cell r="C278">
            <v>39880</v>
          </cell>
          <cell r="D278">
            <v>1.5</v>
          </cell>
          <cell r="E278">
            <v>82420</v>
          </cell>
          <cell r="F278">
            <v>0.8</v>
          </cell>
          <cell r="G278">
            <v>79540</v>
          </cell>
        </row>
        <row r="279">
          <cell r="A279" t="str">
            <v>19-3090</v>
          </cell>
          <cell r="B279" t="str">
            <v>Miscellaneous Social Scientists and Related Workers</v>
          </cell>
          <cell r="C279">
            <v>50690</v>
          </cell>
          <cell r="D279">
            <v>1.1000000000000001</v>
          </cell>
          <cell r="E279">
            <v>92800</v>
          </cell>
          <cell r="F279">
            <v>0.6</v>
          </cell>
          <cell r="G279">
            <v>86070</v>
          </cell>
        </row>
        <row r="280">
          <cell r="A280" t="str">
            <v>19-3091</v>
          </cell>
          <cell r="B280" t="str">
            <v>Anthropologists and Archeologists</v>
          </cell>
          <cell r="C280">
            <v>7350</v>
          </cell>
          <cell r="D280">
            <v>9.4</v>
          </cell>
          <cell r="E280">
            <v>68310</v>
          </cell>
          <cell r="F280">
            <v>1.4</v>
          </cell>
          <cell r="G280">
            <v>63940</v>
          </cell>
        </row>
        <row r="281">
          <cell r="A281" t="str">
            <v>19-3092</v>
          </cell>
          <cell r="B281" t="str">
            <v>Geographers</v>
          </cell>
          <cell r="C281">
            <v>1360</v>
          </cell>
          <cell r="D281">
            <v>1.5</v>
          </cell>
          <cell r="E281">
            <v>88960</v>
          </cell>
          <cell r="F281">
            <v>0.5</v>
          </cell>
          <cell r="G281">
            <v>88900</v>
          </cell>
        </row>
        <row r="282">
          <cell r="A282" t="str">
            <v>19-3093</v>
          </cell>
          <cell r="B282" t="str">
            <v>Historians</v>
          </cell>
          <cell r="C282">
            <v>3120</v>
          </cell>
          <cell r="D282">
            <v>3.5</v>
          </cell>
          <cell r="E282">
            <v>72900</v>
          </cell>
          <cell r="F282">
            <v>1.3</v>
          </cell>
          <cell r="G282">
            <v>64540</v>
          </cell>
        </row>
        <row r="283">
          <cell r="A283" t="str">
            <v>19-3094</v>
          </cell>
          <cell r="B283" t="str">
            <v>Political Scientists</v>
          </cell>
          <cell r="C283">
            <v>5660</v>
          </cell>
          <cell r="D283">
            <v>9.1</v>
          </cell>
          <cell r="E283">
            <v>126140</v>
          </cell>
          <cell r="F283">
            <v>2.6</v>
          </cell>
          <cell r="G283">
            <v>128020</v>
          </cell>
        </row>
        <row r="284">
          <cell r="A284" t="str">
            <v>19-3099</v>
          </cell>
          <cell r="B284" t="str">
            <v>Social Scientists and Related Workers, All Other</v>
          </cell>
          <cell r="C284">
            <v>33210</v>
          </cell>
          <cell r="D284">
            <v>1.1000000000000001</v>
          </cell>
          <cell r="E284">
            <v>94560</v>
          </cell>
          <cell r="F284">
            <v>0.5</v>
          </cell>
          <cell r="G284">
            <v>88900</v>
          </cell>
        </row>
        <row r="285">
          <cell r="A285" t="str">
            <v>19-4000</v>
          </cell>
          <cell r="B285" t="str">
            <v>Life, Physical, and Social Science Technicians</v>
          </cell>
          <cell r="C285">
            <v>355310</v>
          </cell>
          <cell r="D285">
            <v>0.7</v>
          </cell>
          <cell r="E285">
            <v>55900</v>
          </cell>
          <cell r="F285">
            <v>0.6</v>
          </cell>
          <cell r="G285">
            <v>49790</v>
          </cell>
        </row>
        <row r="286">
          <cell r="A286" t="str">
            <v>19-4010</v>
          </cell>
          <cell r="B286" t="str">
            <v>Agricultural and Food Science Technicians</v>
          </cell>
          <cell r="C286">
            <v>27490</v>
          </cell>
          <cell r="D286">
            <v>3</v>
          </cell>
          <cell r="E286">
            <v>48610</v>
          </cell>
          <cell r="F286">
            <v>1.2</v>
          </cell>
          <cell r="G286">
            <v>46140</v>
          </cell>
        </row>
        <row r="287">
          <cell r="A287" t="str">
            <v>19-4012</v>
          </cell>
          <cell r="B287" t="str">
            <v>Agricultural Technicians</v>
          </cell>
          <cell r="C287">
            <v>13140</v>
          </cell>
          <cell r="D287">
            <v>5.9</v>
          </cell>
          <cell r="E287">
            <v>45640</v>
          </cell>
          <cell r="F287">
            <v>1.2</v>
          </cell>
          <cell r="G287">
            <v>41760</v>
          </cell>
        </row>
        <row r="288">
          <cell r="A288" t="str">
            <v>19-4013</v>
          </cell>
          <cell r="B288" t="str">
            <v>Food Science Technicians</v>
          </cell>
          <cell r="C288">
            <v>14350</v>
          </cell>
          <cell r="D288">
            <v>3.7</v>
          </cell>
          <cell r="E288">
            <v>51320</v>
          </cell>
          <cell r="F288">
            <v>1.1000000000000001</v>
          </cell>
          <cell r="G288">
            <v>47860</v>
          </cell>
        </row>
        <row r="289">
          <cell r="A289" t="str">
            <v>19-4020</v>
          </cell>
          <cell r="B289" t="str">
            <v>Biological Technicians</v>
          </cell>
          <cell r="C289">
            <v>73710</v>
          </cell>
          <cell r="D289">
            <v>1.8</v>
          </cell>
          <cell r="E289">
            <v>53560</v>
          </cell>
          <cell r="F289">
            <v>0.7</v>
          </cell>
          <cell r="G289">
            <v>49650</v>
          </cell>
        </row>
        <row r="290">
          <cell r="A290" t="str">
            <v>19-4021</v>
          </cell>
          <cell r="B290" t="str">
            <v>Biological Technicians</v>
          </cell>
          <cell r="C290">
            <v>73710</v>
          </cell>
          <cell r="D290">
            <v>1.8</v>
          </cell>
          <cell r="E290">
            <v>53560</v>
          </cell>
          <cell r="F290">
            <v>0.7</v>
          </cell>
          <cell r="G290">
            <v>49650</v>
          </cell>
        </row>
        <row r="291">
          <cell r="A291" t="str">
            <v>19-4030</v>
          </cell>
          <cell r="B291" t="str">
            <v>Chemical Technicians</v>
          </cell>
          <cell r="C291">
            <v>56030</v>
          </cell>
          <cell r="D291">
            <v>1.6</v>
          </cell>
          <cell r="E291">
            <v>56180</v>
          </cell>
          <cell r="F291">
            <v>0.7</v>
          </cell>
          <cell r="G291">
            <v>50840</v>
          </cell>
        </row>
        <row r="292">
          <cell r="A292" t="str">
            <v>19-4031</v>
          </cell>
          <cell r="B292" t="str">
            <v>Chemical Technicians</v>
          </cell>
          <cell r="C292">
            <v>56030</v>
          </cell>
          <cell r="D292">
            <v>1.6</v>
          </cell>
          <cell r="E292">
            <v>56180</v>
          </cell>
          <cell r="F292">
            <v>0.7</v>
          </cell>
          <cell r="G292">
            <v>50840</v>
          </cell>
        </row>
        <row r="293">
          <cell r="A293" t="str">
            <v>19-4040</v>
          </cell>
          <cell r="B293" t="str">
            <v>Environmental Science and Geoscience Technicians</v>
          </cell>
          <cell r="C293">
            <v>46010</v>
          </cell>
          <cell r="D293">
            <v>2.6</v>
          </cell>
          <cell r="E293">
            <v>56140</v>
          </cell>
          <cell r="F293">
            <v>1.1000000000000001</v>
          </cell>
          <cell r="G293">
            <v>48640</v>
          </cell>
        </row>
        <row r="294">
          <cell r="A294" t="str">
            <v>19-4042</v>
          </cell>
          <cell r="B294" t="str">
            <v>Environmental Science and Protection Technicians, Including Health</v>
          </cell>
          <cell r="C294">
            <v>33920</v>
          </cell>
          <cell r="D294">
            <v>2.4</v>
          </cell>
          <cell r="E294">
            <v>53970</v>
          </cell>
          <cell r="F294">
            <v>0.8</v>
          </cell>
          <cell r="G294">
            <v>48380</v>
          </cell>
        </row>
        <row r="295">
          <cell r="A295" t="str">
            <v>19-4043</v>
          </cell>
          <cell r="B295" t="str">
            <v>Geological Technicians, Except Hydrologic Technicians</v>
          </cell>
          <cell r="C295">
            <v>9170</v>
          </cell>
          <cell r="D295">
            <v>7.7</v>
          </cell>
          <cell r="E295">
            <v>60810</v>
          </cell>
          <cell r="F295">
            <v>3.5</v>
          </cell>
          <cell r="G295">
            <v>48490</v>
          </cell>
        </row>
        <row r="296">
          <cell r="A296" t="str">
            <v>19-4044</v>
          </cell>
          <cell r="B296" t="str">
            <v>Hydrologic Technicians</v>
          </cell>
          <cell r="C296">
            <v>2920</v>
          </cell>
          <cell r="D296">
            <v>6.6</v>
          </cell>
          <cell r="E296">
            <v>66640</v>
          </cell>
          <cell r="F296">
            <v>2.7</v>
          </cell>
          <cell r="G296">
            <v>58360</v>
          </cell>
        </row>
        <row r="297">
          <cell r="A297" t="str">
            <v>19-4050</v>
          </cell>
          <cell r="B297" t="str">
            <v>Nuclear Technicians</v>
          </cell>
          <cell r="C297">
            <v>5880</v>
          </cell>
          <cell r="D297">
            <v>3.1</v>
          </cell>
          <cell r="E297">
            <v>97040</v>
          </cell>
          <cell r="F297">
            <v>0.9</v>
          </cell>
          <cell r="G297">
            <v>100420</v>
          </cell>
        </row>
        <row r="298">
          <cell r="A298" t="str">
            <v>19-4051</v>
          </cell>
          <cell r="B298" t="str">
            <v>Nuclear Technicians</v>
          </cell>
          <cell r="C298">
            <v>5880</v>
          </cell>
          <cell r="D298">
            <v>3.1</v>
          </cell>
          <cell r="E298">
            <v>97040</v>
          </cell>
          <cell r="F298">
            <v>0.9</v>
          </cell>
          <cell r="G298">
            <v>100420</v>
          </cell>
        </row>
        <row r="299">
          <cell r="A299" t="str">
            <v>19-4060</v>
          </cell>
          <cell r="B299" t="str">
            <v>Social Science Research Assistants</v>
          </cell>
          <cell r="C299">
            <v>28720</v>
          </cell>
          <cell r="D299">
            <v>1.6</v>
          </cell>
          <cell r="E299">
            <v>57760</v>
          </cell>
          <cell r="F299">
            <v>1</v>
          </cell>
          <cell r="G299">
            <v>50470</v>
          </cell>
        </row>
        <row r="300">
          <cell r="A300" t="str">
            <v>19-4061</v>
          </cell>
          <cell r="B300" t="str">
            <v>Social Science Research Assistants</v>
          </cell>
          <cell r="C300">
            <v>28720</v>
          </cell>
          <cell r="D300">
            <v>1.6</v>
          </cell>
          <cell r="E300">
            <v>57760</v>
          </cell>
          <cell r="F300">
            <v>1</v>
          </cell>
          <cell r="G300">
            <v>50470</v>
          </cell>
        </row>
        <row r="301">
          <cell r="A301" t="str">
            <v>19-4070</v>
          </cell>
          <cell r="B301" t="str">
            <v>Forest and Conservation Technicians</v>
          </cell>
          <cell r="C301">
            <v>29120</v>
          </cell>
          <cell r="D301">
            <v>1.1000000000000001</v>
          </cell>
          <cell r="E301">
            <v>45000</v>
          </cell>
          <cell r="F301">
            <v>0.3</v>
          </cell>
          <cell r="G301">
            <v>41520</v>
          </cell>
        </row>
        <row r="302">
          <cell r="A302" t="str">
            <v>19-4071</v>
          </cell>
          <cell r="B302" t="str">
            <v>Forest and Conservation Technicians</v>
          </cell>
          <cell r="C302">
            <v>29120</v>
          </cell>
          <cell r="D302">
            <v>1.1000000000000001</v>
          </cell>
          <cell r="E302">
            <v>45000</v>
          </cell>
          <cell r="F302">
            <v>0.3</v>
          </cell>
          <cell r="G302">
            <v>41520</v>
          </cell>
        </row>
        <row r="303">
          <cell r="A303" t="str">
            <v>19-4090</v>
          </cell>
          <cell r="B303" t="str">
            <v>Miscellaneous Life, Physical, and Social Science Technicians</v>
          </cell>
          <cell r="C303">
            <v>88360</v>
          </cell>
          <cell r="D303">
            <v>1.8</v>
          </cell>
          <cell r="E303">
            <v>60070</v>
          </cell>
          <cell r="F303">
            <v>0.9</v>
          </cell>
          <cell r="G303">
            <v>53370</v>
          </cell>
        </row>
        <row r="304">
          <cell r="A304" t="str">
            <v>19-4092</v>
          </cell>
          <cell r="B304" t="str">
            <v>Forensic Science Technicians</v>
          </cell>
          <cell r="C304">
            <v>17590</v>
          </cell>
          <cell r="D304">
            <v>2.2000000000000002</v>
          </cell>
          <cell r="E304">
            <v>69260</v>
          </cell>
          <cell r="F304">
            <v>0.6</v>
          </cell>
          <cell r="G304">
            <v>63740</v>
          </cell>
        </row>
        <row r="305">
          <cell r="A305" t="str">
            <v>19-4099</v>
          </cell>
          <cell r="B305" t="str">
            <v>Life, Physical, and Social Science Technicians, All Other</v>
          </cell>
          <cell r="C305">
            <v>70770</v>
          </cell>
          <cell r="D305">
            <v>2</v>
          </cell>
          <cell r="E305">
            <v>57790</v>
          </cell>
          <cell r="F305">
            <v>1.1000000000000001</v>
          </cell>
          <cell r="G305">
            <v>50290</v>
          </cell>
        </row>
        <row r="306">
          <cell r="A306" t="str">
            <v>19-5000</v>
          </cell>
          <cell r="B306" t="str">
            <v>Occupational Health and Safety Specialists and Technicians</v>
          </cell>
          <cell r="C306">
            <v>133100</v>
          </cell>
          <cell r="D306">
            <v>0.9</v>
          </cell>
          <cell r="E306">
            <v>78750</v>
          </cell>
          <cell r="F306">
            <v>0.9</v>
          </cell>
          <cell r="G306">
            <v>75240</v>
          </cell>
        </row>
        <row r="307">
          <cell r="A307" t="str">
            <v>19-5010</v>
          </cell>
          <cell r="B307" t="str">
            <v>Occupational Health and Safety Specialists and Technicians</v>
          </cell>
          <cell r="C307">
            <v>133100</v>
          </cell>
          <cell r="D307">
            <v>0.9</v>
          </cell>
          <cell r="E307">
            <v>78750</v>
          </cell>
          <cell r="F307">
            <v>0.9</v>
          </cell>
          <cell r="G307">
            <v>75240</v>
          </cell>
        </row>
        <row r="308">
          <cell r="A308" t="str">
            <v>19-5011</v>
          </cell>
          <cell r="B308" t="str">
            <v>Occupational Health and Safety Specialists</v>
          </cell>
          <cell r="C308">
            <v>109430</v>
          </cell>
          <cell r="D308">
            <v>1</v>
          </cell>
          <cell r="E308">
            <v>82110</v>
          </cell>
          <cell r="F308">
            <v>1</v>
          </cell>
          <cell r="G308">
            <v>78570</v>
          </cell>
        </row>
        <row r="309">
          <cell r="A309" t="str">
            <v>19-5012</v>
          </cell>
          <cell r="B309" t="str">
            <v>Occupational Health and Safety Technicians</v>
          </cell>
          <cell r="C309">
            <v>23670</v>
          </cell>
          <cell r="D309">
            <v>2.1</v>
          </cell>
          <cell r="E309">
            <v>63230</v>
          </cell>
          <cell r="F309">
            <v>1</v>
          </cell>
          <cell r="G309">
            <v>57970</v>
          </cell>
        </row>
        <row r="310">
          <cell r="A310" t="str">
            <v>21-0000</v>
          </cell>
          <cell r="B310" t="str">
            <v>Community and Social Service Occupations</v>
          </cell>
          <cell r="C310">
            <v>2313620</v>
          </cell>
          <cell r="D310">
            <v>0.4</v>
          </cell>
          <cell r="E310">
            <v>55760</v>
          </cell>
          <cell r="F310">
            <v>0.5</v>
          </cell>
          <cell r="G310">
            <v>49380</v>
          </cell>
        </row>
        <row r="311">
          <cell r="A311" t="str">
            <v>21-1000</v>
          </cell>
          <cell r="B311" t="str">
            <v>Counselors, Social Workers, and Other Community and Social Service Specialists</v>
          </cell>
          <cell r="C311">
            <v>2225730</v>
          </cell>
          <cell r="D311">
            <v>0.4</v>
          </cell>
          <cell r="E311">
            <v>55660</v>
          </cell>
          <cell r="F311">
            <v>0.5</v>
          </cell>
          <cell r="G311">
            <v>49330</v>
          </cell>
        </row>
        <row r="312">
          <cell r="A312" t="str">
            <v>21-1010</v>
          </cell>
          <cell r="B312" t="str">
            <v>Counselors</v>
          </cell>
          <cell r="C312">
            <v>834740</v>
          </cell>
          <cell r="D312">
            <v>0.6</v>
          </cell>
          <cell r="E312">
            <v>58400</v>
          </cell>
          <cell r="F312">
            <v>0.6</v>
          </cell>
          <cell r="G312">
            <v>51180</v>
          </cell>
        </row>
        <row r="313">
          <cell r="A313" t="str">
            <v>21-1012</v>
          </cell>
          <cell r="B313" t="str">
            <v>Educational, Guidance, and Career Counselors and Advisors</v>
          </cell>
          <cell r="C313">
            <v>308000</v>
          </cell>
          <cell r="D313">
            <v>0.7</v>
          </cell>
          <cell r="E313">
            <v>64200</v>
          </cell>
          <cell r="F313">
            <v>0.7</v>
          </cell>
          <cell r="G313">
            <v>60140</v>
          </cell>
        </row>
        <row r="314">
          <cell r="A314" t="str">
            <v>21-1013</v>
          </cell>
          <cell r="B314" t="str">
            <v>Marriage and Family Therapists</v>
          </cell>
          <cell r="C314">
            <v>62080</v>
          </cell>
          <cell r="D314">
            <v>4.5999999999999996</v>
          </cell>
          <cell r="E314">
            <v>63300</v>
          </cell>
          <cell r="F314">
            <v>1.8</v>
          </cell>
          <cell r="G314">
            <v>56570</v>
          </cell>
        </row>
        <row r="315">
          <cell r="A315" t="str">
            <v>21-1015</v>
          </cell>
          <cell r="B315" t="str">
            <v>Rehabilitation Counselors</v>
          </cell>
          <cell r="C315">
            <v>82420</v>
          </cell>
          <cell r="D315">
            <v>2.1</v>
          </cell>
          <cell r="E315">
            <v>46020</v>
          </cell>
          <cell r="F315">
            <v>0.9</v>
          </cell>
          <cell r="G315">
            <v>39990</v>
          </cell>
        </row>
        <row r="316">
          <cell r="A316" t="str">
            <v>21-1018</v>
          </cell>
          <cell r="B316" t="str">
            <v>Substance Abuse, Behavioral Disorder, and Mental Health Counselors</v>
          </cell>
          <cell r="C316">
            <v>344970</v>
          </cell>
          <cell r="D316">
            <v>0.8</v>
          </cell>
          <cell r="E316">
            <v>56230</v>
          </cell>
          <cell r="F316">
            <v>0.8</v>
          </cell>
          <cell r="G316">
            <v>49710</v>
          </cell>
        </row>
        <row r="317">
          <cell r="A317" t="str">
            <v>21-1019</v>
          </cell>
          <cell r="B317" t="str">
            <v>Counselors, All Other</v>
          </cell>
          <cell r="C317">
            <v>37270</v>
          </cell>
          <cell r="D317">
            <v>3.8</v>
          </cell>
          <cell r="E317">
            <v>49770</v>
          </cell>
          <cell r="F317">
            <v>1.5</v>
          </cell>
          <cell r="G317">
            <v>43390</v>
          </cell>
        </row>
        <row r="318">
          <cell r="A318" t="str">
            <v>21-1020</v>
          </cell>
          <cell r="B318" t="str">
            <v>Social Workers</v>
          </cell>
          <cell r="C318">
            <v>689750</v>
          </cell>
          <cell r="D318">
            <v>0.5</v>
          </cell>
          <cell r="E318">
            <v>59440</v>
          </cell>
          <cell r="F318">
            <v>0.4</v>
          </cell>
          <cell r="G318">
            <v>55350</v>
          </cell>
        </row>
        <row r="319">
          <cell r="A319" t="str">
            <v>21-1021</v>
          </cell>
          <cell r="B319" t="str">
            <v>Child, Family, and School Social Workers</v>
          </cell>
          <cell r="C319">
            <v>344770</v>
          </cell>
          <cell r="D319">
            <v>0.6</v>
          </cell>
          <cell r="E319">
            <v>56680</v>
          </cell>
          <cell r="F319">
            <v>0.6</v>
          </cell>
          <cell r="G319">
            <v>50820</v>
          </cell>
        </row>
        <row r="320">
          <cell r="A320" t="str">
            <v>21-1022</v>
          </cell>
          <cell r="B320" t="str">
            <v>Healthcare Social Workers</v>
          </cell>
          <cell r="C320">
            <v>182420</v>
          </cell>
          <cell r="D320">
            <v>0.8</v>
          </cell>
          <cell r="E320">
            <v>62760</v>
          </cell>
          <cell r="F320">
            <v>0.5</v>
          </cell>
          <cell r="G320">
            <v>60280</v>
          </cell>
        </row>
        <row r="321">
          <cell r="A321" t="str">
            <v>21-1023</v>
          </cell>
          <cell r="B321" t="str">
            <v>Mental Health and Substance Abuse Social Workers</v>
          </cell>
          <cell r="C321">
            <v>107940</v>
          </cell>
          <cell r="D321">
            <v>1.4</v>
          </cell>
          <cell r="E321">
            <v>60130</v>
          </cell>
          <cell r="F321">
            <v>0.8</v>
          </cell>
          <cell r="G321">
            <v>51240</v>
          </cell>
        </row>
        <row r="322">
          <cell r="A322" t="str">
            <v>21-1029</v>
          </cell>
          <cell r="B322" t="str">
            <v>Social Workers, All Other</v>
          </cell>
          <cell r="C322">
            <v>54620</v>
          </cell>
          <cell r="D322">
            <v>2.2000000000000002</v>
          </cell>
          <cell r="E322">
            <v>64360</v>
          </cell>
          <cell r="F322">
            <v>0.5</v>
          </cell>
          <cell r="G322">
            <v>61420</v>
          </cell>
        </row>
        <row r="323">
          <cell r="A323" t="str">
            <v>21-1090</v>
          </cell>
          <cell r="B323" t="str">
            <v>Miscellaneous Community and Social Service Specialists</v>
          </cell>
          <cell r="C323">
            <v>701240</v>
          </cell>
          <cell r="D323">
            <v>0.5</v>
          </cell>
          <cell r="E323">
            <v>48680</v>
          </cell>
          <cell r="F323">
            <v>0.5</v>
          </cell>
          <cell r="G323">
            <v>44050</v>
          </cell>
        </row>
        <row r="324">
          <cell r="A324" t="str">
            <v>21-1091</v>
          </cell>
          <cell r="B324" t="str">
            <v>Health Education Specialists</v>
          </cell>
          <cell r="C324">
            <v>56190</v>
          </cell>
          <cell r="D324">
            <v>1.5</v>
          </cell>
          <cell r="E324">
            <v>66710</v>
          </cell>
          <cell r="F324">
            <v>0.7</v>
          </cell>
          <cell r="G324">
            <v>59990</v>
          </cell>
        </row>
        <row r="325">
          <cell r="A325" t="str">
            <v>21-1092</v>
          </cell>
          <cell r="B325" t="str">
            <v>Probation Officers and Correctional Treatment Specialists</v>
          </cell>
          <cell r="C325">
            <v>89920</v>
          </cell>
          <cell r="D325">
            <v>0.5</v>
          </cell>
          <cell r="E325">
            <v>64920</v>
          </cell>
          <cell r="F325">
            <v>0.4</v>
          </cell>
          <cell r="G325">
            <v>59860</v>
          </cell>
        </row>
        <row r="326">
          <cell r="A326" t="str">
            <v>21-1093</v>
          </cell>
          <cell r="B326" t="str">
            <v>Social and Human Service Assistants</v>
          </cell>
          <cell r="C326">
            <v>399560</v>
          </cell>
          <cell r="D326">
            <v>0.9</v>
          </cell>
          <cell r="E326">
            <v>41600</v>
          </cell>
          <cell r="F326">
            <v>0.6</v>
          </cell>
          <cell r="G326">
            <v>38520</v>
          </cell>
        </row>
        <row r="327">
          <cell r="A327" t="str">
            <v>21-1094</v>
          </cell>
          <cell r="B327" t="str">
            <v>Community Health Workers</v>
          </cell>
          <cell r="C327">
            <v>61300</v>
          </cell>
          <cell r="D327">
            <v>2.5</v>
          </cell>
          <cell r="E327">
            <v>49900</v>
          </cell>
          <cell r="F327">
            <v>0.7</v>
          </cell>
          <cell r="G327">
            <v>46190</v>
          </cell>
        </row>
        <row r="328">
          <cell r="A328" t="str">
            <v>21-1099</v>
          </cell>
          <cell r="B328" t="str">
            <v>Community and Social Service Specialists, All Other</v>
          </cell>
          <cell r="C328">
            <v>94270</v>
          </cell>
          <cell r="D328">
            <v>1.6</v>
          </cell>
          <cell r="E328">
            <v>51620</v>
          </cell>
          <cell r="F328">
            <v>0.7</v>
          </cell>
          <cell r="G328">
            <v>47290</v>
          </cell>
        </row>
        <row r="329">
          <cell r="A329" t="str">
            <v>21-2000</v>
          </cell>
          <cell r="B329" t="str">
            <v>Religious Workers</v>
          </cell>
          <cell r="C329">
            <v>87890</v>
          </cell>
          <cell r="D329">
            <v>1.5</v>
          </cell>
          <cell r="E329">
            <v>58480</v>
          </cell>
          <cell r="F329">
            <v>0.9</v>
          </cell>
          <cell r="G329">
            <v>50680</v>
          </cell>
        </row>
        <row r="330">
          <cell r="A330" t="str">
            <v>21-2010</v>
          </cell>
          <cell r="B330" t="str">
            <v>Clergy</v>
          </cell>
          <cell r="C330">
            <v>53140</v>
          </cell>
          <cell r="D330">
            <v>1.5</v>
          </cell>
          <cell r="E330">
            <v>60180</v>
          </cell>
          <cell r="F330">
            <v>0.8</v>
          </cell>
          <cell r="G330">
            <v>55550</v>
          </cell>
        </row>
        <row r="331">
          <cell r="A331" t="str">
            <v>21-2011</v>
          </cell>
          <cell r="B331" t="str">
            <v>Clergy</v>
          </cell>
          <cell r="C331">
            <v>53140</v>
          </cell>
          <cell r="D331">
            <v>1.5</v>
          </cell>
          <cell r="E331">
            <v>60180</v>
          </cell>
          <cell r="F331">
            <v>0.8</v>
          </cell>
          <cell r="G331">
            <v>55550</v>
          </cell>
        </row>
        <row r="332">
          <cell r="A332" t="str">
            <v>21-2020</v>
          </cell>
          <cell r="B332" t="str">
            <v>Directors, Religious Activities and Education</v>
          </cell>
          <cell r="C332">
            <v>24030</v>
          </cell>
          <cell r="D332">
            <v>4</v>
          </cell>
          <cell r="E332">
            <v>60540</v>
          </cell>
          <cell r="F332">
            <v>2.5</v>
          </cell>
          <cell r="G332">
            <v>49380</v>
          </cell>
        </row>
        <row r="333">
          <cell r="A333" t="str">
            <v>21-2021</v>
          </cell>
          <cell r="B333" t="str">
            <v>Directors, Religious Activities and Education</v>
          </cell>
          <cell r="C333">
            <v>24030</v>
          </cell>
          <cell r="D333">
            <v>4</v>
          </cell>
          <cell r="E333">
            <v>60540</v>
          </cell>
          <cell r="F333">
            <v>2.5</v>
          </cell>
          <cell r="G333">
            <v>49380</v>
          </cell>
        </row>
        <row r="334">
          <cell r="A334" t="str">
            <v>21-2090</v>
          </cell>
          <cell r="B334" t="str">
            <v>Miscellaneous Religious Workers</v>
          </cell>
          <cell r="C334">
            <v>10720</v>
          </cell>
          <cell r="D334">
            <v>5.2</v>
          </cell>
          <cell r="E334">
            <v>45420</v>
          </cell>
          <cell r="F334">
            <v>2.1</v>
          </cell>
          <cell r="G334">
            <v>39370</v>
          </cell>
        </row>
        <row r="335">
          <cell r="A335" t="str">
            <v>21-2099</v>
          </cell>
          <cell r="B335" t="str">
            <v>Religious Workers, All Other</v>
          </cell>
          <cell r="C335">
            <v>10720</v>
          </cell>
          <cell r="D335">
            <v>5.2</v>
          </cell>
          <cell r="E335">
            <v>45420</v>
          </cell>
          <cell r="F335">
            <v>2.1</v>
          </cell>
          <cell r="G335">
            <v>39370</v>
          </cell>
        </row>
        <row r="336">
          <cell r="A336" t="str">
            <v>23-0000</v>
          </cell>
          <cell r="B336" t="str">
            <v>Legal Occupations</v>
          </cell>
          <cell r="C336">
            <v>1216600</v>
          </cell>
          <cell r="D336">
            <v>0.5</v>
          </cell>
          <cell r="E336">
            <v>124540</v>
          </cell>
          <cell r="F336">
            <v>2</v>
          </cell>
          <cell r="G336">
            <v>95170</v>
          </cell>
        </row>
        <row r="337">
          <cell r="A337" t="str">
            <v>23-1000</v>
          </cell>
          <cell r="B337" t="str">
            <v>Lawyers, Judges, and Related Workers</v>
          </cell>
          <cell r="C337">
            <v>771200</v>
          </cell>
          <cell r="D337">
            <v>1</v>
          </cell>
          <cell r="E337">
            <v>159710</v>
          </cell>
          <cell r="F337">
            <v>1.8</v>
          </cell>
          <cell r="G337">
            <v>133510</v>
          </cell>
        </row>
        <row r="338">
          <cell r="A338" t="str">
            <v>23-1010</v>
          </cell>
          <cell r="B338" t="str">
            <v>Lawyers and Judicial Law Clerks</v>
          </cell>
          <cell r="C338">
            <v>722710</v>
          </cell>
          <cell r="D338">
            <v>1</v>
          </cell>
          <cell r="E338">
            <v>161680</v>
          </cell>
          <cell r="F338">
            <v>1.8</v>
          </cell>
          <cell r="G338">
            <v>134140</v>
          </cell>
        </row>
        <row r="339">
          <cell r="A339" t="str">
            <v>23-1011</v>
          </cell>
          <cell r="B339" t="str">
            <v>Lawyers</v>
          </cell>
          <cell r="C339">
            <v>707160</v>
          </cell>
          <cell r="D339">
            <v>1</v>
          </cell>
          <cell r="E339">
            <v>163770</v>
          </cell>
          <cell r="F339">
            <v>1.8</v>
          </cell>
          <cell r="G339">
            <v>135740</v>
          </cell>
        </row>
        <row r="340">
          <cell r="A340" t="str">
            <v>23-1012</v>
          </cell>
          <cell r="B340" t="str">
            <v>Judicial Law Clerks</v>
          </cell>
          <cell r="C340">
            <v>15540</v>
          </cell>
          <cell r="D340">
            <v>0.9</v>
          </cell>
          <cell r="E340">
            <v>66310</v>
          </cell>
          <cell r="F340">
            <v>1.4</v>
          </cell>
          <cell r="G340">
            <v>57490</v>
          </cell>
        </row>
        <row r="341">
          <cell r="A341" t="str">
            <v>23-1020</v>
          </cell>
          <cell r="B341" t="str">
            <v>Judges, Magistrates, and Other Judicial Workers</v>
          </cell>
          <cell r="C341">
            <v>48500</v>
          </cell>
          <cell r="D341">
            <v>2.2000000000000002</v>
          </cell>
          <cell r="E341">
            <v>130380</v>
          </cell>
          <cell r="F341">
            <v>2.7</v>
          </cell>
          <cell r="G341">
            <v>113600</v>
          </cell>
        </row>
        <row r="342">
          <cell r="A342" t="str">
            <v>23-1021</v>
          </cell>
          <cell r="B342" t="str">
            <v>Administrative Law Judges, Adjudicators, and Hearing Officers</v>
          </cell>
          <cell r="C342">
            <v>12490</v>
          </cell>
          <cell r="D342">
            <v>0.4</v>
          </cell>
          <cell r="E342">
            <v>97250</v>
          </cell>
          <cell r="F342">
            <v>0.8</v>
          </cell>
          <cell r="G342">
            <v>94990</v>
          </cell>
        </row>
        <row r="343">
          <cell r="A343" t="str">
            <v>23-1022</v>
          </cell>
          <cell r="B343" t="str">
            <v>Arbitrators, Mediators, and Conciliators</v>
          </cell>
          <cell r="C343">
            <v>7780</v>
          </cell>
          <cell r="D343">
            <v>13.6</v>
          </cell>
          <cell r="E343">
            <v>98920</v>
          </cell>
          <cell r="F343">
            <v>23.2</v>
          </cell>
          <cell r="G343">
            <v>64030</v>
          </cell>
        </row>
        <row r="344">
          <cell r="A344" t="str">
            <v>23-1023</v>
          </cell>
          <cell r="B344" t="str">
            <v>Judges, Magistrate Judges, and Magistrates</v>
          </cell>
          <cell r="C344">
            <v>28230</v>
          </cell>
          <cell r="D344">
            <v>0.5</v>
          </cell>
          <cell r="E344">
            <v>153700</v>
          </cell>
          <cell r="F344">
            <v>1.1000000000000001</v>
          </cell>
          <cell r="G344">
            <v>151030</v>
          </cell>
        </row>
        <row r="345">
          <cell r="A345" t="str">
            <v>23-2000</v>
          </cell>
          <cell r="B345" t="str">
            <v>Legal Support Workers</v>
          </cell>
          <cell r="C345">
            <v>445400</v>
          </cell>
          <cell r="D345">
            <v>1.2</v>
          </cell>
          <cell r="E345">
            <v>63640</v>
          </cell>
          <cell r="F345">
            <v>2</v>
          </cell>
          <cell r="G345">
            <v>58810</v>
          </cell>
        </row>
        <row r="346">
          <cell r="A346" t="str">
            <v>23-2010</v>
          </cell>
          <cell r="B346" t="str">
            <v>Paralegals and Legal Assistants</v>
          </cell>
          <cell r="C346">
            <v>345240</v>
          </cell>
          <cell r="D346">
            <v>1.8</v>
          </cell>
          <cell r="E346">
            <v>62840</v>
          </cell>
          <cell r="F346">
            <v>2.1</v>
          </cell>
          <cell r="G346">
            <v>59200</v>
          </cell>
        </row>
        <row r="347">
          <cell r="A347" t="str">
            <v>23-2011</v>
          </cell>
          <cell r="B347" t="str">
            <v>Paralegals and Legal Assistants</v>
          </cell>
          <cell r="C347">
            <v>345240</v>
          </cell>
          <cell r="D347">
            <v>1.8</v>
          </cell>
          <cell r="E347">
            <v>62840</v>
          </cell>
          <cell r="F347">
            <v>2.1</v>
          </cell>
          <cell r="G347">
            <v>59200</v>
          </cell>
        </row>
        <row r="348">
          <cell r="A348" t="str">
            <v>23-2090</v>
          </cell>
          <cell r="B348" t="str">
            <v>Miscellaneous Legal Support Workers</v>
          </cell>
          <cell r="C348">
            <v>100160</v>
          </cell>
          <cell r="D348">
            <v>2.2000000000000002</v>
          </cell>
          <cell r="E348">
            <v>66390</v>
          </cell>
          <cell r="F348">
            <v>1.4</v>
          </cell>
          <cell r="G348">
            <v>56850</v>
          </cell>
        </row>
        <row r="349">
          <cell r="A349" t="str">
            <v>23-2093</v>
          </cell>
          <cell r="B349" t="str">
            <v>Title Examiners, Abstractors, and Searchers</v>
          </cell>
          <cell r="C349">
            <v>53680</v>
          </cell>
          <cell r="D349">
            <v>3.8</v>
          </cell>
          <cell r="E349">
            <v>57030</v>
          </cell>
          <cell r="F349">
            <v>1.7</v>
          </cell>
          <cell r="G349">
            <v>50490</v>
          </cell>
        </row>
        <row r="350">
          <cell r="A350" t="str">
            <v>23-2099</v>
          </cell>
          <cell r="B350" t="str">
            <v>Legal Support Workers, All Other</v>
          </cell>
          <cell r="C350">
            <v>46480</v>
          </cell>
          <cell r="D350">
            <v>2</v>
          </cell>
          <cell r="E350">
            <v>77200</v>
          </cell>
          <cell r="F350">
            <v>1.8</v>
          </cell>
          <cell r="G350">
            <v>62340</v>
          </cell>
        </row>
        <row r="351">
          <cell r="A351" t="str">
            <v>25-0000</v>
          </cell>
          <cell r="B351" t="str">
            <v>Educational Instruction and Library Occupations</v>
          </cell>
          <cell r="C351">
            <v>8496780</v>
          </cell>
          <cell r="D351">
            <v>0.2</v>
          </cell>
          <cell r="E351">
            <v>63240</v>
          </cell>
          <cell r="F351">
            <v>0.5</v>
          </cell>
          <cell r="G351">
            <v>57490</v>
          </cell>
        </row>
        <row r="352">
          <cell r="A352" t="str">
            <v>25-1000</v>
          </cell>
          <cell r="B352" t="str">
            <v>Postsecondary Teachers</v>
          </cell>
          <cell r="C352">
            <v>1380290</v>
          </cell>
          <cell r="D352">
            <v>0.1</v>
          </cell>
          <cell r="E352">
            <v>96130</v>
          </cell>
          <cell r="F352">
            <v>0.5</v>
          </cell>
          <cell r="G352">
            <v>79080</v>
          </cell>
        </row>
        <row r="353">
          <cell r="A353" t="str">
            <v>25-1010</v>
          </cell>
          <cell r="B353" t="str">
            <v>Business Teachers, Postsecondary</v>
          </cell>
          <cell r="C353">
            <v>78410</v>
          </cell>
          <cell r="D353">
            <v>0.4</v>
          </cell>
          <cell r="E353">
            <v>108060</v>
          </cell>
          <cell r="F353">
            <v>0.7</v>
          </cell>
          <cell r="G353">
            <v>88790</v>
          </cell>
        </row>
        <row r="354">
          <cell r="A354" t="str">
            <v>25-1011</v>
          </cell>
          <cell r="B354" t="str">
            <v>Business Teachers, Postsecondary</v>
          </cell>
          <cell r="C354">
            <v>78410</v>
          </cell>
          <cell r="D354">
            <v>0.4</v>
          </cell>
          <cell r="E354">
            <v>108060</v>
          </cell>
          <cell r="F354">
            <v>0.7</v>
          </cell>
          <cell r="G354">
            <v>88790</v>
          </cell>
        </row>
        <row r="355">
          <cell r="A355" t="str">
            <v>25-1020</v>
          </cell>
          <cell r="B355" t="str">
            <v>Math and Computer Science Teachers, Postsecondary</v>
          </cell>
          <cell r="C355">
            <v>80430</v>
          </cell>
          <cell r="D355">
            <v>0.3</v>
          </cell>
          <cell r="E355">
            <v>93690</v>
          </cell>
          <cell r="F355">
            <v>0.6</v>
          </cell>
          <cell r="G355">
            <v>79810</v>
          </cell>
        </row>
        <row r="356">
          <cell r="A356" t="str">
            <v>25-1021</v>
          </cell>
          <cell r="B356" t="str">
            <v>Computer Science Teachers, Postsecondary</v>
          </cell>
          <cell r="C356">
            <v>33870</v>
          </cell>
          <cell r="D356">
            <v>0.6</v>
          </cell>
          <cell r="E356">
            <v>98610</v>
          </cell>
          <cell r="F356">
            <v>0.7</v>
          </cell>
          <cell r="G356">
            <v>84760</v>
          </cell>
        </row>
        <row r="357">
          <cell r="A357" t="str">
            <v>25-1022</v>
          </cell>
          <cell r="B357" t="str">
            <v>Mathematical Science Teachers, Postsecondary</v>
          </cell>
          <cell r="C357">
            <v>46560</v>
          </cell>
          <cell r="D357">
            <v>0.4</v>
          </cell>
          <cell r="E357">
            <v>90110</v>
          </cell>
          <cell r="F357">
            <v>0.6</v>
          </cell>
          <cell r="G357">
            <v>77420</v>
          </cell>
        </row>
        <row r="358">
          <cell r="A358" t="str">
            <v>25-1030</v>
          </cell>
          <cell r="B358" t="str">
            <v>Engineering and Architecture Teachers, Postsecondary</v>
          </cell>
          <cell r="C358">
            <v>42440</v>
          </cell>
          <cell r="D358">
            <v>0.5</v>
          </cell>
          <cell r="E358">
            <v>112940</v>
          </cell>
          <cell r="F358">
            <v>0.6</v>
          </cell>
          <cell r="G358">
            <v>102810</v>
          </cell>
        </row>
        <row r="359">
          <cell r="A359" t="str">
            <v>25-1031</v>
          </cell>
          <cell r="B359" t="str">
            <v>Architecture Teachers, Postsecondary</v>
          </cell>
          <cell r="C359">
            <v>6420</v>
          </cell>
          <cell r="D359">
            <v>1.1000000000000001</v>
          </cell>
          <cell r="E359">
            <v>104370</v>
          </cell>
          <cell r="F359">
            <v>0.7</v>
          </cell>
          <cell r="G359">
            <v>93220</v>
          </cell>
        </row>
        <row r="360">
          <cell r="A360" t="str">
            <v>25-1032</v>
          </cell>
          <cell r="B360" t="str">
            <v>Engineering Teachers, Postsecondary</v>
          </cell>
          <cell r="C360">
            <v>36010</v>
          </cell>
          <cell r="D360">
            <v>0.5</v>
          </cell>
          <cell r="E360">
            <v>114470</v>
          </cell>
          <cell r="F360">
            <v>0.6</v>
          </cell>
          <cell r="G360">
            <v>103550</v>
          </cell>
        </row>
        <row r="361">
          <cell r="A361" t="str">
            <v>25-1040</v>
          </cell>
          <cell r="B361" t="str">
            <v>Life Sciences Teachers, Postsecondary</v>
          </cell>
          <cell r="C361">
            <v>59420</v>
          </cell>
          <cell r="D361">
            <v>0.4</v>
          </cell>
          <cell r="E361">
            <v>97650</v>
          </cell>
          <cell r="F361">
            <v>0.6</v>
          </cell>
          <cell r="G361">
            <v>82740</v>
          </cell>
        </row>
        <row r="362">
          <cell r="A362" t="str">
            <v>25-1041</v>
          </cell>
          <cell r="B362" t="str">
            <v>Agricultural Sciences Teachers, Postsecondary</v>
          </cell>
          <cell r="C362">
            <v>8240</v>
          </cell>
          <cell r="D362">
            <v>2.1</v>
          </cell>
          <cell r="E362">
            <v>96650</v>
          </cell>
          <cell r="F362">
            <v>0.8</v>
          </cell>
          <cell r="G362">
            <v>85860</v>
          </cell>
        </row>
        <row r="363">
          <cell r="A363" t="str">
            <v>25-1042</v>
          </cell>
          <cell r="B363" t="str">
            <v>Biological Science Teachers, Postsecondary</v>
          </cell>
          <cell r="C363">
            <v>49920</v>
          </cell>
          <cell r="D363">
            <v>0.3</v>
          </cell>
          <cell r="E363">
            <v>97800</v>
          </cell>
          <cell r="F363">
            <v>0.5</v>
          </cell>
          <cell r="G363">
            <v>81650</v>
          </cell>
        </row>
        <row r="364">
          <cell r="A364" t="str">
            <v>25-1043</v>
          </cell>
          <cell r="B364" t="str">
            <v>Forestry and Conservation Science Teachers, Postsecondary</v>
          </cell>
          <cell r="C364">
            <v>1270</v>
          </cell>
          <cell r="D364">
            <v>3.2</v>
          </cell>
          <cell r="E364">
            <v>98160</v>
          </cell>
          <cell r="F364">
            <v>1.1000000000000001</v>
          </cell>
          <cell r="G364">
            <v>96500</v>
          </cell>
        </row>
        <row r="365">
          <cell r="A365" t="str">
            <v>25-1050</v>
          </cell>
          <cell r="B365" t="str">
            <v>Physical Sciences Teachers, Postsecondary</v>
          </cell>
          <cell r="C365">
            <v>50900</v>
          </cell>
          <cell r="D365">
            <v>0.2</v>
          </cell>
          <cell r="E365">
            <v>98880</v>
          </cell>
          <cell r="F365">
            <v>0.6</v>
          </cell>
          <cell r="G365">
            <v>83700</v>
          </cell>
        </row>
        <row r="366">
          <cell r="A366" t="str">
            <v>25-1051</v>
          </cell>
          <cell r="B366" t="str">
            <v>Atmospheric, Earth, Marine, and Space Sciences Teachers, Postsecondary</v>
          </cell>
          <cell r="C366">
            <v>11150</v>
          </cell>
          <cell r="D366">
            <v>0.6</v>
          </cell>
          <cell r="E366">
            <v>107540</v>
          </cell>
          <cell r="F366">
            <v>0.7</v>
          </cell>
          <cell r="G366">
            <v>97770</v>
          </cell>
        </row>
        <row r="367">
          <cell r="A367" t="str">
            <v>25-1052</v>
          </cell>
          <cell r="B367" t="str">
            <v>Chemistry Teachers, Postsecondary</v>
          </cell>
          <cell r="C367">
            <v>20650</v>
          </cell>
          <cell r="D367">
            <v>0.3</v>
          </cell>
          <cell r="E367">
            <v>95250</v>
          </cell>
          <cell r="F367">
            <v>0.6</v>
          </cell>
          <cell r="G367">
            <v>80720</v>
          </cell>
        </row>
        <row r="368">
          <cell r="A368" t="str">
            <v>25-1053</v>
          </cell>
          <cell r="B368" t="str">
            <v>Environmental Science Teachers, Postsecondary</v>
          </cell>
          <cell r="C368">
            <v>6240</v>
          </cell>
          <cell r="D368">
            <v>0.6</v>
          </cell>
          <cell r="E368">
            <v>91450</v>
          </cell>
          <cell r="F368">
            <v>0.6</v>
          </cell>
          <cell r="G368">
            <v>83040</v>
          </cell>
        </row>
        <row r="369">
          <cell r="A369" t="str">
            <v>25-1054</v>
          </cell>
          <cell r="B369" t="str">
            <v>Physics Teachers, Postsecondary</v>
          </cell>
          <cell r="C369">
            <v>12860</v>
          </cell>
          <cell r="D369">
            <v>0.4</v>
          </cell>
          <cell r="E369">
            <v>100810</v>
          </cell>
          <cell r="F369">
            <v>0.5</v>
          </cell>
          <cell r="G369">
            <v>86550</v>
          </cell>
        </row>
        <row r="370">
          <cell r="A370" t="str">
            <v>25-1060</v>
          </cell>
          <cell r="B370" t="str">
            <v>Social Sciences Teachers, Postsecondary</v>
          </cell>
          <cell r="C370">
            <v>112710</v>
          </cell>
          <cell r="D370">
            <v>0.5</v>
          </cell>
          <cell r="E370">
            <v>94480</v>
          </cell>
          <cell r="F370">
            <v>0.6</v>
          </cell>
          <cell r="G370">
            <v>80910</v>
          </cell>
        </row>
        <row r="371">
          <cell r="A371" t="str">
            <v>25-1061</v>
          </cell>
          <cell r="B371" t="str">
            <v>Anthropology and Archeology Teachers, Postsecondary</v>
          </cell>
          <cell r="C371">
            <v>4930</v>
          </cell>
          <cell r="D371">
            <v>0.3</v>
          </cell>
          <cell r="E371">
            <v>98940</v>
          </cell>
          <cell r="F371">
            <v>0.6</v>
          </cell>
          <cell r="G371">
            <v>85000</v>
          </cell>
        </row>
        <row r="372">
          <cell r="A372" t="str">
            <v>25-1062</v>
          </cell>
          <cell r="B372" t="str">
            <v>Area, Ethnic, and Cultural Studies Teachers, Postsecondary</v>
          </cell>
          <cell r="C372">
            <v>9340</v>
          </cell>
          <cell r="D372">
            <v>0.5</v>
          </cell>
          <cell r="E372">
            <v>92980</v>
          </cell>
          <cell r="F372">
            <v>0.6</v>
          </cell>
          <cell r="G372">
            <v>80910</v>
          </cell>
        </row>
        <row r="373">
          <cell r="A373" t="str">
            <v>25-1063</v>
          </cell>
          <cell r="B373" t="str">
            <v>Economics Teachers, Postsecondary</v>
          </cell>
          <cell r="C373">
            <v>11640</v>
          </cell>
          <cell r="D373">
            <v>0.6</v>
          </cell>
          <cell r="E373">
            <v>122750</v>
          </cell>
          <cell r="F373">
            <v>0.6</v>
          </cell>
          <cell r="G373">
            <v>103930</v>
          </cell>
        </row>
        <row r="374">
          <cell r="A374" t="str">
            <v>25-1064</v>
          </cell>
          <cell r="B374" t="str">
            <v>Geography Teachers, Postsecondary</v>
          </cell>
          <cell r="C374">
            <v>3340</v>
          </cell>
          <cell r="D374">
            <v>0.6</v>
          </cell>
          <cell r="E374">
            <v>87880</v>
          </cell>
          <cell r="F374">
            <v>0.6</v>
          </cell>
          <cell r="G374">
            <v>81920</v>
          </cell>
        </row>
        <row r="375">
          <cell r="A375" t="str">
            <v>25-1065</v>
          </cell>
          <cell r="B375" t="str">
            <v>Political Science Teachers, Postsecondary</v>
          </cell>
          <cell r="C375">
            <v>15190</v>
          </cell>
          <cell r="D375">
            <v>0.7</v>
          </cell>
          <cell r="E375">
            <v>98420</v>
          </cell>
          <cell r="F375">
            <v>0.5</v>
          </cell>
          <cell r="G375">
            <v>83770</v>
          </cell>
        </row>
        <row r="376">
          <cell r="A376" t="str">
            <v>25-1066</v>
          </cell>
          <cell r="B376" t="str">
            <v>Psychology Teachers, Postsecondary</v>
          </cell>
          <cell r="C376">
            <v>40050</v>
          </cell>
          <cell r="D376">
            <v>1.6</v>
          </cell>
          <cell r="E376">
            <v>88470</v>
          </cell>
          <cell r="F376">
            <v>0.7</v>
          </cell>
          <cell r="G376">
            <v>78810</v>
          </cell>
        </row>
        <row r="377">
          <cell r="A377" t="str">
            <v>25-1067</v>
          </cell>
          <cell r="B377" t="str">
            <v>Sociology Teachers, Postsecondary</v>
          </cell>
          <cell r="C377">
            <v>12030</v>
          </cell>
          <cell r="D377">
            <v>0.7</v>
          </cell>
          <cell r="E377">
            <v>90200</v>
          </cell>
          <cell r="F377">
            <v>0.7</v>
          </cell>
          <cell r="G377">
            <v>78970</v>
          </cell>
        </row>
        <row r="378">
          <cell r="A378" t="str">
            <v>25-1069</v>
          </cell>
          <cell r="B378" t="str">
            <v>Social Sciences Teachers, Postsecondary, All Other</v>
          </cell>
          <cell r="C378">
            <v>16200</v>
          </cell>
          <cell r="D378">
            <v>1.1000000000000001</v>
          </cell>
          <cell r="E378">
            <v>89350</v>
          </cell>
          <cell r="F378">
            <v>0.7</v>
          </cell>
          <cell r="G378">
            <v>75390</v>
          </cell>
        </row>
        <row r="379">
          <cell r="A379" t="str">
            <v>25-1070</v>
          </cell>
          <cell r="B379" t="str">
            <v>Health Teachers, Postsecondary</v>
          </cell>
          <cell r="C379">
            <v>276880</v>
          </cell>
          <cell r="D379">
            <v>0.3</v>
          </cell>
          <cell r="E379">
            <v>116780</v>
          </cell>
          <cell r="F379">
            <v>0.6</v>
          </cell>
          <cell r="G379">
            <v>95580</v>
          </cell>
        </row>
        <row r="380">
          <cell r="A380" t="str">
            <v>25-1071</v>
          </cell>
          <cell r="B380" t="str">
            <v>Health Specialties Teachers, Postsecondary</v>
          </cell>
          <cell r="C380">
            <v>207700</v>
          </cell>
          <cell r="D380">
            <v>0.4</v>
          </cell>
          <cell r="E380">
            <v>127640</v>
          </cell>
          <cell r="F380">
            <v>0.6</v>
          </cell>
          <cell r="G380">
            <v>100300</v>
          </cell>
        </row>
        <row r="381">
          <cell r="A381" t="str">
            <v>25-1072</v>
          </cell>
          <cell r="B381" t="str">
            <v>Nursing Instructors and Teachers, Postsecondary</v>
          </cell>
          <cell r="C381">
            <v>69190</v>
          </cell>
          <cell r="D381">
            <v>0.8</v>
          </cell>
          <cell r="E381">
            <v>84180</v>
          </cell>
          <cell r="F381">
            <v>0.6</v>
          </cell>
          <cell r="G381">
            <v>78580</v>
          </cell>
        </row>
        <row r="382">
          <cell r="A382" t="str">
            <v>25-1080</v>
          </cell>
          <cell r="B382" t="str">
            <v>Education and Library Science Teachers, Postsecondary</v>
          </cell>
          <cell r="C382">
            <v>62610</v>
          </cell>
          <cell r="D382">
            <v>0.7</v>
          </cell>
          <cell r="E382">
            <v>78770</v>
          </cell>
          <cell r="F382">
            <v>0.6</v>
          </cell>
          <cell r="G382">
            <v>67920</v>
          </cell>
        </row>
        <row r="383">
          <cell r="A383" t="str">
            <v>25-1081</v>
          </cell>
          <cell r="B383" t="str">
            <v>Education Teachers, Postsecondary</v>
          </cell>
          <cell r="C383">
            <v>58280</v>
          </cell>
          <cell r="D383">
            <v>0.7</v>
          </cell>
          <cell r="E383">
            <v>78540</v>
          </cell>
          <cell r="F383">
            <v>0.6</v>
          </cell>
          <cell r="G383">
            <v>66930</v>
          </cell>
        </row>
        <row r="384">
          <cell r="A384" t="str">
            <v>25-1082</v>
          </cell>
          <cell r="B384" t="str">
            <v>Library Science Teachers, Postsecondary</v>
          </cell>
          <cell r="C384">
            <v>4330</v>
          </cell>
          <cell r="D384">
            <v>0.5</v>
          </cell>
          <cell r="E384">
            <v>81720</v>
          </cell>
          <cell r="F384">
            <v>0.6</v>
          </cell>
          <cell r="G384">
            <v>76370</v>
          </cell>
        </row>
        <row r="385">
          <cell r="A385" t="str">
            <v>25-1110</v>
          </cell>
          <cell r="B385" t="str">
            <v>Law, Criminal Justice, and Social Work Teachers, Postsecondary</v>
          </cell>
          <cell r="C385">
            <v>40780</v>
          </cell>
          <cell r="D385">
            <v>0.6</v>
          </cell>
          <cell r="E385">
            <v>97900</v>
          </cell>
          <cell r="F385">
            <v>0.8</v>
          </cell>
          <cell r="G385">
            <v>77580</v>
          </cell>
        </row>
        <row r="386">
          <cell r="A386" t="str">
            <v>25-1111</v>
          </cell>
          <cell r="B386" t="str">
            <v>Criminal Justice and Law Enforcement Teachers, Postsecondary</v>
          </cell>
          <cell r="C386">
            <v>13900</v>
          </cell>
          <cell r="D386">
            <v>0.9</v>
          </cell>
          <cell r="E386">
            <v>78980</v>
          </cell>
          <cell r="F386">
            <v>0.7</v>
          </cell>
          <cell r="G386">
            <v>64990</v>
          </cell>
        </row>
        <row r="387">
          <cell r="A387" t="str">
            <v>25-1112</v>
          </cell>
          <cell r="B387" t="str">
            <v>Law Teachers, Postsecondary</v>
          </cell>
          <cell r="C387">
            <v>14830</v>
          </cell>
          <cell r="D387">
            <v>1.4</v>
          </cell>
          <cell r="E387">
            <v>133950</v>
          </cell>
          <cell r="F387">
            <v>1</v>
          </cell>
          <cell r="G387">
            <v>108860</v>
          </cell>
        </row>
        <row r="388">
          <cell r="A388" t="str">
            <v>25-1113</v>
          </cell>
          <cell r="B388" t="str">
            <v>Social Work Teachers, Postsecondary</v>
          </cell>
          <cell r="C388">
            <v>12050</v>
          </cell>
          <cell r="D388">
            <v>1.1000000000000001</v>
          </cell>
          <cell r="E388">
            <v>75330</v>
          </cell>
          <cell r="F388">
            <v>0.5</v>
          </cell>
          <cell r="G388">
            <v>66510</v>
          </cell>
        </row>
        <row r="389">
          <cell r="A389" t="str">
            <v>25-1120</v>
          </cell>
          <cell r="B389" t="str">
            <v>Arts, Communications, History, and Humanities Teachers, Postsecondary</v>
          </cell>
          <cell r="C389">
            <v>242260</v>
          </cell>
          <cell r="D389">
            <v>0.5</v>
          </cell>
          <cell r="E389">
            <v>88260</v>
          </cell>
          <cell r="F389">
            <v>0.5</v>
          </cell>
          <cell r="G389">
            <v>76850</v>
          </cell>
        </row>
        <row r="390">
          <cell r="A390" t="str">
            <v>25-1121</v>
          </cell>
          <cell r="B390" t="str">
            <v>Art, Drama, and Music Teachers, Postsecondary</v>
          </cell>
          <cell r="C390">
            <v>97830</v>
          </cell>
          <cell r="D390">
            <v>0.9</v>
          </cell>
          <cell r="E390">
            <v>93440</v>
          </cell>
          <cell r="F390">
            <v>0.7</v>
          </cell>
          <cell r="G390">
            <v>77280</v>
          </cell>
        </row>
        <row r="391">
          <cell r="A391" t="str">
            <v>25-1122</v>
          </cell>
          <cell r="B391" t="str">
            <v>Communications Teachers, Postsecondary</v>
          </cell>
          <cell r="C391">
            <v>27350</v>
          </cell>
          <cell r="D391">
            <v>0.4</v>
          </cell>
          <cell r="E391">
            <v>84700</v>
          </cell>
          <cell r="F391">
            <v>0.6</v>
          </cell>
          <cell r="G391">
            <v>76250</v>
          </cell>
        </row>
        <row r="392">
          <cell r="A392" t="str">
            <v>25-1123</v>
          </cell>
          <cell r="B392" t="str">
            <v>English Language and Literature Teachers, Postsecondary</v>
          </cell>
          <cell r="C392">
            <v>57680</v>
          </cell>
          <cell r="D392">
            <v>0.4</v>
          </cell>
          <cell r="E392">
            <v>83130</v>
          </cell>
          <cell r="F392">
            <v>0.7</v>
          </cell>
          <cell r="G392">
            <v>74280</v>
          </cell>
        </row>
        <row r="393">
          <cell r="A393" t="str">
            <v>25-1124</v>
          </cell>
          <cell r="B393" t="str">
            <v>Foreign Language and Literature Teachers, Postsecondary</v>
          </cell>
          <cell r="C393">
            <v>19520</v>
          </cell>
          <cell r="D393">
            <v>0.7</v>
          </cell>
          <cell r="E393">
            <v>83300</v>
          </cell>
          <cell r="F393">
            <v>0.6</v>
          </cell>
          <cell r="G393">
            <v>76030</v>
          </cell>
        </row>
        <row r="394">
          <cell r="A394" t="str">
            <v>25-1125</v>
          </cell>
          <cell r="B394" t="str">
            <v>History Teachers, Postsecondary</v>
          </cell>
          <cell r="C394">
            <v>18250</v>
          </cell>
          <cell r="D394">
            <v>0.5</v>
          </cell>
          <cell r="E394">
            <v>88640</v>
          </cell>
          <cell r="F394">
            <v>0.6</v>
          </cell>
          <cell r="G394">
            <v>79400</v>
          </cell>
        </row>
        <row r="395">
          <cell r="A395" t="str">
            <v>25-1126</v>
          </cell>
          <cell r="B395" t="str">
            <v>Philosophy and Religion Teachers, Postsecondary</v>
          </cell>
          <cell r="C395">
            <v>21620</v>
          </cell>
          <cell r="D395">
            <v>1.2</v>
          </cell>
          <cell r="E395">
            <v>87100</v>
          </cell>
          <cell r="F395">
            <v>0.7</v>
          </cell>
          <cell r="G395">
            <v>78780</v>
          </cell>
        </row>
        <row r="396">
          <cell r="A396" t="str">
            <v>25-1190</v>
          </cell>
          <cell r="B396" t="str">
            <v>Miscellaneous Postsecondary Teachers</v>
          </cell>
          <cell r="C396">
            <v>333440</v>
          </cell>
          <cell r="D396">
            <v>0.4</v>
          </cell>
          <cell r="E396">
            <v>83240</v>
          </cell>
          <cell r="F396">
            <v>0.6</v>
          </cell>
          <cell r="G396">
            <v>66390</v>
          </cell>
        </row>
        <row r="397">
          <cell r="A397" t="str">
            <v>25-1192</v>
          </cell>
          <cell r="B397" t="str">
            <v>Family and Consumer Sciences Teachers, Postsecondary</v>
          </cell>
          <cell r="C397">
            <v>2420</v>
          </cell>
          <cell r="D397">
            <v>1.2</v>
          </cell>
          <cell r="E397">
            <v>89840</v>
          </cell>
          <cell r="F397">
            <v>0.7</v>
          </cell>
          <cell r="G397">
            <v>76440</v>
          </cell>
        </row>
        <row r="398">
          <cell r="A398" t="str">
            <v>25-1193</v>
          </cell>
          <cell r="B398" t="str">
            <v>Recreation and Fitness Studies Teachers, Postsecondary</v>
          </cell>
          <cell r="C398">
            <v>13400</v>
          </cell>
          <cell r="D398">
            <v>0.8</v>
          </cell>
          <cell r="E398">
            <v>82020</v>
          </cell>
          <cell r="F398">
            <v>0.6</v>
          </cell>
          <cell r="G398">
            <v>72650</v>
          </cell>
        </row>
        <row r="399">
          <cell r="A399" t="str">
            <v>25-1194</v>
          </cell>
          <cell r="B399" t="str">
            <v>Career/Technical Education Teachers, Postsecondary</v>
          </cell>
          <cell r="C399">
            <v>103100</v>
          </cell>
          <cell r="D399">
            <v>1</v>
          </cell>
          <cell r="E399">
            <v>65500</v>
          </cell>
          <cell r="F399">
            <v>0.6</v>
          </cell>
          <cell r="G399">
            <v>59840</v>
          </cell>
        </row>
        <row r="400">
          <cell r="A400" t="str">
            <v>25-1199</v>
          </cell>
          <cell r="B400" t="str">
            <v>Postsecondary Teachers, All Other</v>
          </cell>
          <cell r="C400">
            <v>214520</v>
          </cell>
          <cell r="D400">
            <v>0.5</v>
          </cell>
          <cell r="E400">
            <v>91760</v>
          </cell>
          <cell r="F400">
            <v>0.7</v>
          </cell>
          <cell r="G400">
            <v>76920</v>
          </cell>
        </row>
        <row r="401">
          <cell r="A401" t="str">
            <v>25-2000</v>
          </cell>
          <cell r="B401" t="str">
            <v>Preschool, Elementary, Middle, Secondary, and Special Education Teachers</v>
          </cell>
          <cell r="C401">
            <v>4177640</v>
          </cell>
          <cell r="D401">
            <v>0.4</v>
          </cell>
          <cell r="E401">
            <v>65580</v>
          </cell>
          <cell r="F401">
            <v>0.5</v>
          </cell>
          <cell r="G401">
            <v>61180</v>
          </cell>
        </row>
        <row r="402">
          <cell r="A402" t="str">
            <v>25-2010</v>
          </cell>
          <cell r="B402" t="str">
            <v>Preschool and Kindergarten Teachers</v>
          </cell>
          <cell r="C402">
            <v>534610</v>
          </cell>
          <cell r="D402">
            <v>1.4</v>
          </cell>
          <cell r="E402">
            <v>44540</v>
          </cell>
          <cell r="F402">
            <v>0.8</v>
          </cell>
          <cell r="G402">
            <v>37000</v>
          </cell>
        </row>
        <row r="403">
          <cell r="A403" t="str">
            <v>25-2011</v>
          </cell>
          <cell r="B403" t="str">
            <v>Preschool Teachers, Except Special Education</v>
          </cell>
          <cell r="C403">
            <v>415360</v>
          </cell>
          <cell r="D403">
            <v>1.8</v>
          </cell>
          <cell r="E403">
            <v>38640</v>
          </cell>
          <cell r="F403">
            <v>0.9</v>
          </cell>
          <cell r="G403">
            <v>35330</v>
          </cell>
        </row>
        <row r="404">
          <cell r="A404" t="str">
            <v>25-2012</v>
          </cell>
          <cell r="B404" t="str">
            <v>Kindergarten Teachers, Except Special Education</v>
          </cell>
          <cell r="C404">
            <v>119250</v>
          </cell>
          <cell r="D404">
            <v>1.2</v>
          </cell>
          <cell r="E404">
            <v>65120</v>
          </cell>
          <cell r="F404">
            <v>0.8</v>
          </cell>
          <cell r="G404">
            <v>60490</v>
          </cell>
        </row>
        <row r="405">
          <cell r="A405" t="str">
            <v>25-2020</v>
          </cell>
          <cell r="B405" t="str">
            <v>Elementary and Middle School Teachers</v>
          </cell>
          <cell r="C405">
            <v>2016430</v>
          </cell>
          <cell r="D405">
            <v>0.5</v>
          </cell>
          <cell r="E405">
            <v>67930</v>
          </cell>
          <cell r="F405">
            <v>0.5</v>
          </cell>
          <cell r="G405">
            <v>61730</v>
          </cell>
        </row>
        <row r="406">
          <cell r="A406" t="str">
            <v>25-2021</v>
          </cell>
          <cell r="B406" t="str">
            <v>Elementary School Teachers, Except Special Education</v>
          </cell>
          <cell r="C406">
            <v>1394200</v>
          </cell>
          <cell r="D406">
            <v>0.7</v>
          </cell>
          <cell r="E406">
            <v>68000</v>
          </cell>
          <cell r="F406">
            <v>0.6</v>
          </cell>
          <cell r="G406">
            <v>61690</v>
          </cell>
        </row>
        <row r="407">
          <cell r="A407" t="str">
            <v>25-2022</v>
          </cell>
          <cell r="B407" t="str">
            <v>Middle School Teachers, Except Special and Career/Technical Education</v>
          </cell>
          <cell r="C407">
            <v>611120</v>
          </cell>
          <cell r="D407">
            <v>1.6</v>
          </cell>
          <cell r="E407">
            <v>67790</v>
          </cell>
          <cell r="F407">
            <v>0.7</v>
          </cell>
          <cell r="G407">
            <v>61810</v>
          </cell>
        </row>
        <row r="408">
          <cell r="A408" t="str">
            <v>25-2023</v>
          </cell>
          <cell r="B408" t="str">
            <v>Career/Technical Education Teachers, Middle School</v>
          </cell>
          <cell r="C408">
            <v>11110</v>
          </cell>
          <cell r="D408">
            <v>2.8</v>
          </cell>
          <cell r="E408">
            <v>67680</v>
          </cell>
          <cell r="F408">
            <v>1</v>
          </cell>
          <cell r="G408">
            <v>62630</v>
          </cell>
        </row>
        <row r="409">
          <cell r="A409" t="str">
            <v>25-2030</v>
          </cell>
          <cell r="B409" t="str">
            <v>Secondary School Teachers</v>
          </cell>
          <cell r="C409">
            <v>1130370</v>
          </cell>
          <cell r="D409">
            <v>1.1000000000000001</v>
          </cell>
          <cell r="E409">
            <v>69330</v>
          </cell>
          <cell r="F409">
            <v>0.6</v>
          </cell>
          <cell r="G409">
            <v>62360</v>
          </cell>
        </row>
        <row r="410">
          <cell r="A410" t="str">
            <v>25-2031</v>
          </cell>
          <cell r="B410" t="str">
            <v>Secondary School Teachers, Except Special and Career/Technical Education</v>
          </cell>
          <cell r="C410">
            <v>1042090</v>
          </cell>
          <cell r="D410">
            <v>1.2</v>
          </cell>
          <cell r="E410">
            <v>69480</v>
          </cell>
          <cell r="F410">
            <v>0.6</v>
          </cell>
          <cell r="G410">
            <v>62360</v>
          </cell>
        </row>
        <row r="411">
          <cell r="A411" t="str">
            <v>25-2032</v>
          </cell>
          <cell r="B411" t="str">
            <v>Career/Technical Education Teachers, Secondary School</v>
          </cell>
          <cell r="C411">
            <v>88280</v>
          </cell>
          <cell r="D411">
            <v>1.6</v>
          </cell>
          <cell r="E411">
            <v>67610</v>
          </cell>
          <cell r="F411">
            <v>0.9</v>
          </cell>
          <cell r="G411">
            <v>62500</v>
          </cell>
        </row>
        <row r="412">
          <cell r="A412" t="str">
            <v>25-2050</v>
          </cell>
          <cell r="B412" t="str">
            <v>Special Education Teachers</v>
          </cell>
          <cell r="C412">
            <v>496220</v>
          </cell>
          <cell r="D412">
            <v>0.7</v>
          </cell>
          <cell r="E412">
            <v>70110</v>
          </cell>
          <cell r="F412">
            <v>0.5</v>
          </cell>
          <cell r="G412">
            <v>62950</v>
          </cell>
        </row>
        <row r="413">
          <cell r="A413" t="str">
            <v>25-2051</v>
          </cell>
          <cell r="B413" t="str">
            <v>Special Education Teachers, Preschool</v>
          </cell>
          <cell r="C413">
            <v>22970</v>
          </cell>
          <cell r="D413">
            <v>5.4</v>
          </cell>
          <cell r="E413">
            <v>69620</v>
          </cell>
          <cell r="F413">
            <v>1.1000000000000001</v>
          </cell>
          <cell r="G413">
            <v>62240</v>
          </cell>
        </row>
        <row r="414">
          <cell r="A414" t="str">
            <v>25-2052</v>
          </cell>
          <cell r="B414" t="str">
            <v>Special Education Teachers, Kindergarten and Elementary School</v>
          </cell>
          <cell r="C414">
            <v>195010</v>
          </cell>
          <cell r="D414">
            <v>1.3</v>
          </cell>
          <cell r="E414">
            <v>68580</v>
          </cell>
          <cell r="F414">
            <v>0.7</v>
          </cell>
          <cell r="G414">
            <v>62390</v>
          </cell>
        </row>
        <row r="415">
          <cell r="A415" t="str">
            <v>25-2057</v>
          </cell>
          <cell r="B415" t="str">
            <v>Special Education Teachers, Middle School</v>
          </cell>
          <cell r="C415">
            <v>82970</v>
          </cell>
          <cell r="D415">
            <v>2.4</v>
          </cell>
          <cell r="E415">
            <v>69530</v>
          </cell>
          <cell r="F415">
            <v>0.9</v>
          </cell>
          <cell r="G415">
            <v>62990</v>
          </cell>
        </row>
        <row r="416">
          <cell r="A416" t="str">
            <v>25-2058</v>
          </cell>
          <cell r="B416" t="str">
            <v>Special Education Teachers, Secondary School</v>
          </cell>
          <cell r="C416">
            <v>152490</v>
          </cell>
          <cell r="D416">
            <v>1.5</v>
          </cell>
          <cell r="E416">
            <v>71290</v>
          </cell>
          <cell r="F416">
            <v>0.7</v>
          </cell>
          <cell r="G416">
            <v>63560</v>
          </cell>
        </row>
        <row r="417">
          <cell r="A417" t="str">
            <v>25-2059</v>
          </cell>
          <cell r="B417" t="str">
            <v>Special Education Teachers, All Other</v>
          </cell>
          <cell r="C417">
            <v>42780</v>
          </cell>
          <cell r="D417">
            <v>3.4</v>
          </cell>
          <cell r="E417">
            <v>74310</v>
          </cell>
          <cell r="F417">
            <v>1.6</v>
          </cell>
          <cell r="G417">
            <v>63950</v>
          </cell>
        </row>
        <row r="418">
          <cell r="A418" t="str">
            <v>25-3000</v>
          </cell>
          <cell r="B418" t="str">
            <v>Other Teachers and Instructors</v>
          </cell>
          <cell r="C418">
            <v>977300</v>
          </cell>
          <cell r="D418">
            <v>0.9</v>
          </cell>
          <cell r="E418">
            <v>48700</v>
          </cell>
          <cell r="F418">
            <v>0.6</v>
          </cell>
          <cell r="G418">
            <v>38510</v>
          </cell>
        </row>
        <row r="419">
          <cell r="A419" t="str">
            <v>25-3010</v>
          </cell>
          <cell r="B419" t="str">
            <v>Adult Basic Education, Adult Secondary Education, and English as a Second Language Instructors</v>
          </cell>
          <cell r="C419">
            <v>36490</v>
          </cell>
          <cell r="D419">
            <v>2.4</v>
          </cell>
          <cell r="E419">
            <v>63130</v>
          </cell>
          <cell r="F419">
            <v>0.9</v>
          </cell>
          <cell r="G419">
            <v>58590</v>
          </cell>
        </row>
        <row r="420">
          <cell r="A420" t="str">
            <v>25-3011</v>
          </cell>
          <cell r="B420" t="str">
            <v>Adult Basic Education, Adult Secondary Education, and English as a Second Language Instructors</v>
          </cell>
          <cell r="C420">
            <v>36490</v>
          </cell>
          <cell r="D420">
            <v>2.4</v>
          </cell>
          <cell r="E420">
            <v>63130</v>
          </cell>
          <cell r="F420">
            <v>0.9</v>
          </cell>
          <cell r="G420">
            <v>58590</v>
          </cell>
        </row>
        <row r="421">
          <cell r="A421" t="str">
            <v>25-3020</v>
          </cell>
          <cell r="B421" t="str">
            <v>Self-Enrichment Teachers</v>
          </cell>
          <cell r="C421">
            <v>248150</v>
          </cell>
          <cell r="D421">
            <v>1.1000000000000001</v>
          </cell>
          <cell r="E421">
            <v>50320</v>
          </cell>
          <cell r="F421">
            <v>1</v>
          </cell>
          <cell r="G421">
            <v>44110</v>
          </cell>
        </row>
        <row r="422">
          <cell r="A422" t="str">
            <v>25-3021</v>
          </cell>
          <cell r="B422" t="str">
            <v>Self-Enrichment Teachers</v>
          </cell>
          <cell r="C422">
            <v>248150</v>
          </cell>
          <cell r="D422">
            <v>1.1000000000000001</v>
          </cell>
          <cell r="E422">
            <v>50320</v>
          </cell>
          <cell r="F422">
            <v>1</v>
          </cell>
          <cell r="G422">
            <v>44110</v>
          </cell>
        </row>
        <row r="423">
          <cell r="A423" t="str">
            <v>25-3030</v>
          </cell>
          <cell r="B423" t="str">
            <v>Substitute Teachers, Short-Term</v>
          </cell>
          <cell r="C423">
            <v>397200</v>
          </cell>
          <cell r="D423">
            <v>1.9</v>
          </cell>
          <cell r="E423">
            <v>42680</v>
          </cell>
          <cell r="F423">
            <v>0.8</v>
          </cell>
          <cell r="G423">
            <v>35250</v>
          </cell>
        </row>
        <row r="424">
          <cell r="A424" t="str">
            <v>25-3031</v>
          </cell>
          <cell r="B424" t="str">
            <v>Substitute Teachers, Short-Term</v>
          </cell>
          <cell r="C424">
            <v>397200</v>
          </cell>
          <cell r="D424">
            <v>1.9</v>
          </cell>
          <cell r="E424">
            <v>42680</v>
          </cell>
          <cell r="F424">
            <v>0.8</v>
          </cell>
          <cell r="G424">
            <v>35250</v>
          </cell>
        </row>
        <row r="425">
          <cell r="A425" t="str">
            <v>25-3040</v>
          </cell>
          <cell r="B425" t="str">
            <v>Tutors</v>
          </cell>
          <cell r="C425">
            <v>174980</v>
          </cell>
          <cell r="D425">
            <v>1.9</v>
          </cell>
          <cell r="E425">
            <v>44820</v>
          </cell>
          <cell r="F425">
            <v>1.5</v>
          </cell>
          <cell r="G425">
            <v>36680</v>
          </cell>
        </row>
        <row r="426">
          <cell r="A426" t="str">
            <v>25-3041</v>
          </cell>
          <cell r="B426" t="str">
            <v>Tutors</v>
          </cell>
          <cell r="C426">
            <v>174980</v>
          </cell>
          <cell r="D426">
            <v>1.9</v>
          </cell>
          <cell r="E426">
            <v>44820</v>
          </cell>
          <cell r="F426">
            <v>1.5</v>
          </cell>
          <cell r="G426">
            <v>36680</v>
          </cell>
        </row>
        <row r="427">
          <cell r="A427" t="str">
            <v>25-3090</v>
          </cell>
          <cell r="B427" t="str">
            <v>Miscellaneous Teachers and Instructors</v>
          </cell>
          <cell r="C427">
            <v>120480</v>
          </cell>
          <cell r="D427">
            <v>1.6</v>
          </cell>
          <cell r="E427">
            <v>66450</v>
          </cell>
          <cell r="F427">
            <v>0.8</v>
          </cell>
          <cell r="G427">
            <v>61250</v>
          </cell>
        </row>
        <row r="428">
          <cell r="A428" t="str">
            <v>25-3099</v>
          </cell>
          <cell r="B428" t="str">
            <v>Teachers and Instructors, All Other</v>
          </cell>
          <cell r="C428">
            <v>120480</v>
          </cell>
          <cell r="D428">
            <v>1.6</v>
          </cell>
          <cell r="E428">
            <v>66450</v>
          </cell>
          <cell r="F428">
            <v>0.8</v>
          </cell>
          <cell r="G428">
            <v>61250</v>
          </cell>
        </row>
        <row r="429">
          <cell r="A429" t="str">
            <v>25-4000</v>
          </cell>
          <cell r="B429" t="str">
            <v>Librarians, Curators, and Archivists</v>
          </cell>
          <cell r="C429">
            <v>236090</v>
          </cell>
          <cell r="D429">
            <v>0.8</v>
          </cell>
          <cell r="E429">
            <v>56750</v>
          </cell>
          <cell r="F429">
            <v>0.5</v>
          </cell>
          <cell r="G429">
            <v>51220</v>
          </cell>
        </row>
        <row r="430">
          <cell r="A430" t="str">
            <v>25-4010</v>
          </cell>
          <cell r="B430" t="str">
            <v>Archivists, Curators, and Museum Technicians</v>
          </cell>
          <cell r="C430">
            <v>31080</v>
          </cell>
          <cell r="D430">
            <v>1.2</v>
          </cell>
          <cell r="E430">
            <v>60900</v>
          </cell>
          <cell r="F430">
            <v>1.4</v>
          </cell>
          <cell r="G430">
            <v>53420</v>
          </cell>
        </row>
        <row r="431">
          <cell r="A431" t="str">
            <v>25-4011</v>
          </cell>
          <cell r="B431" t="str">
            <v>Archivists</v>
          </cell>
          <cell r="C431">
            <v>7230</v>
          </cell>
          <cell r="D431">
            <v>3.2</v>
          </cell>
          <cell r="E431">
            <v>63980</v>
          </cell>
          <cell r="F431">
            <v>1.3</v>
          </cell>
          <cell r="G431">
            <v>58640</v>
          </cell>
        </row>
        <row r="432">
          <cell r="A432" t="str">
            <v>25-4012</v>
          </cell>
          <cell r="B432" t="str">
            <v>Curators</v>
          </cell>
          <cell r="C432">
            <v>11620</v>
          </cell>
          <cell r="D432">
            <v>1.6</v>
          </cell>
          <cell r="E432">
            <v>67490</v>
          </cell>
          <cell r="F432">
            <v>2.7</v>
          </cell>
          <cell r="G432">
            <v>60380</v>
          </cell>
        </row>
        <row r="433">
          <cell r="A433" t="str">
            <v>25-4013</v>
          </cell>
          <cell r="B433" t="str">
            <v>Museum Technicians and Conservators</v>
          </cell>
          <cell r="C433">
            <v>12240</v>
          </cell>
          <cell r="D433">
            <v>1.9</v>
          </cell>
          <cell r="E433">
            <v>52820</v>
          </cell>
          <cell r="F433">
            <v>1</v>
          </cell>
          <cell r="G433">
            <v>47270</v>
          </cell>
        </row>
        <row r="434">
          <cell r="A434" t="str">
            <v>25-4020</v>
          </cell>
          <cell r="B434" t="str">
            <v>Librarians and Media Collections Specialists</v>
          </cell>
          <cell r="C434">
            <v>131680</v>
          </cell>
          <cell r="D434">
            <v>0.8</v>
          </cell>
          <cell r="E434">
            <v>64770</v>
          </cell>
          <cell r="F434">
            <v>0.5</v>
          </cell>
          <cell r="G434">
            <v>61660</v>
          </cell>
        </row>
        <row r="435">
          <cell r="A435" t="str">
            <v>25-4022</v>
          </cell>
          <cell r="B435" t="str">
            <v>Librarians and Media Collections Specialists</v>
          </cell>
          <cell r="C435">
            <v>131680</v>
          </cell>
          <cell r="D435">
            <v>0.8</v>
          </cell>
          <cell r="E435">
            <v>64770</v>
          </cell>
          <cell r="F435">
            <v>0.5</v>
          </cell>
          <cell r="G435">
            <v>61660</v>
          </cell>
        </row>
        <row r="436">
          <cell r="A436" t="str">
            <v>25-4030</v>
          </cell>
          <cell r="B436" t="str">
            <v>Library Technicians</v>
          </cell>
          <cell r="C436">
            <v>73330</v>
          </cell>
          <cell r="D436">
            <v>1.5</v>
          </cell>
          <cell r="E436">
            <v>40590</v>
          </cell>
          <cell r="F436">
            <v>0.5</v>
          </cell>
          <cell r="G436">
            <v>37600</v>
          </cell>
        </row>
        <row r="437">
          <cell r="A437" t="str">
            <v>25-4031</v>
          </cell>
          <cell r="B437" t="str">
            <v>Library Technicians</v>
          </cell>
          <cell r="C437">
            <v>73330</v>
          </cell>
          <cell r="D437">
            <v>1.5</v>
          </cell>
          <cell r="E437">
            <v>40590</v>
          </cell>
          <cell r="F437">
            <v>0.5</v>
          </cell>
          <cell r="G437">
            <v>37600</v>
          </cell>
        </row>
        <row r="438">
          <cell r="A438" t="str">
            <v>25-9000</v>
          </cell>
          <cell r="B438" t="str">
            <v>Other Educational Instruction and Library Occupations</v>
          </cell>
          <cell r="C438">
            <v>1725460</v>
          </cell>
          <cell r="D438">
            <v>0.4</v>
          </cell>
          <cell r="E438">
            <v>40410</v>
          </cell>
          <cell r="F438">
            <v>0.5</v>
          </cell>
          <cell r="G438">
            <v>35520</v>
          </cell>
        </row>
        <row r="439">
          <cell r="A439" t="str">
            <v>25-9020</v>
          </cell>
          <cell r="B439" t="str">
            <v>Farm and Home Management Educators</v>
          </cell>
          <cell r="C439">
            <v>8220</v>
          </cell>
          <cell r="D439">
            <v>2.7</v>
          </cell>
          <cell r="E439">
            <v>58450</v>
          </cell>
          <cell r="F439">
            <v>2.1</v>
          </cell>
          <cell r="G439">
            <v>53450</v>
          </cell>
        </row>
        <row r="440">
          <cell r="A440" t="str">
            <v>25-9021</v>
          </cell>
          <cell r="B440" t="str">
            <v>Farm and Home Management Educators</v>
          </cell>
          <cell r="C440">
            <v>8220</v>
          </cell>
          <cell r="D440">
            <v>2.7</v>
          </cell>
          <cell r="E440">
            <v>58450</v>
          </cell>
          <cell r="F440">
            <v>2.1</v>
          </cell>
          <cell r="G440">
            <v>53450</v>
          </cell>
        </row>
        <row r="441">
          <cell r="A441" t="str">
            <v>25-9030</v>
          </cell>
          <cell r="B441" t="str">
            <v>Instructional Coordinators</v>
          </cell>
          <cell r="C441">
            <v>198660</v>
          </cell>
          <cell r="D441">
            <v>0.8</v>
          </cell>
          <cell r="E441">
            <v>73080</v>
          </cell>
          <cell r="F441">
            <v>0.7</v>
          </cell>
          <cell r="G441">
            <v>66490</v>
          </cell>
        </row>
        <row r="442">
          <cell r="A442" t="str">
            <v>25-9031</v>
          </cell>
          <cell r="B442" t="str">
            <v>Instructional Coordinators</v>
          </cell>
          <cell r="C442">
            <v>198660</v>
          </cell>
          <cell r="D442">
            <v>0.8</v>
          </cell>
          <cell r="E442">
            <v>73080</v>
          </cell>
          <cell r="F442">
            <v>0.7</v>
          </cell>
          <cell r="G442">
            <v>66490</v>
          </cell>
        </row>
        <row r="443">
          <cell r="A443" t="str">
            <v>25-9040</v>
          </cell>
          <cell r="B443" t="str">
            <v>Teaching Assistants</v>
          </cell>
          <cell r="C443">
            <v>1389400</v>
          </cell>
          <cell r="D443">
            <v>0.5</v>
          </cell>
          <cell r="E443">
            <v>34530</v>
          </cell>
          <cell r="F443">
            <v>0.5</v>
          </cell>
          <cell r="G443">
            <v>31320</v>
          </cell>
        </row>
        <row r="444">
          <cell r="A444" t="str">
            <v>25-9044</v>
          </cell>
          <cell r="B444" t="str">
            <v>Teaching Assistants, Postsecondary</v>
          </cell>
          <cell r="C444">
            <v>135160</v>
          </cell>
          <cell r="D444">
            <v>0.4</v>
          </cell>
          <cell r="E444">
            <v>41900</v>
          </cell>
          <cell r="F444">
            <v>0.5</v>
          </cell>
          <cell r="G444">
            <v>38050</v>
          </cell>
        </row>
        <row r="445">
          <cell r="A445" t="str">
            <v>25-9045</v>
          </cell>
          <cell r="B445" t="str">
            <v>Teaching Assistants, Except Postsecondary</v>
          </cell>
          <cell r="C445">
            <v>1254240</v>
          </cell>
          <cell r="D445">
            <v>0.5</v>
          </cell>
          <cell r="E445">
            <v>33740</v>
          </cell>
          <cell r="F445">
            <v>0.5</v>
          </cell>
          <cell r="G445">
            <v>30920</v>
          </cell>
        </row>
        <row r="446">
          <cell r="A446" t="str">
            <v>25-9090</v>
          </cell>
          <cell r="B446" t="str">
            <v>Miscellaneous Educational Instruction and Library Workers</v>
          </cell>
          <cell r="C446">
            <v>129170</v>
          </cell>
          <cell r="D446">
            <v>1.1000000000000001</v>
          </cell>
          <cell r="E446">
            <v>52250</v>
          </cell>
          <cell r="F446">
            <v>0.9</v>
          </cell>
          <cell r="G446">
            <v>47650</v>
          </cell>
        </row>
        <row r="447">
          <cell r="A447" t="str">
            <v>25-9099</v>
          </cell>
          <cell r="B447" t="str">
            <v>Educational Instruction and Library Workers, All Other</v>
          </cell>
          <cell r="C447">
            <v>129170</v>
          </cell>
          <cell r="D447">
            <v>1.1000000000000001</v>
          </cell>
          <cell r="E447">
            <v>52250</v>
          </cell>
          <cell r="F447">
            <v>0.9</v>
          </cell>
          <cell r="G447">
            <v>47650</v>
          </cell>
        </row>
        <row r="448">
          <cell r="A448" t="str">
            <v>27-0000</v>
          </cell>
          <cell r="B448" t="str">
            <v>Arts, Design, Entertainment, Sports, and Media Occupations</v>
          </cell>
          <cell r="C448">
            <v>2063380</v>
          </cell>
          <cell r="D448">
            <v>0.5</v>
          </cell>
          <cell r="E448">
            <v>76500</v>
          </cell>
          <cell r="F448">
            <v>1</v>
          </cell>
          <cell r="G448">
            <v>58030</v>
          </cell>
        </row>
        <row r="449">
          <cell r="A449" t="str">
            <v>27-1000</v>
          </cell>
          <cell r="B449" t="str">
            <v>Art and Design Workers</v>
          </cell>
          <cell r="C449">
            <v>678620</v>
          </cell>
          <cell r="D449">
            <v>0.7</v>
          </cell>
          <cell r="E449">
            <v>65180</v>
          </cell>
          <cell r="F449">
            <v>1.5</v>
          </cell>
          <cell r="G449">
            <v>51150</v>
          </cell>
        </row>
        <row r="450">
          <cell r="A450" t="str">
            <v>27-1010</v>
          </cell>
          <cell r="B450" t="str">
            <v>Artists and Related Workers</v>
          </cell>
          <cell r="C450">
            <v>114810</v>
          </cell>
          <cell r="D450">
            <v>3.1</v>
          </cell>
          <cell r="E450">
            <v>108050</v>
          </cell>
          <cell r="F450">
            <v>1.4</v>
          </cell>
          <cell r="G450">
            <v>95220</v>
          </cell>
        </row>
        <row r="451">
          <cell r="A451" t="str">
            <v>27-1011</v>
          </cell>
          <cell r="B451" t="str">
            <v>Art Directors</v>
          </cell>
          <cell r="C451">
            <v>54470</v>
          </cell>
          <cell r="D451">
            <v>3.3</v>
          </cell>
          <cell r="E451">
            <v>124310</v>
          </cell>
          <cell r="F451">
            <v>1.1000000000000001</v>
          </cell>
          <cell r="G451">
            <v>105180</v>
          </cell>
        </row>
        <row r="452">
          <cell r="A452" t="str">
            <v>27-1012</v>
          </cell>
          <cell r="B452" t="str">
            <v>Craft Artists</v>
          </cell>
          <cell r="C452">
            <v>4760</v>
          </cell>
          <cell r="D452">
            <v>5.8</v>
          </cell>
          <cell r="E452">
            <v>49180</v>
          </cell>
          <cell r="F452">
            <v>2.2999999999999998</v>
          </cell>
          <cell r="G452">
            <v>38150</v>
          </cell>
        </row>
        <row r="453">
          <cell r="A453" t="str">
            <v>27-1013</v>
          </cell>
          <cell r="B453" t="str">
            <v>Fine Artists, Including Painters, Sculptors, and Illustrators</v>
          </cell>
          <cell r="C453">
            <v>12080</v>
          </cell>
          <cell r="D453">
            <v>13.4</v>
          </cell>
          <cell r="E453">
            <v>69870</v>
          </cell>
          <cell r="F453">
            <v>7.4</v>
          </cell>
          <cell r="G453">
            <v>57560</v>
          </cell>
        </row>
        <row r="454">
          <cell r="A454" t="str">
            <v>27-1014</v>
          </cell>
          <cell r="B454" t="str">
            <v>Special Effects Artists and Animators</v>
          </cell>
          <cell r="C454">
            <v>35990</v>
          </cell>
          <cell r="D454">
            <v>9.5</v>
          </cell>
          <cell r="E454">
            <v>111130</v>
          </cell>
          <cell r="F454">
            <v>2.2000000000000002</v>
          </cell>
          <cell r="G454">
            <v>98950</v>
          </cell>
        </row>
        <row r="455">
          <cell r="A455" t="str">
            <v>27-1019</v>
          </cell>
          <cell r="B455" t="str">
            <v>Artists and Related Workers, All Other</v>
          </cell>
          <cell r="C455">
            <v>7510</v>
          </cell>
          <cell r="D455">
            <v>6.6</v>
          </cell>
          <cell r="E455">
            <v>74130</v>
          </cell>
          <cell r="F455">
            <v>2.6</v>
          </cell>
          <cell r="G455">
            <v>69760</v>
          </cell>
        </row>
        <row r="456">
          <cell r="A456" t="str">
            <v>27-1020</v>
          </cell>
          <cell r="B456" t="str">
            <v>Designers</v>
          </cell>
          <cell r="C456">
            <v>563810</v>
          </cell>
          <cell r="D456">
            <v>1.1000000000000001</v>
          </cell>
          <cell r="E456">
            <v>56450</v>
          </cell>
          <cell r="F456">
            <v>1.1000000000000001</v>
          </cell>
          <cell r="G456">
            <v>46990</v>
          </cell>
        </row>
        <row r="457">
          <cell r="A457" t="str">
            <v>27-1021</v>
          </cell>
          <cell r="B457" t="str">
            <v>Commercial and Industrial Designers</v>
          </cell>
          <cell r="C457">
            <v>30450</v>
          </cell>
          <cell r="D457">
            <v>2.4</v>
          </cell>
          <cell r="E457">
            <v>81740</v>
          </cell>
          <cell r="F457">
            <v>1.5</v>
          </cell>
          <cell r="G457">
            <v>75910</v>
          </cell>
        </row>
        <row r="458">
          <cell r="A458" t="str">
            <v>27-1022</v>
          </cell>
          <cell r="B458" t="str">
            <v>Fashion Designers</v>
          </cell>
          <cell r="C458">
            <v>20560</v>
          </cell>
          <cell r="D458">
            <v>4.5</v>
          </cell>
          <cell r="E458">
            <v>85760</v>
          </cell>
          <cell r="F458">
            <v>2.2999999999999998</v>
          </cell>
          <cell r="G458">
            <v>76700</v>
          </cell>
        </row>
        <row r="459">
          <cell r="A459" t="str">
            <v>27-1023</v>
          </cell>
          <cell r="B459" t="str">
            <v>Floral Designers</v>
          </cell>
          <cell r="C459">
            <v>42840</v>
          </cell>
          <cell r="D459">
            <v>2.2999999999999998</v>
          </cell>
          <cell r="E459">
            <v>34310</v>
          </cell>
          <cell r="F459">
            <v>0.7</v>
          </cell>
          <cell r="G459">
            <v>33160</v>
          </cell>
        </row>
        <row r="460">
          <cell r="A460" t="str">
            <v>27-1024</v>
          </cell>
          <cell r="B460" t="str">
            <v>Graphic Designers</v>
          </cell>
          <cell r="C460">
            <v>211890</v>
          </cell>
          <cell r="D460">
            <v>0.8</v>
          </cell>
          <cell r="E460">
            <v>64500</v>
          </cell>
          <cell r="F460">
            <v>1.2</v>
          </cell>
          <cell r="G460">
            <v>57990</v>
          </cell>
        </row>
        <row r="461">
          <cell r="A461" t="str">
            <v>27-1025</v>
          </cell>
          <cell r="B461" t="str">
            <v>Interior Designers</v>
          </cell>
          <cell r="C461">
            <v>64290</v>
          </cell>
          <cell r="D461">
            <v>1.7</v>
          </cell>
          <cell r="E461">
            <v>67460</v>
          </cell>
          <cell r="F461">
            <v>0.9</v>
          </cell>
          <cell r="G461">
            <v>61590</v>
          </cell>
        </row>
        <row r="462">
          <cell r="A462" t="str">
            <v>27-1026</v>
          </cell>
          <cell r="B462" t="str">
            <v>Merchandise Displayers and Window Trimmers</v>
          </cell>
          <cell r="C462">
            <v>173110</v>
          </cell>
          <cell r="D462">
            <v>2</v>
          </cell>
          <cell r="E462">
            <v>38120</v>
          </cell>
          <cell r="F462">
            <v>0.9</v>
          </cell>
          <cell r="G462">
            <v>35380</v>
          </cell>
        </row>
        <row r="463">
          <cell r="A463" t="str">
            <v>27-1027</v>
          </cell>
          <cell r="B463" t="str">
            <v>Set and Exhibit Designers</v>
          </cell>
          <cell r="C463">
            <v>9490</v>
          </cell>
          <cell r="D463">
            <v>3.8</v>
          </cell>
          <cell r="E463">
            <v>68490</v>
          </cell>
          <cell r="F463">
            <v>2.6</v>
          </cell>
          <cell r="G463">
            <v>59990</v>
          </cell>
        </row>
        <row r="464">
          <cell r="A464" t="str">
            <v>27-1029</v>
          </cell>
          <cell r="B464" t="str">
            <v>Designers, All Other</v>
          </cell>
          <cell r="C464">
            <v>11180</v>
          </cell>
          <cell r="D464">
            <v>7</v>
          </cell>
          <cell r="E464">
            <v>76430</v>
          </cell>
          <cell r="F464">
            <v>4.2</v>
          </cell>
          <cell r="G464">
            <v>65390</v>
          </cell>
        </row>
        <row r="465">
          <cell r="A465" t="str">
            <v>27-2000</v>
          </cell>
          <cell r="B465" t="str">
            <v>Entertainers and Performers, Sports and Related Workers</v>
          </cell>
          <cell r="C465">
            <v>526600</v>
          </cell>
          <cell r="D465">
            <v>1.9</v>
          </cell>
          <cell r="E465">
            <v>85030</v>
          </cell>
          <cell r="F465">
            <v>1.8</v>
          </cell>
          <cell r="G465">
            <v>52940</v>
          </cell>
        </row>
        <row r="466">
          <cell r="A466" t="str">
            <v>27-2010</v>
          </cell>
          <cell r="B466" t="str">
            <v>Actors, Producers, and Directors</v>
          </cell>
          <cell r="C466">
            <v>207920</v>
          </cell>
          <cell r="D466">
            <v>4</v>
          </cell>
          <cell r="E466">
            <v>101370</v>
          </cell>
          <cell r="F466">
            <v>1.6</v>
          </cell>
          <cell r="G466">
            <v>75440</v>
          </cell>
        </row>
        <row r="467">
          <cell r="A467" t="str">
            <v>27-2011</v>
          </cell>
          <cell r="B467" t="str">
            <v>Actors</v>
          </cell>
          <cell r="C467">
            <v>54160</v>
          </cell>
          <cell r="D467">
            <v>7.2</v>
          </cell>
          <cell r="E467" t="str">
            <v>*</v>
          </cell>
          <cell r="F467">
            <v>4</v>
          </cell>
          <cell r="G467" t="str">
            <v>*</v>
          </cell>
        </row>
        <row r="468">
          <cell r="A468" t="str">
            <v>27-2012</v>
          </cell>
          <cell r="B468" t="str">
            <v>Producers and Directors</v>
          </cell>
          <cell r="C468">
            <v>153770</v>
          </cell>
          <cell r="D468">
            <v>3.2</v>
          </cell>
          <cell r="E468">
            <v>110660</v>
          </cell>
          <cell r="F468">
            <v>1.6</v>
          </cell>
          <cell r="G468">
            <v>85320</v>
          </cell>
        </row>
        <row r="469">
          <cell r="A469" t="str">
            <v>27-2020</v>
          </cell>
          <cell r="B469" t="str">
            <v>Athletes, Coaches, Umpires, and Related Workers</v>
          </cell>
          <cell r="C469">
            <v>243620</v>
          </cell>
          <cell r="D469">
            <v>1.3</v>
          </cell>
          <cell r="E469">
            <v>71730</v>
          </cell>
          <cell r="F469">
            <v>4.0999999999999996</v>
          </cell>
          <cell r="G469">
            <v>45080</v>
          </cell>
        </row>
        <row r="470">
          <cell r="A470" t="str">
            <v>27-2021</v>
          </cell>
          <cell r="B470" t="str">
            <v>Athletes and Sports Competitors</v>
          </cell>
          <cell r="C470">
            <v>11930</v>
          </cell>
          <cell r="D470">
            <v>8.6999999999999993</v>
          </cell>
          <cell r="E470">
            <v>358080</v>
          </cell>
          <cell r="F470">
            <v>11.4</v>
          </cell>
          <cell r="G470">
            <v>94270</v>
          </cell>
        </row>
        <row r="471">
          <cell r="A471" t="str">
            <v>27-2022</v>
          </cell>
          <cell r="B471" t="str">
            <v>Coaches and Scouts</v>
          </cell>
          <cell r="C471">
            <v>218970</v>
          </cell>
          <cell r="D471">
            <v>1.5</v>
          </cell>
          <cell r="E471">
            <v>57450</v>
          </cell>
          <cell r="F471">
            <v>1.7</v>
          </cell>
          <cell r="G471">
            <v>44890</v>
          </cell>
        </row>
        <row r="472">
          <cell r="A472" t="str">
            <v>27-2023</v>
          </cell>
          <cell r="B472" t="str">
            <v>Umpires, Referees, and Other Sports Officials</v>
          </cell>
          <cell r="C472">
            <v>12720</v>
          </cell>
          <cell r="D472">
            <v>4.5</v>
          </cell>
          <cell r="E472">
            <v>49030</v>
          </cell>
          <cell r="F472">
            <v>11.1</v>
          </cell>
          <cell r="G472">
            <v>36010</v>
          </cell>
        </row>
        <row r="473">
          <cell r="A473" t="str">
            <v>27-2030</v>
          </cell>
          <cell r="B473" t="str">
            <v>Dancers and Choreographers</v>
          </cell>
          <cell r="C473">
            <v>14340</v>
          </cell>
          <cell r="D473">
            <v>10.4</v>
          </cell>
          <cell r="E473">
            <v>54050</v>
          </cell>
          <cell r="F473">
            <v>2.7</v>
          </cell>
          <cell r="G473">
            <v>47050</v>
          </cell>
        </row>
        <row r="474">
          <cell r="A474" t="str">
            <v>27-2031</v>
          </cell>
          <cell r="B474" t="str">
            <v>Dancers</v>
          </cell>
          <cell r="C474">
            <v>8930</v>
          </cell>
          <cell r="D474">
            <v>13.7</v>
          </cell>
          <cell r="E474" t="str">
            <v>*</v>
          </cell>
          <cell r="F474">
            <v>3.9</v>
          </cell>
          <cell r="G474" t="str">
            <v>*</v>
          </cell>
        </row>
        <row r="475">
          <cell r="A475" t="str">
            <v>27-2032</v>
          </cell>
          <cell r="B475" t="str">
            <v>Choreographers</v>
          </cell>
          <cell r="C475">
            <v>5400</v>
          </cell>
          <cell r="D475">
            <v>9.3000000000000007</v>
          </cell>
          <cell r="E475">
            <v>58740</v>
          </cell>
          <cell r="F475">
            <v>3.5</v>
          </cell>
          <cell r="G475">
            <v>50990</v>
          </cell>
        </row>
        <row r="476">
          <cell r="A476" t="str">
            <v>27-2040</v>
          </cell>
          <cell r="B476" t="str">
            <v>Musicians, Singers, and Related Workers</v>
          </cell>
          <cell r="C476">
            <v>43440</v>
          </cell>
          <cell r="D476">
            <v>2.5</v>
          </cell>
          <cell r="E476" t="str">
            <v>*</v>
          </cell>
          <cell r="F476">
            <v>2.9</v>
          </cell>
          <cell r="G476" t="str">
            <v>*</v>
          </cell>
        </row>
        <row r="477">
          <cell r="A477" t="str">
            <v>27-2041</v>
          </cell>
          <cell r="B477" t="str">
            <v>Music Directors and Composers</v>
          </cell>
          <cell r="C477">
            <v>11690</v>
          </cell>
          <cell r="D477">
            <v>4.8</v>
          </cell>
          <cell r="E477">
            <v>95430</v>
          </cell>
          <cell r="F477">
            <v>9.1999999999999993</v>
          </cell>
          <cell r="G477">
            <v>62940</v>
          </cell>
        </row>
        <row r="478">
          <cell r="A478" t="str">
            <v>27-2042</v>
          </cell>
          <cell r="B478" t="str">
            <v>Musicians and Singers</v>
          </cell>
          <cell r="C478">
            <v>31750</v>
          </cell>
          <cell r="D478">
            <v>2.7</v>
          </cell>
          <cell r="E478" t="str">
            <v>*</v>
          </cell>
          <cell r="F478">
            <v>2.5</v>
          </cell>
          <cell r="G478" t="str">
            <v>*</v>
          </cell>
        </row>
        <row r="479">
          <cell r="A479" t="str">
            <v>27-2090</v>
          </cell>
          <cell r="B479" t="str">
            <v>Miscellaneous Entertainers and Performers, Sports and Related Workers</v>
          </cell>
          <cell r="C479">
            <v>17280</v>
          </cell>
          <cell r="D479">
            <v>6.6</v>
          </cell>
          <cell r="E479" t="str">
            <v>*</v>
          </cell>
          <cell r="F479">
            <v>6.7</v>
          </cell>
          <cell r="G479" t="str">
            <v>*</v>
          </cell>
        </row>
        <row r="480">
          <cell r="A480" t="str">
            <v>27-2091</v>
          </cell>
          <cell r="B480" t="str">
            <v>Disc Jockeys, Except Radio</v>
          </cell>
          <cell r="C480">
            <v>5640</v>
          </cell>
          <cell r="D480">
            <v>6.5</v>
          </cell>
          <cell r="E480" t="str">
            <v>*</v>
          </cell>
          <cell r="F480">
            <v>4.2</v>
          </cell>
          <cell r="G480" t="str">
            <v>*</v>
          </cell>
        </row>
        <row r="481">
          <cell r="A481" t="str">
            <v>27-2099</v>
          </cell>
          <cell r="B481" t="str">
            <v>Entertainers and Performers, Sports and Related Workers, All Other</v>
          </cell>
          <cell r="C481">
            <v>11640</v>
          </cell>
          <cell r="D481">
            <v>9.1999999999999993</v>
          </cell>
          <cell r="E481" t="str">
            <v>*</v>
          </cell>
          <cell r="F481">
            <v>9.4</v>
          </cell>
          <cell r="G481" t="str">
            <v>*</v>
          </cell>
        </row>
        <row r="482">
          <cell r="A482" t="str">
            <v>27-3000</v>
          </cell>
          <cell r="B482" t="str">
            <v>Media and Communication Workers</v>
          </cell>
          <cell r="C482">
            <v>630340</v>
          </cell>
          <cell r="D482">
            <v>0.7</v>
          </cell>
          <cell r="E482">
            <v>84890</v>
          </cell>
          <cell r="F482">
            <v>1.1000000000000001</v>
          </cell>
          <cell r="G482">
            <v>66240</v>
          </cell>
        </row>
        <row r="483">
          <cell r="A483" t="str">
            <v>27-3010</v>
          </cell>
          <cell r="B483" t="str">
            <v>Broadcast Announcers and Radio Disc Jockeys</v>
          </cell>
          <cell r="C483">
            <v>26820</v>
          </cell>
          <cell r="D483">
            <v>6.4</v>
          </cell>
          <cell r="E483">
            <v>155730</v>
          </cell>
          <cell r="F483">
            <v>7.3</v>
          </cell>
          <cell r="G483">
            <v>41750</v>
          </cell>
        </row>
        <row r="484">
          <cell r="A484" t="str">
            <v>27-3011</v>
          </cell>
          <cell r="B484" t="str">
            <v>Broadcast Announcers and Radio Disc Jockeys</v>
          </cell>
          <cell r="C484">
            <v>26820</v>
          </cell>
          <cell r="D484">
            <v>6.4</v>
          </cell>
          <cell r="E484">
            <v>155730</v>
          </cell>
          <cell r="F484">
            <v>7.3</v>
          </cell>
          <cell r="G484">
            <v>41750</v>
          </cell>
        </row>
        <row r="485">
          <cell r="A485" t="str">
            <v>27-3020</v>
          </cell>
          <cell r="B485" t="str">
            <v>News Analysts, Reporters and Journalists</v>
          </cell>
          <cell r="C485">
            <v>44530</v>
          </cell>
          <cell r="D485">
            <v>3.2</v>
          </cell>
          <cell r="E485">
            <v>86290</v>
          </cell>
          <cell r="F485">
            <v>5.7</v>
          </cell>
          <cell r="G485">
            <v>55960</v>
          </cell>
        </row>
        <row r="486">
          <cell r="A486" t="str">
            <v>27-3023</v>
          </cell>
          <cell r="B486" t="str">
            <v>News Analysts, Reporters, and Journalists</v>
          </cell>
          <cell r="C486">
            <v>44530</v>
          </cell>
          <cell r="D486">
            <v>3.2</v>
          </cell>
          <cell r="E486">
            <v>86290</v>
          </cell>
          <cell r="F486">
            <v>5.7</v>
          </cell>
          <cell r="G486">
            <v>55960</v>
          </cell>
        </row>
        <row r="487">
          <cell r="A487" t="str">
            <v>27-3030</v>
          </cell>
          <cell r="B487" t="str">
            <v>Public Relations Specialists</v>
          </cell>
          <cell r="C487">
            <v>264750</v>
          </cell>
          <cell r="D487">
            <v>1.5</v>
          </cell>
          <cell r="E487">
            <v>78540</v>
          </cell>
          <cell r="F487">
            <v>1.2</v>
          </cell>
          <cell r="G487">
            <v>67440</v>
          </cell>
        </row>
        <row r="488">
          <cell r="A488" t="str">
            <v>27-3031</v>
          </cell>
          <cell r="B488" t="str">
            <v>Public Relations Specialists</v>
          </cell>
          <cell r="C488">
            <v>264750</v>
          </cell>
          <cell r="D488">
            <v>1.5</v>
          </cell>
          <cell r="E488">
            <v>78540</v>
          </cell>
          <cell r="F488">
            <v>1.2</v>
          </cell>
          <cell r="G488">
            <v>67440</v>
          </cell>
        </row>
        <row r="489">
          <cell r="A489" t="str">
            <v>27-3040</v>
          </cell>
          <cell r="B489" t="str">
            <v>Writers and Editors</v>
          </cell>
          <cell r="C489">
            <v>204060</v>
          </cell>
          <cell r="D489">
            <v>1.7</v>
          </cell>
          <cell r="E489">
            <v>87070</v>
          </cell>
          <cell r="F489">
            <v>1.1000000000000001</v>
          </cell>
          <cell r="G489">
            <v>75080</v>
          </cell>
        </row>
        <row r="490">
          <cell r="A490" t="str">
            <v>27-3041</v>
          </cell>
          <cell r="B490" t="str">
            <v>Editors</v>
          </cell>
          <cell r="C490">
            <v>101430</v>
          </cell>
          <cell r="D490">
            <v>1.4</v>
          </cell>
          <cell r="E490">
            <v>84820</v>
          </cell>
          <cell r="F490">
            <v>1.3</v>
          </cell>
          <cell r="G490">
            <v>73080</v>
          </cell>
        </row>
        <row r="491">
          <cell r="A491" t="str">
            <v>27-3042</v>
          </cell>
          <cell r="B491" t="str">
            <v>Technical Writers</v>
          </cell>
          <cell r="C491">
            <v>48620</v>
          </cell>
          <cell r="D491">
            <v>2</v>
          </cell>
          <cell r="E491">
            <v>86760</v>
          </cell>
          <cell r="F491">
            <v>1.3</v>
          </cell>
          <cell r="G491">
            <v>79960</v>
          </cell>
        </row>
        <row r="492">
          <cell r="A492" t="str">
            <v>27-3043</v>
          </cell>
          <cell r="B492" t="str">
            <v>Writers and Authors</v>
          </cell>
          <cell r="C492">
            <v>54010</v>
          </cell>
          <cell r="D492">
            <v>5</v>
          </cell>
          <cell r="E492">
            <v>91560</v>
          </cell>
          <cell r="F492">
            <v>2.9</v>
          </cell>
          <cell r="G492">
            <v>73150</v>
          </cell>
        </row>
        <row r="493">
          <cell r="A493" t="str">
            <v>27-3090</v>
          </cell>
          <cell r="B493" t="str">
            <v>Miscellaneous Media and Communication Workers</v>
          </cell>
          <cell r="C493">
            <v>90190</v>
          </cell>
          <cell r="D493">
            <v>1.8</v>
          </cell>
          <cell r="E493">
            <v>76830</v>
          </cell>
          <cell r="F493">
            <v>1.5</v>
          </cell>
          <cell r="G493">
            <v>58180</v>
          </cell>
        </row>
        <row r="494">
          <cell r="A494" t="str">
            <v>27-3091</v>
          </cell>
          <cell r="B494" t="str">
            <v>Interpreters and Translators</v>
          </cell>
          <cell r="C494">
            <v>52160</v>
          </cell>
          <cell r="D494">
            <v>3.1</v>
          </cell>
          <cell r="E494">
            <v>61730</v>
          </cell>
          <cell r="F494">
            <v>1.6</v>
          </cell>
          <cell r="G494">
            <v>53640</v>
          </cell>
        </row>
        <row r="495">
          <cell r="A495" t="str">
            <v>27-3092</v>
          </cell>
          <cell r="B495" t="str">
            <v>Court Reporters and Simultaneous Captioners</v>
          </cell>
          <cell r="C495">
            <v>14240</v>
          </cell>
          <cell r="D495">
            <v>2.5</v>
          </cell>
          <cell r="E495">
            <v>70290</v>
          </cell>
          <cell r="F495">
            <v>1.3</v>
          </cell>
          <cell r="G495">
            <v>63560</v>
          </cell>
        </row>
        <row r="496">
          <cell r="A496" t="str">
            <v>27-3099</v>
          </cell>
          <cell r="B496" t="str">
            <v>Media and Communication Workers, All Other</v>
          </cell>
          <cell r="C496">
            <v>23780</v>
          </cell>
          <cell r="D496">
            <v>3.5</v>
          </cell>
          <cell r="E496">
            <v>113840</v>
          </cell>
          <cell r="F496">
            <v>3.1</v>
          </cell>
          <cell r="G496">
            <v>65000</v>
          </cell>
        </row>
        <row r="497">
          <cell r="A497" t="str">
            <v>27-4000</v>
          </cell>
          <cell r="B497" t="str">
            <v>Media and Communication Equipment Workers</v>
          </cell>
          <cell r="C497">
            <v>227810</v>
          </cell>
          <cell r="D497">
            <v>2.4</v>
          </cell>
          <cell r="E497">
            <v>67310</v>
          </cell>
          <cell r="F497">
            <v>1</v>
          </cell>
          <cell r="G497">
            <v>52840</v>
          </cell>
        </row>
        <row r="498">
          <cell r="A498" t="str">
            <v>27-4010</v>
          </cell>
          <cell r="B498" t="str">
            <v>Broadcast, Sound, and Lighting Technicians</v>
          </cell>
          <cell r="C498">
            <v>111090</v>
          </cell>
          <cell r="D498">
            <v>1.9</v>
          </cell>
          <cell r="E498">
            <v>69190</v>
          </cell>
          <cell r="F498">
            <v>1.5</v>
          </cell>
          <cell r="G498">
            <v>53960</v>
          </cell>
        </row>
        <row r="499">
          <cell r="A499" t="str">
            <v>27-4011</v>
          </cell>
          <cell r="B499" t="str">
            <v>Audio and Video Technicians</v>
          </cell>
          <cell r="C499">
            <v>56110</v>
          </cell>
          <cell r="D499">
            <v>2.6</v>
          </cell>
          <cell r="E499">
            <v>57710</v>
          </cell>
          <cell r="F499">
            <v>1.2</v>
          </cell>
          <cell r="G499">
            <v>50660</v>
          </cell>
        </row>
        <row r="500">
          <cell r="A500" t="str">
            <v>27-4012</v>
          </cell>
          <cell r="B500" t="str">
            <v>Broadcast Technicians</v>
          </cell>
          <cell r="C500">
            <v>33020</v>
          </cell>
          <cell r="D500">
            <v>3.4</v>
          </cell>
          <cell r="E500">
            <v>84860</v>
          </cell>
          <cell r="F500">
            <v>3.5</v>
          </cell>
          <cell r="G500">
            <v>60700</v>
          </cell>
        </row>
        <row r="501">
          <cell r="A501" t="str">
            <v>27-4014</v>
          </cell>
          <cell r="B501" t="str">
            <v>Sound Engineering Technicians</v>
          </cell>
          <cell r="C501">
            <v>13420</v>
          </cell>
          <cell r="D501">
            <v>5.0999999999999996</v>
          </cell>
          <cell r="E501">
            <v>75590</v>
          </cell>
          <cell r="F501">
            <v>2.2999999999999998</v>
          </cell>
          <cell r="G501">
            <v>60670</v>
          </cell>
        </row>
        <row r="502">
          <cell r="A502" t="str">
            <v>27-4015</v>
          </cell>
          <cell r="B502" t="str">
            <v>Lighting Technicians</v>
          </cell>
          <cell r="C502">
            <v>8540</v>
          </cell>
          <cell r="D502">
            <v>5.3</v>
          </cell>
          <cell r="E502">
            <v>74020</v>
          </cell>
          <cell r="F502">
            <v>2.4</v>
          </cell>
          <cell r="G502">
            <v>61650</v>
          </cell>
        </row>
        <row r="503">
          <cell r="A503" t="str">
            <v>27-4020</v>
          </cell>
          <cell r="B503" t="str">
            <v>Photographers</v>
          </cell>
          <cell r="C503">
            <v>47380</v>
          </cell>
          <cell r="D503">
            <v>1.8</v>
          </cell>
          <cell r="E503">
            <v>50210</v>
          </cell>
          <cell r="F503">
            <v>1.2</v>
          </cell>
          <cell r="G503">
            <v>40170</v>
          </cell>
        </row>
        <row r="504">
          <cell r="A504" t="str">
            <v>27-4021</v>
          </cell>
          <cell r="B504" t="str">
            <v>Photographers</v>
          </cell>
          <cell r="C504">
            <v>47380</v>
          </cell>
          <cell r="D504">
            <v>1.8</v>
          </cell>
          <cell r="E504">
            <v>50210</v>
          </cell>
          <cell r="F504">
            <v>1.2</v>
          </cell>
          <cell r="G504">
            <v>40170</v>
          </cell>
        </row>
        <row r="505">
          <cell r="A505" t="str">
            <v>27-4030</v>
          </cell>
          <cell r="B505" t="str">
            <v>Television, Video, and Film Camera Operators and Editors</v>
          </cell>
          <cell r="C505">
            <v>55040</v>
          </cell>
          <cell r="D505">
            <v>5.5</v>
          </cell>
          <cell r="E505">
            <v>76380</v>
          </cell>
          <cell r="F505">
            <v>1.9</v>
          </cell>
          <cell r="G505">
            <v>62420</v>
          </cell>
        </row>
        <row r="506">
          <cell r="A506" t="str">
            <v>27-4031</v>
          </cell>
          <cell r="B506" t="str">
            <v>Camera Operators, Television, Video, and Film</v>
          </cell>
          <cell r="C506">
            <v>22970</v>
          </cell>
          <cell r="D506">
            <v>13.6</v>
          </cell>
          <cell r="E506">
            <v>69940</v>
          </cell>
          <cell r="F506">
            <v>5.4</v>
          </cell>
          <cell r="G506">
            <v>58230</v>
          </cell>
        </row>
        <row r="507">
          <cell r="A507" t="str">
            <v>27-4032</v>
          </cell>
          <cell r="B507" t="str">
            <v>Film and Video Editors</v>
          </cell>
          <cell r="C507">
            <v>32080</v>
          </cell>
          <cell r="D507">
            <v>3.5</v>
          </cell>
          <cell r="E507">
            <v>80990</v>
          </cell>
          <cell r="F507">
            <v>3.1</v>
          </cell>
          <cell r="G507">
            <v>63520</v>
          </cell>
        </row>
        <row r="508">
          <cell r="A508" t="str">
            <v>27-4090</v>
          </cell>
          <cell r="B508" t="str">
            <v>Miscellaneous Media and Communication Equipment Workers</v>
          </cell>
          <cell r="C508">
            <v>14300</v>
          </cell>
          <cell r="D508">
            <v>5</v>
          </cell>
          <cell r="E508">
            <v>74490</v>
          </cell>
          <cell r="F508">
            <v>1.5</v>
          </cell>
          <cell r="G508">
            <v>69490</v>
          </cell>
        </row>
        <row r="509">
          <cell r="A509" t="str">
            <v>27-4099</v>
          </cell>
          <cell r="B509" t="str">
            <v>Media and Communication Equipment Workers, All Other</v>
          </cell>
          <cell r="C509">
            <v>14300</v>
          </cell>
          <cell r="D509">
            <v>5</v>
          </cell>
          <cell r="E509">
            <v>74490</v>
          </cell>
          <cell r="F509">
            <v>1.5</v>
          </cell>
          <cell r="G509">
            <v>69490</v>
          </cell>
        </row>
        <row r="510">
          <cell r="A510" t="str">
            <v>29-0000</v>
          </cell>
          <cell r="B510" t="str">
            <v>Healthcare Practitioners and Technical Occupations</v>
          </cell>
          <cell r="C510">
            <v>9043070</v>
          </cell>
          <cell r="D510">
            <v>0.2</v>
          </cell>
          <cell r="E510">
            <v>96770</v>
          </cell>
          <cell r="F510">
            <v>0.3</v>
          </cell>
          <cell r="G510">
            <v>77760</v>
          </cell>
        </row>
        <row r="511">
          <cell r="A511" t="str">
            <v>29-1000</v>
          </cell>
          <cell r="B511" t="str">
            <v>Healthcare Diagnosing or Treating Practitioners</v>
          </cell>
          <cell r="C511">
            <v>5965270</v>
          </cell>
          <cell r="D511">
            <v>0.2</v>
          </cell>
          <cell r="E511">
            <v>118990</v>
          </cell>
          <cell r="F511">
            <v>0.3</v>
          </cell>
          <cell r="G511">
            <v>93710</v>
          </cell>
        </row>
        <row r="512">
          <cell r="A512" t="str">
            <v>29-1010</v>
          </cell>
          <cell r="B512" t="str">
            <v>Chiropractors</v>
          </cell>
          <cell r="C512">
            <v>37740</v>
          </cell>
          <cell r="D512">
            <v>3.3</v>
          </cell>
          <cell r="E512">
            <v>83720</v>
          </cell>
          <cell r="F512">
            <v>1.6</v>
          </cell>
          <cell r="G512">
            <v>75380</v>
          </cell>
        </row>
        <row r="513">
          <cell r="A513" t="str">
            <v>29-1011</v>
          </cell>
          <cell r="B513" t="str">
            <v>Chiropractors</v>
          </cell>
          <cell r="C513">
            <v>37740</v>
          </cell>
          <cell r="D513">
            <v>3.3</v>
          </cell>
          <cell r="E513">
            <v>83720</v>
          </cell>
          <cell r="F513">
            <v>1.6</v>
          </cell>
          <cell r="G513">
            <v>75380</v>
          </cell>
        </row>
        <row r="514">
          <cell r="A514" t="str">
            <v>29-1020</v>
          </cell>
          <cell r="B514" t="str">
            <v>Dentists</v>
          </cell>
          <cell r="C514">
            <v>136970</v>
          </cell>
          <cell r="D514">
            <v>2.5</v>
          </cell>
          <cell r="E514">
            <v>180900</v>
          </cell>
          <cell r="F514">
            <v>1.9</v>
          </cell>
          <cell r="G514">
            <v>159530</v>
          </cell>
        </row>
        <row r="515">
          <cell r="A515" t="str">
            <v>29-1021</v>
          </cell>
          <cell r="B515" t="str">
            <v>Dentists, General</v>
          </cell>
          <cell r="C515">
            <v>120740</v>
          </cell>
          <cell r="D515">
            <v>3.1</v>
          </cell>
          <cell r="E515">
            <v>172290</v>
          </cell>
          <cell r="F515">
            <v>1.7</v>
          </cell>
          <cell r="G515">
            <v>155040</v>
          </cell>
        </row>
        <row r="516">
          <cell r="A516" t="str">
            <v>29-1022</v>
          </cell>
          <cell r="B516" t="str">
            <v>Oral and Maxillofacial Surgeons</v>
          </cell>
          <cell r="C516">
            <v>4290</v>
          </cell>
          <cell r="D516">
            <v>11.9</v>
          </cell>
          <cell r="E516">
            <v>309410</v>
          </cell>
          <cell r="F516">
            <v>5.5</v>
          </cell>
          <cell r="G516" t="str">
            <v>#</v>
          </cell>
        </row>
        <row r="517">
          <cell r="A517" t="str">
            <v>29-1023</v>
          </cell>
          <cell r="B517" t="str">
            <v>Orthodontists</v>
          </cell>
          <cell r="C517">
            <v>6310</v>
          </cell>
          <cell r="D517">
            <v>9.1999999999999993</v>
          </cell>
          <cell r="E517">
            <v>216320</v>
          </cell>
          <cell r="F517">
            <v>8.1</v>
          </cell>
          <cell r="G517">
            <v>174360</v>
          </cell>
        </row>
        <row r="518">
          <cell r="A518" t="str">
            <v>29-1029</v>
          </cell>
          <cell r="B518" t="str">
            <v>Dentists, All Other Specialists</v>
          </cell>
          <cell r="C518">
            <v>5250</v>
          </cell>
          <cell r="D518">
            <v>9.3000000000000007</v>
          </cell>
          <cell r="E518">
            <v>233430</v>
          </cell>
          <cell r="F518">
            <v>7.4</v>
          </cell>
          <cell r="G518">
            <v>212740</v>
          </cell>
        </row>
        <row r="519">
          <cell r="A519" t="str">
            <v>29-1030</v>
          </cell>
          <cell r="B519" t="str">
            <v>Dietitians and Nutritionists</v>
          </cell>
          <cell r="C519">
            <v>69880</v>
          </cell>
          <cell r="D519">
            <v>2.5</v>
          </cell>
          <cell r="E519">
            <v>69350</v>
          </cell>
          <cell r="F519">
            <v>0.6</v>
          </cell>
          <cell r="G519">
            <v>66450</v>
          </cell>
        </row>
        <row r="520">
          <cell r="A520" t="str">
            <v>29-1031</v>
          </cell>
          <cell r="B520" t="str">
            <v>Dietitians and Nutritionists</v>
          </cell>
          <cell r="C520">
            <v>69880</v>
          </cell>
          <cell r="D520">
            <v>2.5</v>
          </cell>
          <cell r="E520">
            <v>69350</v>
          </cell>
          <cell r="F520">
            <v>0.6</v>
          </cell>
          <cell r="G520">
            <v>66450</v>
          </cell>
        </row>
        <row r="521">
          <cell r="A521" t="str">
            <v>29-1040</v>
          </cell>
          <cell r="B521" t="str">
            <v>Optometrists</v>
          </cell>
          <cell r="C521">
            <v>40640</v>
          </cell>
          <cell r="D521">
            <v>3.1</v>
          </cell>
          <cell r="E521">
            <v>133100</v>
          </cell>
          <cell r="F521">
            <v>1.9</v>
          </cell>
          <cell r="G521">
            <v>125590</v>
          </cell>
        </row>
        <row r="522">
          <cell r="A522" t="str">
            <v>29-1041</v>
          </cell>
          <cell r="B522" t="str">
            <v>Optometrists</v>
          </cell>
          <cell r="C522">
            <v>40640</v>
          </cell>
          <cell r="D522">
            <v>3.1</v>
          </cell>
          <cell r="E522">
            <v>133100</v>
          </cell>
          <cell r="F522">
            <v>1.9</v>
          </cell>
          <cell r="G522">
            <v>125590</v>
          </cell>
        </row>
        <row r="523">
          <cell r="A523" t="str">
            <v>29-1050</v>
          </cell>
          <cell r="B523" t="str">
            <v>Pharmacists</v>
          </cell>
          <cell r="C523">
            <v>325480</v>
          </cell>
          <cell r="D523">
            <v>0.8</v>
          </cell>
          <cell r="E523">
            <v>129410</v>
          </cell>
          <cell r="F523">
            <v>0.5</v>
          </cell>
          <cell r="G523">
            <v>132750</v>
          </cell>
        </row>
        <row r="524">
          <cell r="A524" t="str">
            <v>29-1051</v>
          </cell>
          <cell r="B524" t="str">
            <v>Pharmacists</v>
          </cell>
          <cell r="C524">
            <v>325480</v>
          </cell>
          <cell r="D524">
            <v>0.8</v>
          </cell>
          <cell r="E524">
            <v>129410</v>
          </cell>
          <cell r="F524">
            <v>0.5</v>
          </cell>
          <cell r="G524">
            <v>132750</v>
          </cell>
        </row>
        <row r="525">
          <cell r="A525" t="str">
            <v>29-1070</v>
          </cell>
          <cell r="B525" t="str">
            <v>Physician Assistants</v>
          </cell>
          <cell r="C525">
            <v>140910</v>
          </cell>
          <cell r="D525">
            <v>2.1</v>
          </cell>
          <cell r="E525">
            <v>125270</v>
          </cell>
          <cell r="F525">
            <v>0.4</v>
          </cell>
          <cell r="G525">
            <v>126010</v>
          </cell>
        </row>
        <row r="526">
          <cell r="A526" t="str">
            <v>29-1071</v>
          </cell>
          <cell r="B526" t="str">
            <v>Physician Assistants</v>
          </cell>
          <cell r="C526">
            <v>140910</v>
          </cell>
          <cell r="D526">
            <v>2.1</v>
          </cell>
          <cell r="E526">
            <v>125270</v>
          </cell>
          <cell r="F526">
            <v>0.4</v>
          </cell>
          <cell r="G526">
            <v>126010</v>
          </cell>
        </row>
        <row r="527">
          <cell r="A527" t="str">
            <v>29-1080</v>
          </cell>
          <cell r="B527" t="str">
            <v>Podiatrists</v>
          </cell>
          <cell r="C527">
            <v>9320</v>
          </cell>
          <cell r="D527">
            <v>2.8</v>
          </cell>
          <cell r="E527">
            <v>157970</v>
          </cell>
          <cell r="F527">
            <v>1.7</v>
          </cell>
          <cell r="G527">
            <v>148720</v>
          </cell>
        </row>
        <row r="528">
          <cell r="A528" t="str">
            <v>29-1081</v>
          </cell>
          <cell r="B528" t="str">
            <v>Podiatrists</v>
          </cell>
          <cell r="C528">
            <v>9320</v>
          </cell>
          <cell r="D528">
            <v>2.8</v>
          </cell>
          <cell r="E528">
            <v>157970</v>
          </cell>
          <cell r="F528">
            <v>1.7</v>
          </cell>
          <cell r="G528">
            <v>148720</v>
          </cell>
        </row>
        <row r="529">
          <cell r="A529" t="str">
            <v>29-1120</v>
          </cell>
          <cell r="B529" t="str">
            <v>Therapists</v>
          </cell>
          <cell r="C529">
            <v>712330</v>
          </cell>
          <cell r="D529">
            <v>0.8</v>
          </cell>
          <cell r="E529">
            <v>88800</v>
          </cell>
          <cell r="F529">
            <v>0.3</v>
          </cell>
          <cell r="G529">
            <v>83960</v>
          </cell>
        </row>
        <row r="530">
          <cell r="A530" t="str">
            <v>29-1122</v>
          </cell>
          <cell r="B530" t="str">
            <v>Occupational Therapists</v>
          </cell>
          <cell r="C530">
            <v>134980</v>
          </cell>
          <cell r="D530">
            <v>0.9</v>
          </cell>
          <cell r="E530">
            <v>92800</v>
          </cell>
          <cell r="F530">
            <v>0.4</v>
          </cell>
          <cell r="G530">
            <v>93180</v>
          </cell>
        </row>
        <row r="531">
          <cell r="A531" t="str">
            <v>29-1123</v>
          </cell>
          <cell r="B531" t="str">
            <v>Physical Therapists</v>
          </cell>
          <cell r="C531">
            <v>229740</v>
          </cell>
          <cell r="D531">
            <v>1.1000000000000001</v>
          </cell>
          <cell r="E531">
            <v>97960</v>
          </cell>
          <cell r="F531">
            <v>0.6</v>
          </cell>
          <cell r="G531">
            <v>97720</v>
          </cell>
        </row>
        <row r="532">
          <cell r="A532" t="str">
            <v>29-1124</v>
          </cell>
          <cell r="B532" t="str">
            <v>Radiation Therapists</v>
          </cell>
          <cell r="C532">
            <v>15510</v>
          </cell>
          <cell r="D532">
            <v>5.4</v>
          </cell>
          <cell r="E532">
            <v>98340</v>
          </cell>
          <cell r="F532">
            <v>0.9</v>
          </cell>
          <cell r="G532">
            <v>89530</v>
          </cell>
        </row>
        <row r="533">
          <cell r="A533" t="str">
            <v>29-1125</v>
          </cell>
          <cell r="B533" t="str">
            <v>Recreational Therapists</v>
          </cell>
          <cell r="C533">
            <v>15920</v>
          </cell>
          <cell r="D533">
            <v>1.4</v>
          </cell>
          <cell r="E533">
            <v>56310</v>
          </cell>
          <cell r="F533">
            <v>0.7</v>
          </cell>
          <cell r="G533">
            <v>51330</v>
          </cell>
        </row>
        <row r="534">
          <cell r="A534" t="str">
            <v>29-1126</v>
          </cell>
          <cell r="B534" t="str">
            <v>Respiratory Therapists</v>
          </cell>
          <cell r="C534">
            <v>129910</v>
          </cell>
          <cell r="D534">
            <v>0.6</v>
          </cell>
          <cell r="E534">
            <v>74310</v>
          </cell>
          <cell r="F534">
            <v>0.3</v>
          </cell>
          <cell r="G534">
            <v>70540</v>
          </cell>
        </row>
        <row r="535">
          <cell r="A535" t="str">
            <v>29-1127</v>
          </cell>
          <cell r="B535" t="str">
            <v>Speech-Language Pathologists</v>
          </cell>
          <cell r="C535">
            <v>162760</v>
          </cell>
          <cell r="D535">
            <v>1.7</v>
          </cell>
          <cell r="E535">
            <v>89460</v>
          </cell>
          <cell r="F535">
            <v>0.4</v>
          </cell>
          <cell r="G535">
            <v>84140</v>
          </cell>
        </row>
        <row r="536">
          <cell r="A536" t="str">
            <v>29-1128</v>
          </cell>
          <cell r="B536" t="str">
            <v>Exercise Physiologists</v>
          </cell>
          <cell r="C536">
            <v>6580</v>
          </cell>
          <cell r="D536">
            <v>3.8</v>
          </cell>
          <cell r="E536">
            <v>55820</v>
          </cell>
          <cell r="F536">
            <v>0.6</v>
          </cell>
          <cell r="G536">
            <v>51350</v>
          </cell>
        </row>
        <row r="537">
          <cell r="A537" t="str">
            <v>29-1129</v>
          </cell>
          <cell r="B537" t="str">
            <v>Therapists, All Other</v>
          </cell>
          <cell r="C537">
            <v>16920</v>
          </cell>
          <cell r="D537">
            <v>5.0999999999999996</v>
          </cell>
          <cell r="E537">
            <v>71860</v>
          </cell>
          <cell r="F537">
            <v>2.7</v>
          </cell>
          <cell r="G537">
            <v>60800</v>
          </cell>
        </row>
        <row r="538">
          <cell r="A538" t="str">
            <v>29-1130</v>
          </cell>
          <cell r="B538" t="str">
            <v>Veterinarians</v>
          </cell>
          <cell r="C538">
            <v>78810</v>
          </cell>
          <cell r="D538">
            <v>1.1000000000000001</v>
          </cell>
          <cell r="E538">
            <v>129110</v>
          </cell>
          <cell r="F538">
            <v>4.3</v>
          </cell>
          <cell r="G538">
            <v>103260</v>
          </cell>
        </row>
        <row r="539">
          <cell r="A539" t="str">
            <v>29-1131</v>
          </cell>
          <cell r="B539" t="str">
            <v>Veterinarians</v>
          </cell>
          <cell r="C539">
            <v>78810</v>
          </cell>
          <cell r="D539">
            <v>1.1000000000000001</v>
          </cell>
          <cell r="E539">
            <v>129110</v>
          </cell>
          <cell r="F539">
            <v>4.3</v>
          </cell>
          <cell r="G539">
            <v>103260</v>
          </cell>
        </row>
        <row r="540">
          <cell r="A540" t="str">
            <v>29-1140</v>
          </cell>
          <cell r="B540" t="str">
            <v>Registered Nurses</v>
          </cell>
          <cell r="C540">
            <v>3072700</v>
          </cell>
          <cell r="D540">
            <v>0.3</v>
          </cell>
          <cell r="E540">
            <v>89010</v>
          </cell>
          <cell r="F540">
            <v>0.2</v>
          </cell>
          <cell r="G540">
            <v>81220</v>
          </cell>
        </row>
        <row r="541">
          <cell r="A541" t="str">
            <v>29-1141</v>
          </cell>
          <cell r="B541" t="str">
            <v>Registered Nurses</v>
          </cell>
          <cell r="C541">
            <v>3072700</v>
          </cell>
          <cell r="D541">
            <v>0.3</v>
          </cell>
          <cell r="E541">
            <v>89010</v>
          </cell>
          <cell r="F541">
            <v>0.2</v>
          </cell>
          <cell r="G541">
            <v>81220</v>
          </cell>
        </row>
        <row r="542">
          <cell r="A542" t="str">
            <v>29-1150</v>
          </cell>
          <cell r="B542" t="str">
            <v>Nurse Anesthetists</v>
          </cell>
          <cell r="C542">
            <v>46540</v>
          </cell>
          <cell r="D542">
            <v>4.4000000000000004</v>
          </cell>
          <cell r="E542">
            <v>205770</v>
          </cell>
          <cell r="F542">
            <v>0.9</v>
          </cell>
          <cell r="G542">
            <v>203090</v>
          </cell>
        </row>
        <row r="543">
          <cell r="A543" t="str">
            <v>29-1151</v>
          </cell>
          <cell r="B543" t="str">
            <v>Nurse Anesthetists</v>
          </cell>
          <cell r="C543">
            <v>46540</v>
          </cell>
          <cell r="D543">
            <v>4.4000000000000004</v>
          </cell>
          <cell r="E543">
            <v>205770</v>
          </cell>
          <cell r="F543">
            <v>0.9</v>
          </cell>
          <cell r="G543">
            <v>203090</v>
          </cell>
        </row>
        <row r="544">
          <cell r="A544" t="str">
            <v>29-1160</v>
          </cell>
          <cell r="B544" t="str">
            <v>Nurse Midwives</v>
          </cell>
          <cell r="C544">
            <v>7950</v>
          </cell>
          <cell r="D544">
            <v>4.3</v>
          </cell>
          <cell r="E544">
            <v>122450</v>
          </cell>
          <cell r="F544">
            <v>1.1000000000000001</v>
          </cell>
          <cell r="G544">
            <v>120880</v>
          </cell>
        </row>
        <row r="545">
          <cell r="A545" t="str">
            <v>29-1161</v>
          </cell>
          <cell r="B545" t="str">
            <v>Nurse Midwives</v>
          </cell>
          <cell r="C545">
            <v>7950</v>
          </cell>
          <cell r="D545">
            <v>4.3</v>
          </cell>
          <cell r="E545">
            <v>122450</v>
          </cell>
          <cell r="F545">
            <v>1.1000000000000001</v>
          </cell>
          <cell r="G545">
            <v>120880</v>
          </cell>
        </row>
        <row r="546">
          <cell r="A546" t="str">
            <v>29-1170</v>
          </cell>
          <cell r="B546" t="str">
            <v>Nurse Practitioners</v>
          </cell>
          <cell r="C546">
            <v>258230</v>
          </cell>
          <cell r="D546">
            <v>1.8</v>
          </cell>
          <cell r="E546">
            <v>124680</v>
          </cell>
          <cell r="F546">
            <v>0.7</v>
          </cell>
          <cell r="G546">
            <v>121610</v>
          </cell>
        </row>
        <row r="547">
          <cell r="A547" t="str">
            <v>29-1171</v>
          </cell>
          <cell r="B547" t="str">
            <v>Nurse Practitioners</v>
          </cell>
          <cell r="C547">
            <v>258230</v>
          </cell>
          <cell r="D547">
            <v>1.8</v>
          </cell>
          <cell r="E547">
            <v>124680</v>
          </cell>
          <cell r="F547">
            <v>0.7</v>
          </cell>
          <cell r="G547">
            <v>121610</v>
          </cell>
        </row>
        <row r="548">
          <cell r="A548" t="str">
            <v>29-1180</v>
          </cell>
          <cell r="B548" t="str">
            <v>Audiologists</v>
          </cell>
          <cell r="C548">
            <v>13940</v>
          </cell>
          <cell r="D548">
            <v>4.3</v>
          </cell>
          <cell r="E548">
            <v>89490</v>
          </cell>
          <cell r="F548">
            <v>1.7</v>
          </cell>
          <cell r="G548">
            <v>82680</v>
          </cell>
        </row>
        <row r="549">
          <cell r="A549" t="str">
            <v>29-1181</v>
          </cell>
          <cell r="B549" t="str">
            <v>Audiologists</v>
          </cell>
          <cell r="C549">
            <v>13940</v>
          </cell>
          <cell r="D549">
            <v>4.3</v>
          </cell>
          <cell r="E549">
            <v>89490</v>
          </cell>
          <cell r="F549">
            <v>1.7</v>
          </cell>
          <cell r="G549">
            <v>82680</v>
          </cell>
        </row>
        <row r="550">
          <cell r="A550" t="str">
            <v>29-1210</v>
          </cell>
          <cell r="B550" t="str">
            <v>Physicians</v>
          </cell>
          <cell r="C550">
            <v>702910</v>
          </cell>
          <cell r="D550">
            <v>0.7</v>
          </cell>
          <cell r="E550">
            <v>251990</v>
          </cell>
          <cell r="F550">
            <v>0.5</v>
          </cell>
          <cell r="G550">
            <v>227180</v>
          </cell>
        </row>
        <row r="551">
          <cell r="A551" t="str">
            <v>29-1211</v>
          </cell>
          <cell r="B551" t="str">
            <v>Anesthesiologists</v>
          </cell>
          <cell r="C551">
            <v>37430</v>
          </cell>
          <cell r="D551">
            <v>7.6</v>
          </cell>
          <cell r="E551">
            <v>302970</v>
          </cell>
          <cell r="F551">
            <v>3.5</v>
          </cell>
          <cell r="G551" t="str">
            <v>#</v>
          </cell>
        </row>
        <row r="552">
          <cell r="A552" t="str">
            <v>29-1212</v>
          </cell>
          <cell r="B552" t="str">
            <v>Cardiologists</v>
          </cell>
          <cell r="C552">
            <v>16870</v>
          </cell>
          <cell r="D552">
            <v>5.0999999999999996</v>
          </cell>
          <cell r="E552">
            <v>421330</v>
          </cell>
          <cell r="F552">
            <v>4</v>
          </cell>
          <cell r="G552" t="str">
            <v>#</v>
          </cell>
        </row>
        <row r="553">
          <cell r="A553" t="str">
            <v>29-1213</v>
          </cell>
          <cell r="B553" t="str">
            <v>Dermatologists</v>
          </cell>
          <cell r="C553">
            <v>11640</v>
          </cell>
          <cell r="D553">
            <v>6.3</v>
          </cell>
          <cell r="E553">
            <v>327650</v>
          </cell>
          <cell r="F553">
            <v>9.6999999999999993</v>
          </cell>
          <cell r="G553" t="str">
            <v>#</v>
          </cell>
        </row>
        <row r="554">
          <cell r="A554" t="str">
            <v>29-1214</v>
          </cell>
          <cell r="B554" t="str">
            <v>Emergency Medicine Physicians</v>
          </cell>
          <cell r="C554">
            <v>29260</v>
          </cell>
          <cell r="D554">
            <v>5.6</v>
          </cell>
          <cell r="E554">
            <v>316600</v>
          </cell>
          <cell r="F554">
            <v>2.1</v>
          </cell>
          <cell r="G554" t="str">
            <v>#</v>
          </cell>
        </row>
        <row r="555">
          <cell r="A555" t="str">
            <v>29-1215</v>
          </cell>
          <cell r="B555" t="str">
            <v>Family Medicine Physicians</v>
          </cell>
          <cell r="C555">
            <v>100940</v>
          </cell>
          <cell r="D555">
            <v>2.4</v>
          </cell>
          <cell r="E555">
            <v>224460</v>
          </cell>
          <cell r="F555">
            <v>2.1</v>
          </cell>
          <cell r="G555">
            <v>211300</v>
          </cell>
        </row>
        <row r="556">
          <cell r="A556" t="str">
            <v>29-1216</v>
          </cell>
          <cell r="B556" t="str">
            <v>General Internal Medicine Physicians</v>
          </cell>
          <cell r="C556">
            <v>67220</v>
          </cell>
          <cell r="D556">
            <v>2.6</v>
          </cell>
          <cell r="E556">
            <v>225270</v>
          </cell>
          <cell r="F556">
            <v>1.4</v>
          </cell>
          <cell r="G556">
            <v>214460</v>
          </cell>
        </row>
        <row r="557">
          <cell r="A557" t="str">
            <v>29-1217</v>
          </cell>
          <cell r="B557" t="str">
            <v>Neurologists</v>
          </cell>
          <cell r="C557">
            <v>11340</v>
          </cell>
          <cell r="D557">
            <v>8.8000000000000007</v>
          </cell>
          <cell r="E557">
            <v>255510</v>
          </cell>
          <cell r="F557">
            <v>4.5999999999999996</v>
          </cell>
          <cell r="G557">
            <v>224260</v>
          </cell>
        </row>
        <row r="558">
          <cell r="A558" t="str">
            <v>29-1218</v>
          </cell>
          <cell r="B558" t="str">
            <v>Obstetricians and Gynecologists</v>
          </cell>
          <cell r="C558">
            <v>21450</v>
          </cell>
          <cell r="D558">
            <v>6.2</v>
          </cell>
          <cell r="E558">
            <v>277320</v>
          </cell>
          <cell r="F558">
            <v>2.2999999999999998</v>
          </cell>
          <cell r="G558" t="str">
            <v>#</v>
          </cell>
        </row>
        <row r="559">
          <cell r="A559" t="str">
            <v>29-1221</v>
          </cell>
          <cell r="B559" t="str">
            <v>Pediatricians, General</v>
          </cell>
          <cell r="C559">
            <v>33430</v>
          </cell>
          <cell r="D559">
            <v>13</v>
          </cell>
          <cell r="E559">
            <v>203240</v>
          </cell>
          <cell r="F559">
            <v>2.6</v>
          </cell>
          <cell r="G559">
            <v>190350</v>
          </cell>
        </row>
        <row r="560">
          <cell r="A560" t="str">
            <v>29-1222</v>
          </cell>
          <cell r="B560" t="str">
            <v>Physicians, Pathologists</v>
          </cell>
          <cell r="C560">
            <v>12320</v>
          </cell>
          <cell r="D560">
            <v>6.4</v>
          </cell>
          <cell r="E560">
            <v>252850</v>
          </cell>
          <cell r="F560">
            <v>2.9</v>
          </cell>
          <cell r="G560" t="str">
            <v>#</v>
          </cell>
        </row>
        <row r="561">
          <cell r="A561" t="str">
            <v>29-1223</v>
          </cell>
          <cell r="B561" t="str">
            <v>Psychiatrists</v>
          </cell>
          <cell r="C561">
            <v>26500</v>
          </cell>
          <cell r="D561">
            <v>4.5</v>
          </cell>
          <cell r="E561">
            <v>247350</v>
          </cell>
          <cell r="F561">
            <v>2.6</v>
          </cell>
          <cell r="G561">
            <v>226880</v>
          </cell>
        </row>
        <row r="562">
          <cell r="A562" t="str">
            <v>29-1224</v>
          </cell>
          <cell r="B562" t="str">
            <v>Radiologists</v>
          </cell>
          <cell r="C562">
            <v>29250</v>
          </cell>
          <cell r="D562">
            <v>6.3</v>
          </cell>
          <cell r="E562">
            <v>329080</v>
          </cell>
          <cell r="F562">
            <v>2.5</v>
          </cell>
          <cell r="G562" t="str">
            <v>#</v>
          </cell>
        </row>
        <row r="563">
          <cell r="A563" t="str">
            <v>29-1229</v>
          </cell>
          <cell r="B563" t="str">
            <v>Physicians, All Other</v>
          </cell>
          <cell r="C563">
            <v>305260</v>
          </cell>
          <cell r="D563">
            <v>1.9</v>
          </cell>
          <cell r="E563">
            <v>238700</v>
          </cell>
          <cell r="F563">
            <v>1.1000000000000001</v>
          </cell>
          <cell r="G563">
            <v>223410</v>
          </cell>
        </row>
        <row r="564">
          <cell r="A564" t="str">
            <v>29-1240</v>
          </cell>
          <cell r="B564" t="str">
            <v>Surgeons</v>
          </cell>
          <cell r="C564">
            <v>58330</v>
          </cell>
          <cell r="D564">
            <v>3.8</v>
          </cell>
          <cell r="E564">
            <v>337980</v>
          </cell>
          <cell r="F564">
            <v>2.9</v>
          </cell>
          <cell r="G564" t="str">
            <v>#</v>
          </cell>
        </row>
        <row r="565">
          <cell r="A565" t="str">
            <v>29-1241</v>
          </cell>
          <cell r="B565" t="str">
            <v>Ophthalmologists, Except Pediatric</v>
          </cell>
          <cell r="C565">
            <v>12580</v>
          </cell>
          <cell r="D565">
            <v>7.9</v>
          </cell>
          <cell r="E565">
            <v>265450</v>
          </cell>
          <cell r="F565">
            <v>7.3</v>
          </cell>
          <cell r="G565">
            <v>219810</v>
          </cell>
        </row>
        <row r="566">
          <cell r="A566" t="str">
            <v>29-1242</v>
          </cell>
          <cell r="B566" t="str">
            <v>Orthopedic Surgeons, Except Pediatric</v>
          </cell>
          <cell r="C566">
            <v>19060</v>
          </cell>
          <cell r="D566">
            <v>8.9</v>
          </cell>
          <cell r="E566">
            <v>371400</v>
          </cell>
          <cell r="F566">
            <v>9.8000000000000007</v>
          </cell>
          <cell r="G566" t="str">
            <v>#</v>
          </cell>
        </row>
        <row r="567">
          <cell r="A567" t="str">
            <v>29-1243</v>
          </cell>
          <cell r="B567" t="str">
            <v>Pediatric Surgeons</v>
          </cell>
          <cell r="C567">
            <v>780</v>
          </cell>
          <cell r="D567">
            <v>5.6</v>
          </cell>
          <cell r="E567">
            <v>362970</v>
          </cell>
          <cell r="F567">
            <v>2.4</v>
          </cell>
          <cell r="G567" t="str">
            <v>#</v>
          </cell>
        </row>
        <row r="568">
          <cell r="A568" t="str">
            <v>29-1249</v>
          </cell>
          <cell r="B568" t="str">
            <v>Surgeons, All Other</v>
          </cell>
          <cell r="C568">
            <v>25910</v>
          </cell>
          <cell r="D568">
            <v>10.199999999999999</v>
          </cell>
          <cell r="E568">
            <v>347870</v>
          </cell>
          <cell r="F568">
            <v>3.8</v>
          </cell>
          <cell r="G568" t="str">
            <v>#</v>
          </cell>
        </row>
        <row r="569">
          <cell r="A569" t="str">
            <v>29-1290</v>
          </cell>
          <cell r="B569" t="str">
            <v>Miscellaneous Healthcare Diagnosing or Treating Practitioners</v>
          </cell>
          <cell r="C569">
            <v>252580</v>
          </cell>
          <cell r="D569">
            <v>1.4</v>
          </cell>
          <cell r="E569">
            <v>89440</v>
          </cell>
          <cell r="F569">
            <v>0.9</v>
          </cell>
          <cell r="G569">
            <v>81950</v>
          </cell>
        </row>
        <row r="570">
          <cell r="A570" t="str">
            <v>29-1291</v>
          </cell>
          <cell r="B570" t="str">
            <v>Acupuncturists</v>
          </cell>
          <cell r="C570">
            <v>7800</v>
          </cell>
          <cell r="D570">
            <v>6.3</v>
          </cell>
          <cell r="E570">
            <v>82390</v>
          </cell>
          <cell r="F570">
            <v>3.6</v>
          </cell>
          <cell r="G570">
            <v>72220</v>
          </cell>
        </row>
        <row r="571">
          <cell r="A571" t="str">
            <v>29-1292</v>
          </cell>
          <cell r="B571" t="str">
            <v>Dental Hygienists</v>
          </cell>
          <cell r="C571">
            <v>214700</v>
          </cell>
          <cell r="D571">
            <v>1.6</v>
          </cell>
          <cell r="E571">
            <v>84860</v>
          </cell>
          <cell r="F571">
            <v>0.4</v>
          </cell>
          <cell r="G571">
            <v>81400</v>
          </cell>
        </row>
        <row r="572">
          <cell r="A572" t="str">
            <v>29-1299</v>
          </cell>
          <cell r="B572" t="str">
            <v>Healthcare Diagnosing or Treating Practitioners, All Other</v>
          </cell>
          <cell r="C572">
            <v>30080</v>
          </cell>
          <cell r="D572">
            <v>2.2999999999999998</v>
          </cell>
          <cell r="E572">
            <v>123960</v>
          </cell>
          <cell r="F572">
            <v>5.0999999999999996</v>
          </cell>
          <cell r="G572">
            <v>106230</v>
          </cell>
        </row>
        <row r="573">
          <cell r="A573" t="str">
            <v>29-2000</v>
          </cell>
          <cell r="B573" t="str">
            <v>Health Technologists and Technicians</v>
          </cell>
          <cell r="C573">
            <v>2949600</v>
          </cell>
          <cell r="D573">
            <v>0.4</v>
          </cell>
          <cell r="E573">
            <v>53230</v>
          </cell>
          <cell r="F573">
            <v>0.2</v>
          </cell>
          <cell r="G573">
            <v>48560</v>
          </cell>
        </row>
        <row r="574">
          <cell r="A574" t="str">
            <v>29-2010</v>
          </cell>
          <cell r="B574" t="str">
            <v>Clinical Laboratory Technologists and Technicians</v>
          </cell>
          <cell r="C574">
            <v>333600</v>
          </cell>
          <cell r="D574">
            <v>0.7</v>
          </cell>
          <cell r="E574">
            <v>59130</v>
          </cell>
          <cell r="F574">
            <v>0.3</v>
          </cell>
          <cell r="G574">
            <v>57380</v>
          </cell>
        </row>
        <row r="575">
          <cell r="A575" t="str">
            <v>29-2010</v>
          </cell>
          <cell r="B575" t="str">
            <v>Clinical Laboratory Technologists and Technicians</v>
          </cell>
          <cell r="C575">
            <v>333600</v>
          </cell>
          <cell r="D575">
            <v>0.7</v>
          </cell>
          <cell r="E575">
            <v>59130</v>
          </cell>
          <cell r="F575">
            <v>0.3</v>
          </cell>
          <cell r="G575">
            <v>57380</v>
          </cell>
        </row>
        <row r="576">
          <cell r="A576" t="str">
            <v>29-2030</v>
          </cell>
          <cell r="B576" t="str">
            <v>Diagnostic Related Technologists and Technicians</v>
          </cell>
          <cell r="C576">
            <v>411120</v>
          </cell>
          <cell r="D576">
            <v>0.6</v>
          </cell>
          <cell r="E576">
            <v>74700</v>
          </cell>
          <cell r="F576">
            <v>0.3</v>
          </cell>
          <cell r="G576">
            <v>74550</v>
          </cell>
        </row>
        <row r="577">
          <cell r="A577" t="str">
            <v>29-2031</v>
          </cell>
          <cell r="B577" t="str">
            <v>Cardiovascular Technologists and Technicians</v>
          </cell>
          <cell r="C577">
            <v>55750</v>
          </cell>
          <cell r="D577">
            <v>1.2</v>
          </cell>
          <cell r="E577">
            <v>65490</v>
          </cell>
          <cell r="F577">
            <v>0.9</v>
          </cell>
          <cell r="G577">
            <v>63020</v>
          </cell>
        </row>
        <row r="578">
          <cell r="A578" t="str">
            <v>29-2032</v>
          </cell>
          <cell r="B578" t="str">
            <v>Diagnostic Medical Sonographers</v>
          </cell>
          <cell r="C578">
            <v>81080</v>
          </cell>
          <cell r="D578">
            <v>1</v>
          </cell>
          <cell r="E578">
            <v>84410</v>
          </cell>
          <cell r="F578">
            <v>0.4</v>
          </cell>
          <cell r="G578">
            <v>81350</v>
          </cell>
        </row>
        <row r="579">
          <cell r="A579" t="str">
            <v>29-2033</v>
          </cell>
          <cell r="B579" t="str">
            <v>Nuclear Medicine Technologists</v>
          </cell>
          <cell r="C579">
            <v>16910</v>
          </cell>
          <cell r="D579">
            <v>1.4</v>
          </cell>
          <cell r="E579">
            <v>89610</v>
          </cell>
          <cell r="F579">
            <v>0.7</v>
          </cell>
          <cell r="G579">
            <v>85300</v>
          </cell>
        </row>
        <row r="580">
          <cell r="A580" t="str">
            <v>29-2034</v>
          </cell>
          <cell r="B580" t="str">
            <v>Radiologic Technologists and Technicians</v>
          </cell>
          <cell r="C580">
            <v>215820</v>
          </cell>
          <cell r="D580">
            <v>0.7</v>
          </cell>
          <cell r="E580">
            <v>70240</v>
          </cell>
          <cell r="F580">
            <v>0.4</v>
          </cell>
          <cell r="G580">
            <v>65140</v>
          </cell>
        </row>
        <row r="581">
          <cell r="A581" t="str">
            <v>29-2035</v>
          </cell>
          <cell r="B581" t="str">
            <v>Magnetic Resonance Imaging Technologists</v>
          </cell>
          <cell r="C581">
            <v>38380</v>
          </cell>
          <cell r="D581">
            <v>1.8</v>
          </cell>
          <cell r="E581">
            <v>81530</v>
          </cell>
          <cell r="F581">
            <v>0.3</v>
          </cell>
          <cell r="G581">
            <v>80090</v>
          </cell>
        </row>
        <row r="582">
          <cell r="A582" t="str">
            <v>29-2036</v>
          </cell>
          <cell r="B582" t="str">
            <v>Medical Dosimetrists</v>
          </cell>
          <cell r="C582">
            <v>3190</v>
          </cell>
          <cell r="D582">
            <v>4.5</v>
          </cell>
          <cell r="E582">
            <v>129080</v>
          </cell>
          <cell r="F582">
            <v>1.4</v>
          </cell>
          <cell r="G582">
            <v>128970</v>
          </cell>
        </row>
        <row r="583">
          <cell r="A583" t="str">
            <v>29-2040</v>
          </cell>
          <cell r="B583" t="str">
            <v>Emergency Medical Technicians and Paramedics</v>
          </cell>
          <cell r="C583">
            <v>263160</v>
          </cell>
          <cell r="D583">
            <v>0.9</v>
          </cell>
          <cell r="E583">
            <v>45000</v>
          </cell>
          <cell r="F583">
            <v>0.3</v>
          </cell>
          <cell r="G583">
            <v>39410</v>
          </cell>
        </row>
        <row r="584">
          <cell r="A584" t="str">
            <v>29-2042</v>
          </cell>
          <cell r="B584" t="str">
            <v>Emergency Medical Technicians</v>
          </cell>
          <cell r="C584">
            <v>167720</v>
          </cell>
          <cell r="D584">
            <v>1</v>
          </cell>
          <cell r="E584">
            <v>40120</v>
          </cell>
          <cell r="F584">
            <v>0.3</v>
          </cell>
          <cell r="G584">
            <v>36680</v>
          </cell>
        </row>
        <row r="585">
          <cell r="A585" t="str">
            <v>29-2043</v>
          </cell>
          <cell r="B585" t="str">
            <v>Paramedics</v>
          </cell>
          <cell r="C585">
            <v>95440</v>
          </cell>
          <cell r="D585">
            <v>1.3</v>
          </cell>
          <cell r="E585">
            <v>53560</v>
          </cell>
          <cell r="F585">
            <v>0.6</v>
          </cell>
          <cell r="G585">
            <v>49090</v>
          </cell>
        </row>
        <row r="586">
          <cell r="A586" t="str">
            <v>29-2050</v>
          </cell>
          <cell r="B586" t="str">
            <v>Health Practitioner Support Technologists and Technicians</v>
          </cell>
          <cell r="C586">
            <v>866480</v>
          </cell>
          <cell r="D586">
            <v>0.5</v>
          </cell>
          <cell r="E586">
            <v>42600</v>
          </cell>
          <cell r="F586">
            <v>0.3</v>
          </cell>
          <cell r="G586">
            <v>38780</v>
          </cell>
        </row>
        <row r="587">
          <cell r="A587" t="str">
            <v>29-2051</v>
          </cell>
          <cell r="B587" t="str">
            <v>Dietetic Technicians</v>
          </cell>
          <cell r="C587">
            <v>19690</v>
          </cell>
          <cell r="D587">
            <v>2</v>
          </cell>
          <cell r="E587">
            <v>36370</v>
          </cell>
          <cell r="F587">
            <v>0.9</v>
          </cell>
          <cell r="G587">
            <v>33960</v>
          </cell>
        </row>
        <row r="588">
          <cell r="A588" t="str">
            <v>29-2052</v>
          </cell>
          <cell r="B588" t="str">
            <v>Pharmacy Technicians</v>
          </cell>
          <cell r="C588">
            <v>453630</v>
          </cell>
          <cell r="D588">
            <v>0.8</v>
          </cell>
          <cell r="E588">
            <v>40260</v>
          </cell>
          <cell r="F588">
            <v>0.3</v>
          </cell>
          <cell r="G588">
            <v>37790</v>
          </cell>
        </row>
        <row r="589">
          <cell r="A589" t="str">
            <v>29-2053</v>
          </cell>
          <cell r="B589" t="str">
            <v>Psychiatric Technicians</v>
          </cell>
          <cell r="C589">
            <v>100950</v>
          </cell>
          <cell r="D589">
            <v>2.2999999999999998</v>
          </cell>
          <cell r="E589">
            <v>40760</v>
          </cell>
          <cell r="F589">
            <v>0.6</v>
          </cell>
          <cell r="G589">
            <v>37380</v>
          </cell>
        </row>
        <row r="590">
          <cell r="A590" t="str">
            <v>29-2055</v>
          </cell>
          <cell r="B590" t="str">
            <v>Surgical Technologists</v>
          </cell>
          <cell r="C590">
            <v>107400</v>
          </cell>
          <cell r="D590">
            <v>0.9</v>
          </cell>
          <cell r="E590">
            <v>57500</v>
          </cell>
          <cell r="F590">
            <v>0.3</v>
          </cell>
          <cell r="G590">
            <v>55960</v>
          </cell>
        </row>
        <row r="591">
          <cell r="A591" t="str">
            <v>29-2056</v>
          </cell>
          <cell r="B591" t="str">
            <v>Veterinary Technologists and Technicians</v>
          </cell>
          <cell r="C591">
            <v>118750</v>
          </cell>
          <cell r="D591">
            <v>1.1000000000000001</v>
          </cell>
          <cell r="E591">
            <v>40770</v>
          </cell>
          <cell r="F591">
            <v>0.7</v>
          </cell>
          <cell r="G591">
            <v>38240</v>
          </cell>
        </row>
        <row r="592">
          <cell r="A592" t="str">
            <v>29-2057</v>
          </cell>
          <cell r="B592" t="str">
            <v>Ophthalmic Medical Technicians</v>
          </cell>
          <cell r="C592">
            <v>66060</v>
          </cell>
          <cell r="D592">
            <v>3.3</v>
          </cell>
          <cell r="E592">
            <v>42480</v>
          </cell>
          <cell r="F592">
            <v>0.8</v>
          </cell>
          <cell r="G592">
            <v>38860</v>
          </cell>
        </row>
        <row r="593">
          <cell r="A593" t="str">
            <v>29-2060</v>
          </cell>
          <cell r="B593" t="str">
            <v>Licensed Practical and Licensed Vocational Nurses</v>
          </cell>
          <cell r="C593">
            <v>632020</v>
          </cell>
          <cell r="D593">
            <v>0.8</v>
          </cell>
          <cell r="E593">
            <v>55860</v>
          </cell>
          <cell r="F593">
            <v>0.3</v>
          </cell>
          <cell r="G593">
            <v>54620</v>
          </cell>
        </row>
        <row r="594">
          <cell r="A594" t="str">
            <v>29-2061</v>
          </cell>
          <cell r="B594" t="str">
            <v>Licensed Practical and Licensed Vocational Nurses</v>
          </cell>
          <cell r="C594">
            <v>632020</v>
          </cell>
          <cell r="D594">
            <v>0.8</v>
          </cell>
          <cell r="E594">
            <v>55860</v>
          </cell>
          <cell r="F594">
            <v>0.3</v>
          </cell>
          <cell r="G594">
            <v>54620</v>
          </cell>
        </row>
        <row r="595">
          <cell r="A595" t="str">
            <v>29-2070</v>
          </cell>
          <cell r="B595" t="str">
            <v>Medical Records Specialists</v>
          </cell>
          <cell r="C595">
            <v>187720</v>
          </cell>
          <cell r="D595">
            <v>1.5</v>
          </cell>
          <cell r="E595">
            <v>51090</v>
          </cell>
          <cell r="F595">
            <v>0.5</v>
          </cell>
          <cell r="G595">
            <v>47180</v>
          </cell>
        </row>
        <row r="596">
          <cell r="A596" t="str">
            <v>29-2072</v>
          </cell>
          <cell r="B596" t="str">
            <v>Medical Records Specialists</v>
          </cell>
          <cell r="C596">
            <v>187720</v>
          </cell>
          <cell r="D596">
            <v>1.5</v>
          </cell>
          <cell r="E596">
            <v>51090</v>
          </cell>
          <cell r="F596">
            <v>0.5</v>
          </cell>
          <cell r="G596">
            <v>47180</v>
          </cell>
        </row>
        <row r="597">
          <cell r="A597" t="str">
            <v>29-2080</v>
          </cell>
          <cell r="B597" t="str">
            <v>Opticians, Dispensing</v>
          </cell>
          <cell r="C597">
            <v>73460</v>
          </cell>
          <cell r="D597">
            <v>2</v>
          </cell>
          <cell r="E597">
            <v>44890</v>
          </cell>
          <cell r="F597">
            <v>0.8</v>
          </cell>
          <cell r="G597">
            <v>39610</v>
          </cell>
        </row>
        <row r="598">
          <cell r="A598" t="str">
            <v>29-2081</v>
          </cell>
          <cell r="B598" t="str">
            <v>Opticians, Dispensing</v>
          </cell>
          <cell r="C598">
            <v>73460</v>
          </cell>
          <cell r="D598">
            <v>2</v>
          </cell>
          <cell r="E598">
            <v>44890</v>
          </cell>
          <cell r="F598">
            <v>0.8</v>
          </cell>
          <cell r="G598">
            <v>39610</v>
          </cell>
        </row>
        <row r="599">
          <cell r="A599" t="str">
            <v>29-2090</v>
          </cell>
          <cell r="B599" t="str">
            <v>Miscellaneous Health Technologists and Technicians</v>
          </cell>
          <cell r="C599">
            <v>182030</v>
          </cell>
          <cell r="D599">
            <v>1.1000000000000001</v>
          </cell>
          <cell r="E599">
            <v>52810</v>
          </cell>
          <cell r="F599">
            <v>0.5</v>
          </cell>
          <cell r="G599">
            <v>45920</v>
          </cell>
        </row>
        <row r="600">
          <cell r="A600" t="str">
            <v>29-2091</v>
          </cell>
          <cell r="B600" t="str">
            <v>Orthotists and Prosthetists</v>
          </cell>
          <cell r="C600">
            <v>9150</v>
          </cell>
          <cell r="D600">
            <v>8.1</v>
          </cell>
          <cell r="E600">
            <v>78240</v>
          </cell>
          <cell r="F600">
            <v>1.3</v>
          </cell>
          <cell r="G600">
            <v>77070</v>
          </cell>
        </row>
        <row r="601">
          <cell r="A601" t="str">
            <v>29-2092</v>
          </cell>
          <cell r="B601" t="str">
            <v>Hearing Aid Specialists</v>
          </cell>
          <cell r="C601">
            <v>10080</v>
          </cell>
          <cell r="D601">
            <v>5.3</v>
          </cell>
          <cell r="E601">
            <v>62480</v>
          </cell>
          <cell r="F601">
            <v>3.4</v>
          </cell>
          <cell r="G601">
            <v>59020</v>
          </cell>
        </row>
        <row r="602">
          <cell r="A602" t="str">
            <v>29-2099</v>
          </cell>
          <cell r="B602" t="str">
            <v>Health Technologists and Technicians, All Other</v>
          </cell>
          <cell r="C602">
            <v>162800</v>
          </cell>
          <cell r="D602">
            <v>1.1000000000000001</v>
          </cell>
          <cell r="E602">
            <v>50790</v>
          </cell>
          <cell r="F602">
            <v>0.5</v>
          </cell>
          <cell r="G602">
            <v>44990</v>
          </cell>
        </row>
        <row r="603">
          <cell r="A603" t="str">
            <v>29-9000</v>
          </cell>
          <cell r="B603" t="str">
            <v>Other Healthcare Practitioners and Technical Occupations</v>
          </cell>
          <cell r="C603">
            <v>128200</v>
          </cell>
          <cell r="D603">
            <v>1.2</v>
          </cell>
          <cell r="E603">
            <v>64580</v>
          </cell>
          <cell r="F603">
            <v>0.5</v>
          </cell>
          <cell r="G603">
            <v>57740</v>
          </cell>
        </row>
        <row r="604">
          <cell r="A604" t="str">
            <v>29-9020</v>
          </cell>
          <cell r="B604" t="str">
            <v>Health Information Technologists and Medical Registrars</v>
          </cell>
          <cell r="C604">
            <v>35500</v>
          </cell>
          <cell r="D604">
            <v>1.2</v>
          </cell>
          <cell r="E604">
            <v>65280</v>
          </cell>
          <cell r="F604">
            <v>0.9</v>
          </cell>
          <cell r="G604">
            <v>58250</v>
          </cell>
        </row>
        <row r="605">
          <cell r="A605" t="str">
            <v>29-9021</v>
          </cell>
          <cell r="B605" t="str">
            <v>Health Information Technologists and Medical Registrars</v>
          </cell>
          <cell r="C605">
            <v>35500</v>
          </cell>
          <cell r="D605">
            <v>1.2</v>
          </cell>
          <cell r="E605">
            <v>65280</v>
          </cell>
          <cell r="F605">
            <v>0.9</v>
          </cell>
          <cell r="G605">
            <v>58250</v>
          </cell>
        </row>
        <row r="606">
          <cell r="A606" t="str">
            <v>29-9090</v>
          </cell>
          <cell r="B606" t="str">
            <v>Miscellaneous Health Practitioners and Technical Workers</v>
          </cell>
          <cell r="C606">
            <v>92710</v>
          </cell>
          <cell r="D606">
            <v>1.6</v>
          </cell>
          <cell r="E606">
            <v>64310</v>
          </cell>
          <cell r="F606">
            <v>0.7</v>
          </cell>
          <cell r="G606">
            <v>57640</v>
          </cell>
        </row>
        <row r="607">
          <cell r="A607" t="str">
            <v>29-9091</v>
          </cell>
          <cell r="B607" t="str">
            <v>Athletic Trainers</v>
          </cell>
          <cell r="C607">
            <v>29720</v>
          </cell>
          <cell r="D607">
            <v>2.1</v>
          </cell>
          <cell r="E607">
            <v>57810</v>
          </cell>
          <cell r="F607">
            <v>0.9</v>
          </cell>
          <cell r="G607">
            <v>53840</v>
          </cell>
        </row>
        <row r="608">
          <cell r="A608" t="str">
            <v>29-9092</v>
          </cell>
          <cell r="B608" t="str">
            <v>Genetic Counselors</v>
          </cell>
          <cell r="C608">
            <v>3220</v>
          </cell>
          <cell r="D608">
            <v>4.8</v>
          </cell>
          <cell r="E608">
            <v>93120</v>
          </cell>
          <cell r="F608">
            <v>1.2</v>
          </cell>
          <cell r="G608">
            <v>89990</v>
          </cell>
        </row>
        <row r="609">
          <cell r="A609" t="str">
            <v>29-9093</v>
          </cell>
          <cell r="B609" t="str">
            <v>Surgical Assistants</v>
          </cell>
          <cell r="C609">
            <v>18650</v>
          </cell>
          <cell r="D609">
            <v>4.7</v>
          </cell>
          <cell r="E609">
            <v>61200</v>
          </cell>
          <cell r="F609">
            <v>2.9</v>
          </cell>
          <cell r="G609">
            <v>57290</v>
          </cell>
        </row>
        <row r="610">
          <cell r="A610" t="str">
            <v>29-9099</v>
          </cell>
          <cell r="B610" t="str">
            <v>Healthcare Practitioners and Technical Workers, All Other</v>
          </cell>
          <cell r="C610">
            <v>41130</v>
          </cell>
          <cell r="D610">
            <v>2</v>
          </cell>
          <cell r="E610">
            <v>68170</v>
          </cell>
          <cell r="F610">
            <v>1.5</v>
          </cell>
          <cell r="G610">
            <v>60160</v>
          </cell>
        </row>
        <row r="611">
          <cell r="A611" t="str">
            <v>31-0000</v>
          </cell>
          <cell r="B611" t="str">
            <v>Healthcare Support Occupations</v>
          </cell>
          <cell r="C611">
            <v>6792310</v>
          </cell>
          <cell r="D611">
            <v>0.2</v>
          </cell>
          <cell r="E611">
            <v>35560</v>
          </cell>
          <cell r="F611">
            <v>0.3</v>
          </cell>
          <cell r="G611">
            <v>33600</v>
          </cell>
        </row>
        <row r="612">
          <cell r="A612" t="str">
            <v>31-1100</v>
          </cell>
          <cell r="B612" t="str">
            <v>Home Health and Personal Care Aides; and Nursing Assistants, Orderlies, and Psychiatric Aides</v>
          </cell>
          <cell r="C612">
            <v>4889700</v>
          </cell>
          <cell r="D612">
            <v>0.2</v>
          </cell>
          <cell r="E612">
            <v>32440</v>
          </cell>
          <cell r="F612">
            <v>0.3</v>
          </cell>
          <cell r="G612">
            <v>31450</v>
          </cell>
        </row>
        <row r="613">
          <cell r="A613" t="str">
            <v>31-1120</v>
          </cell>
          <cell r="B613" t="str">
            <v>Home Health and Personal Care Aides</v>
          </cell>
          <cell r="C613">
            <v>3504230</v>
          </cell>
          <cell r="D613">
            <v>0.4</v>
          </cell>
          <cell r="E613">
            <v>30930</v>
          </cell>
          <cell r="F613">
            <v>0.4</v>
          </cell>
          <cell r="G613">
            <v>30180</v>
          </cell>
        </row>
        <row r="614">
          <cell r="A614" t="str">
            <v>31-1120</v>
          </cell>
          <cell r="B614" t="str">
            <v>Home Health and Personal Care Aides</v>
          </cell>
          <cell r="C614">
            <v>3504230</v>
          </cell>
          <cell r="D614">
            <v>0.4</v>
          </cell>
          <cell r="E614">
            <v>30930</v>
          </cell>
          <cell r="F614">
            <v>0.4</v>
          </cell>
          <cell r="G614">
            <v>30180</v>
          </cell>
        </row>
        <row r="615">
          <cell r="A615" t="str">
            <v>31-1130</v>
          </cell>
          <cell r="B615" t="str">
            <v>Nursing Assistants, Orderlies, and Psychiatric Aides</v>
          </cell>
          <cell r="C615">
            <v>1385470</v>
          </cell>
          <cell r="D615">
            <v>0.4</v>
          </cell>
          <cell r="E615">
            <v>36270</v>
          </cell>
          <cell r="F615">
            <v>0.2</v>
          </cell>
          <cell r="G615">
            <v>35760</v>
          </cell>
        </row>
        <row r="616">
          <cell r="A616" t="str">
            <v>31-1131</v>
          </cell>
          <cell r="B616" t="str">
            <v>Nursing Assistants</v>
          </cell>
          <cell r="C616">
            <v>1310090</v>
          </cell>
          <cell r="D616">
            <v>0.4</v>
          </cell>
          <cell r="E616">
            <v>36220</v>
          </cell>
          <cell r="F616">
            <v>0.2</v>
          </cell>
          <cell r="G616">
            <v>35760</v>
          </cell>
        </row>
        <row r="617">
          <cell r="A617" t="str">
            <v>31-1132</v>
          </cell>
          <cell r="B617" t="str">
            <v>Orderlies</v>
          </cell>
          <cell r="C617">
            <v>44790</v>
          </cell>
          <cell r="D617">
            <v>1</v>
          </cell>
          <cell r="E617">
            <v>36070</v>
          </cell>
          <cell r="F617">
            <v>0.3</v>
          </cell>
          <cell r="G617">
            <v>34520</v>
          </cell>
        </row>
        <row r="618">
          <cell r="A618" t="str">
            <v>31-1133</v>
          </cell>
          <cell r="B618" t="str">
            <v>Psychiatric Aides</v>
          </cell>
          <cell r="C618">
            <v>30590</v>
          </cell>
          <cell r="D618">
            <v>2</v>
          </cell>
          <cell r="E618">
            <v>38620</v>
          </cell>
          <cell r="F618">
            <v>0.5</v>
          </cell>
          <cell r="G618">
            <v>37160</v>
          </cell>
        </row>
        <row r="619">
          <cell r="A619" t="str">
            <v>31-2000</v>
          </cell>
          <cell r="B619" t="str">
            <v>Occupational Therapy and Physical Therapist Assistants and Aides</v>
          </cell>
          <cell r="C619">
            <v>188060</v>
          </cell>
          <cell r="D619">
            <v>1.4</v>
          </cell>
          <cell r="E619">
            <v>57370</v>
          </cell>
          <cell r="F619">
            <v>0.5</v>
          </cell>
          <cell r="G619">
            <v>59560</v>
          </cell>
        </row>
        <row r="620">
          <cell r="A620" t="str">
            <v>31-2010</v>
          </cell>
          <cell r="B620" t="str">
            <v>Occupational Therapy Assistants and Aides</v>
          </cell>
          <cell r="C620">
            <v>47520</v>
          </cell>
          <cell r="D620">
            <v>1.9</v>
          </cell>
          <cell r="E620">
            <v>64470</v>
          </cell>
          <cell r="F620">
            <v>0.6</v>
          </cell>
          <cell r="G620">
            <v>63450</v>
          </cell>
        </row>
        <row r="621">
          <cell r="A621" t="str">
            <v>31-2011</v>
          </cell>
          <cell r="B621" t="str">
            <v>Occupational Therapy Assistants</v>
          </cell>
          <cell r="C621">
            <v>43810</v>
          </cell>
          <cell r="D621">
            <v>1.9</v>
          </cell>
          <cell r="E621">
            <v>66280</v>
          </cell>
          <cell r="F621">
            <v>0.6</v>
          </cell>
          <cell r="G621">
            <v>64250</v>
          </cell>
        </row>
        <row r="622">
          <cell r="A622" t="str">
            <v>31-2012</v>
          </cell>
          <cell r="B622" t="str">
            <v>Occupational Therapy Aides</v>
          </cell>
          <cell r="C622">
            <v>3710</v>
          </cell>
          <cell r="D622">
            <v>5.7</v>
          </cell>
          <cell r="E622">
            <v>43090</v>
          </cell>
          <cell r="F622">
            <v>2.2000000000000002</v>
          </cell>
          <cell r="G622">
            <v>37060</v>
          </cell>
        </row>
        <row r="623">
          <cell r="A623" t="str">
            <v>31-2020</v>
          </cell>
          <cell r="B623" t="str">
            <v>Physical Therapist Assistants and Aides</v>
          </cell>
          <cell r="C623">
            <v>140540</v>
          </cell>
          <cell r="D623">
            <v>1.9</v>
          </cell>
          <cell r="E623">
            <v>54980</v>
          </cell>
          <cell r="F623">
            <v>0.7</v>
          </cell>
          <cell r="G623">
            <v>57240</v>
          </cell>
        </row>
        <row r="624">
          <cell r="A624" t="str">
            <v>31-2021</v>
          </cell>
          <cell r="B624" t="str">
            <v>Physical Therapist Assistants</v>
          </cell>
          <cell r="C624">
            <v>97740</v>
          </cell>
          <cell r="D624">
            <v>1.8</v>
          </cell>
          <cell r="E624">
            <v>64510</v>
          </cell>
          <cell r="F624">
            <v>0.5</v>
          </cell>
          <cell r="G624">
            <v>62770</v>
          </cell>
        </row>
        <row r="625">
          <cell r="A625" t="str">
            <v>31-2022</v>
          </cell>
          <cell r="B625" t="str">
            <v>Physical Therapist Aides</v>
          </cell>
          <cell r="C625">
            <v>42800</v>
          </cell>
          <cell r="D625">
            <v>3.1</v>
          </cell>
          <cell r="E625">
            <v>33210</v>
          </cell>
          <cell r="F625">
            <v>1.9</v>
          </cell>
          <cell r="G625">
            <v>31410</v>
          </cell>
        </row>
        <row r="626">
          <cell r="A626" t="str">
            <v>31-9000</v>
          </cell>
          <cell r="B626" t="str">
            <v>Other Healthcare Support Occupations</v>
          </cell>
          <cell r="C626">
            <v>1714550</v>
          </cell>
          <cell r="D626">
            <v>0.4</v>
          </cell>
          <cell r="E626">
            <v>42070</v>
          </cell>
          <cell r="F626">
            <v>0.2</v>
          </cell>
          <cell r="G626">
            <v>38810</v>
          </cell>
        </row>
        <row r="627">
          <cell r="A627" t="str">
            <v>31-9010</v>
          </cell>
          <cell r="B627" t="str">
            <v>Massage Therapists</v>
          </cell>
          <cell r="C627">
            <v>86270</v>
          </cell>
          <cell r="D627">
            <v>2.7</v>
          </cell>
          <cell r="E627">
            <v>57060</v>
          </cell>
          <cell r="F627">
            <v>1.6</v>
          </cell>
          <cell r="G627">
            <v>49860</v>
          </cell>
        </row>
        <row r="628">
          <cell r="A628" t="str">
            <v>31-9011</v>
          </cell>
          <cell r="B628" t="str">
            <v>Massage Therapists</v>
          </cell>
          <cell r="C628">
            <v>86270</v>
          </cell>
          <cell r="D628">
            <v>2.7</v>
          </cell>
          <cell r="E628">
            <v>57060</v>
          </cell>
          <cell r="F628">
            <v>1.6</v>
          </cell>
          <cell r="G628">
            <v>49860</v>
          </cell>
        </row>
        <row r="629">
          <cell r="A629" t="str">
            <v>31-9090</v>
          </cell>
          <cell r="B629" t="str">
            <v>Miscellaneous Healthcare Support Occupations</v>
          </cell>
          <cell r="C629">
            <v>1628280</v>
          </cell>
          <cell r="D629">
            <v>0.5</v>
          </cell>
          <cell r="E629">
            <v>41280</v>
          </cell>
          <cell r="F629">
            <v>0.2</v>
          </cell>
          <cell r="G629">
            <v>38550</v>
          </cell>
        </row>
        <row r="630">
          <cell r="A630" t="str">
            <v>31-9091</v>
          </cell>
          <cell r="B630" t="str">
            <v>Dental Assistants</v>
          </cell>
          <cell r="C630">
            <v>363880</v>
          </cell>
          <cell r="D630">
            <v>1</v>
          </cell>
          <cell r="E630">
            <v>44710</v>
          </cell>
          <cell r="F630">
            <v>0.4</v>
          </cell>
          <cell r="G630">
            <v>44820</v>
          </cell>
        </row>
        <row r="631">
          <cell r="A631" t="str">
            <v>31-9092</v>
          </cell>
          <cell r="B631" t="str">
            <v>Medical Assistants</v>
          </cell>
          <cell r="C631">
            <v>752460</v>
          </cell>
          <cell r="D631">
            <v>0.7</v>
          </cell>
          <cell r="E631">
            <v>40700</v>
          </cell>
          <cell r="F631">
            <v>0.2</v>
          </cell>
          <cell r="G631">
            <v>38270</v>
          </cell>
        </row>
        <row r="632">
          <cell r="A632" t="str">
            <v>31-9093</v>
          </cell>
          <cell r="B632" t="str">
            <v>Medical Equipment Preparers</v>
          </cell>
          <cell r="C632">
            <v>63890</v>
          </cell>
          <cell r="D632">
            <v>0.8</v>
          </cell>
          <cell r="E632">
            <v>44940</v>
          </cell>
          <cell r="F632">
            <v>0.3</v>
          </cell>
          <cell r="G632">
            <v>41480</v>
          </cell>
        </row>
        <row r="633">
          <cell r="A633" t="str">
            <v>31-9094</v>
          </cell>
          <cell r="B633" t="str">
            <v>Medical Transcriptionists</v>
          </cell>
          <cell r="C633">
            <v>48680</v>
          </cell>
          <cell r="D633">
            <v>2.4</v>
          </cell>
          <cell r="E633">
            <v>37090</v>
          </cell>
          <cell r="F633">
            <v>1</v>
          </cell>
          <cell r="G633">
            <v>34730</v>
          </cell>
        </row>
        <row r="634">
          <cell r="A634" t="str">
            <v>31-9095</v>
          </cell>
          <cell r="B634" t="str">
            <v>Pharmacy Aides</v>
          </cell>
          <cell r="C634">
            <v>43230</v>
          </cell>
          <cell r="D634">
            <v>3.4</v>
          </cell>
          <cell r="E634">
            <v>35870</v>
          </cell>
          <cell r="F634">
            <v>0.7</v>
          </cell>
          <cell r="G634">
            <v>33270</v>
          </cell>
        </row>
        <row r="635">
          <cell r="A635" t="str">
            <v>31-9096</v>
          </cell>
          <cell r="B635" t="str">
            <v>Veterinary Assistants and Laboratory Animal Caretakers</v>
          </cell>
          <cell r="C635">
            <v>111880</v>
          </cell>
          <cell r="D635">
            <v>1.4</v>
          </cell>
          <cell r="E635">
            <v>34490</v>
          </cell>
          <cell r="F635">
            <v>0.5</v>
          </cell>
          <cell r="G635">
            <v>34740</v>
          </cell>
        </row>
        <row r="636">
          <cell r="A636" t="str">
            <v>31-9097</v>
          </cell>
          <cell r="B636" t="str">
            <v>Phlebotomists</v>
          </cell>
          <cell r="C636">
            <v>137090</v>
          </cell>
          <cell r="D636">
            <v>1.8</v>
          </cell>
          <cell r="E636">
            <v>40580</v>
          </cell>
          <cell r="F636">
            <v>0.3</v>
          </cell>
          <cell r="G636">
            <v>38530</v>
          </cell>
        </row>
        <row r="637">
          <cell r="A637" t="str">
            <v>31-9099</v>
          </cell>
          <cell r="B637" t="str">
            <v>Healthcare Support Workers, All Other</v>
          </cell>
          <cell r="C637">
            <v>107170</v>
          </cell>
          <cell r="D637">
            <v>1.6</v>
          </cell>
          <cell r="E637">
            <v>43490</v>
          </cell>
          <cell r="F637">
            <v>0.4</v>
          </cell>
          <cell r="G637">
            <v>40420</v>
          </cell>
        </row>
        <row r="638">
          <cell r="A638" t="str">
            <v>33-0000</v>
          </cell>
          <cell r="B638" t="str">
            <v>Protective Service Occupations</v>
          </cell>
          <cell r="C638">
            <v>3437610</v>
          </cell>
          <cell r="D638">
            <v>0.2</v>
          </cell>
          <cell r="E638">
            <v>54010</v>
          </cell>
          <cell r="F638">
            <v>0.3</v>
          </cell>
          <cell r="G638">
            <v>45450</v>
          </cell>
        </row>
        <row r="639">
          <cell r="A639" t="str">
            <v>33-1000</v>
          </cell>
          <cell r="B639" t="str">
            <v>Supervisors of Protective Service Workers</v>
          </cell>
          <cell r="C639">
            <v>354660</v>
          </cell>
          <cell r="D639">
            <v>0.3</v>
          </cell>
          <cell r="E639">
            <v>81500</v>
          </cell>
          <cell r="F639">
            <v>0.4</v>
          </cell>
          <cell r="G639">
            <v>75750</v>
          </cell>
        </row>
        <row r="640">
          <cell r="A640" t="str">
            <v>33-1010</v>
          </cell>
          <cell r="B640" t="str">
            <v>First-Line Supervisors of Law Enforcement Workers</v>
          </cell>
          <cell r="C640">
            <v>187760</v>
          </cell>
          <cell r="D640">
            <v>0.3</v>
          </cell>
          <cell r="E640">
            <v>90710</v>
          </cell>
          <cell r="F640">
            <v>0.3</v>
          </cell>
          <cell r="G640">
            <v>84350</v>
          </cell>
        </row>
        <row r="641">
          <cell r="A641" t="str">
            <v>33-1011</v>
          </cell>
          <cell r="B641" t="str">
            <v>First-Line Supervisors of Correctional Officers</v>
          </cell>
          <cell r="C641">
            <v>55900</v>
          </cell>
          <cell r="D641">
            <v>0.4</v>
          </cell>
          <cell r="E641">
            <v>70190</v>
          </cell>
          <cell r="F641">
            <v>0.2</v>
          </cell>
          <cell r="G641">
            <v>63310</v>
          </cell>
        </row>
        <row r="642">
          <cell r="A642" t="str">
            <v>33-1012</v>
          </cell>
          <cell r="B642" t="str">
            <v>First-Line Supervisors of Police and Detectives</v>
          </cell>
          <cell r="C642">
            <v>131860</v>
          </cell>
          <cell r="D642">
            <v>0.4</v>
          </cell>
          <cell r="E642">
            <v>99410</v>
          </cell>
          <cell r="F642">
            <v>0.4</v>
          </cell>
          <cell r="G642">
            <v>96290</v>
          </cell>
        </row>
        <row r="643">
          <cell r="A643" t="str">
            <v>33-1020</v>
          </cell>
          <cell r="B643" t="str">
            <v>First-Line Supervisors of Firefighting and Prevention Workers</v>
          </cell>
          <cell r="C643">
            <v>84040</v>
          </cell>
          <cell r="D643">
            <v>1</v>
          </cell>
          <cell r="E643">
            <v>84810</v>
          </cell>
          <cell r="F643">
            <v>0.5</v>
          </cell>
          <cell r="G643">
            <v>80150</v>
          </cell>
        </row>
        <row r="644">
          <cell r="A644" t="str">
            <v>33-1021</v>
          </cell>
          <cell r="B644" t="str">
            <v>First-Line Supervisors of Firefighting and Prevention Workers</v>
          </cell>
          <cell r="C644">
            <v>84040</v>
          </cell>
          <cell r="D644">
            <v>1</v>
          </cell>
          <cell r="E644">
            <v>84810</v>
          </cell>
          <cell r="F644">
            <v>0.5</v>
          </cell>
          <cell r="G644">
            <v>80150</v>
          </cell>
        </row>
        <row r="645">
          <cell r="A645" t="str">
            <v>33-1090</v>
          </cell>
          <cell r="B645" t="str">
            <v>Miscellaneous First-Line Supervisors, Protective Service Workers</v>
          </cell>
          <cell r="C645">
            <v>82860</v>
          </cell>
          <cell r="D645">
            <v>1</v>
          </cell>
          <cell r="E645">
            <v>57280</v>
          </cell>
          <cell r="F645">
            <v>0.6</v>
          </cell>
          <cell r="G645">
            <v>52850</v>
          </cell>
        </row>
        <row r="646">
          <cell r="A646" t="str">
            <v>33-1091</v>
          </cell>
          <cell r="B646" t="str">
            <v>First-Line Supervisors of Security Workers</v>
          </cell>
          <cell r="C646">
            <v>59520</v>
          </cell>
          <cell r="D646">
            <v>1.2</v>
          </cell>
          <cell r="E646">
            <v>54750</v>
          </cell>
          <cell r="F646">
            <v>0.7</v>
          </cell>
          <cell r="G646">
            <v>48810</v>
          </cell>
        </row>
        <row r="647">
          <cell r="A647" t="str">
            <v>33-1099</v>
          </cell>
          <cell r="B647" t="str">
            <v>First-Line Supervisors of Protective Service Workers, All Other</v>
          </cell>
          <cell r="C647">
            <v>23340</v>
          </cell>
          <cell r="D647">
            <v>1.4</v>
          </cell>
          <cell r="E647">
            <v>63730</v>
          </cell>
          <cell r="F647">
            <v>0.7</v>
          </cell>
          <cell r="G647">
            <v>61030</v>
          </cell>
        </row>
        <row r="648">
          <cell r="A648" t="str">
            <v>33-2000</v>
          </cell>
          <cell r="B648" t="str">
            <v>Firefighting and Prevention Workers</v>
          </cell>
          <cell r="C648">
            <v>338250</v>
          </cell>
          <cell r="D648">
            <v>1</v>
          </cell>
          <cell r="E648">
            <v>57200</v>
          </cell>
          <cell r="F648">
            <v>0.6</v>
          </cell>
          <cell r="G648">
            <v>52740</v>
          </cell>
        </row>
        <row r="649">
          <cell r="A649" t="str">
            <v>33-2010</v>
          </cell>
          <cell r="B649" t="str">
            <v>Firefighters</v>
          </cell>
          <cell r="C649">
            <v>321450</v>
          </cell>
          <cell r="D649">
            <v>1</v>
          </cell>
          <cell r="E649">
            <v>56310</v>
          </cell>
          <cell r="F649">
            <v>0.6</v>
          </cell>
          <cell r="G649">
            <v>51680</v>
          </cell>
        </row>
        <row r="650">
          <cell r="A650" t="str">
            <v>33-2011</v>
          </cell>
          <cell r="B650" t="str">
            <v>Firefighters</v>
          </cell>
          <cell r="C650">
            <v>321450</v>
          </cell>
          <cell r="D650">
            <v>1</v>
          </cell>
          <cell r="E650">
            <v>56310</v>
          </cell>
          <cell r="F650">
            <v>0.6</v>
          </cell>
          <cell r="G650">
            <v>51680</v>
          </cell>
        </row>
        <row r="651">
          <cell r="A651" t="str">
            <v>33-2020</v>
          </cell>
          <cell r="B651" t="str">
            <v>Fire Inspectors</v>
          </cell>
          <cell r="C651">
            <v>16800</v>
          </cell>
          <cell r="D651">
            <v>1.9</v>
          </cell>
          <cell r="E651">
            <v>74170</v>
          </cell>
          <cell r="F651">
            <v>0.9</v>
          </cell>
          <cell r="G651">
            <v>65800</v>
          </cell>
        </row>
        <row r="652">
          <cell r="A652" t="str">
            <v>33-2021</v>
          </cell>
          <cell r="B652" t="str">
            <v>Fire Inspectors and Investigators</v>
          </cell>
          <cell r="C652">
            <v>14510</v>
          </cell>
          <cell r="D652">
            <v>2.2000000000000002</v>
          </cell>
          <cell r="E652">
            <v>76910</v>
          </cell>
          <cell r="F652">
            <v>1</v>
          </cell>
          <cell r="G652">
            <v>69450</v>
          </cell>
        </row>
        <row r="653">
          <cell r="A653" t="str">
            <v>33-2022</v>
          </cell>
          <cell r="B653" t="str">
            <v>Forest Fire Inspectors and Prevention Specialists</v>
          </cell>
          <cell r="C653">
            <v>2290</v>
          </cell>
          <cell r="D653">
            <v>2.2999999999999998</v>
          </cell>
          <cell r="E653">
            <v>56780</v>
          </cell>
          <cell r="F653">
            <v>1.5</v>
          </cell>
          <cell r="G653">
            <v>48110</v>
          </cell>
        </row>
        <row r="654">
          <cell r="A654" t="str">
            <v>33-3000</v>
          </cell>
          <cell r="B654" t="str">
            <v>Law Enforcement Workers</v>
          </cell>
          <cell r="C654">
            <v>1161080</v>
          </cell>
          <cell r="D654">
            <v>0.2</v>
          </cell>
          <cell r="E654">
            <v>67580</v>
          </cell>
          <cell r="F654">
            <v>0.3</v>
          </cell>
          <cell r="G654">
            <v>61680</v>
          </cell>
        </row>
        <row r="655">
          <cell r="A655" t="str">
            <v>33-3010</v>
          </cell>
          <cell r="B655" t="str">
            <v>Bailiffs, Correctional Officers, and Jailers</v>
          </cell>
          <cell r="C655">
            <v>379720</v>
          </cell>
          <cell r="D655">
            <v>0.3</v>
          </cell>
          <cell r="E655">
            <v>54760</v>
          </cell>
          <cell r="F655">
            <v>0.3</v>
          </cell>
          <cell r="G655">
            <v>49610</v>
          </cell>
        </row>
        <row r="656">
          <cell r="A656" t="str">
            <v>33-3011</v>
          </cell>
          <cell r="B656" t="str">
            <v>Bailiffs</v>
          </cell>
          <cell r="C656">
            <v>16470</v>
          </cell>
          <cell r="D656">
            <v>1.4</v>
          </cell>
          <cell r="E656">
            <v>54680</v>
          </cell>
          <cell r="F656">
            <v>0.7</v>
          </cell>
          <cell r="G656">
            <v>49100</v>
          </cell>
        </row>
        <row r="657">
          <cell r="A657" t="str">
            <v>33-3012</v>
          </cell>
          <cell r="B657" t="str">
            <v>Correctional Officers and Jailers</v>
          </cell>
          <cell r="C657">
            <v>363250</v>
          </cell>
          <cell r="D657">
            <v>0.3</v>
          </cell>
          <cell r="E657">
            <v>54760</v>
          </cell>
          <cell r="F657">
            <v>0.3</v>
          </cell>
          <cell r="G657">
            <v>49610</v>
          </cell>
        </row>
        <row r="658">
          <cell r="A658" t="str">
            <v>33-3020</v>
          </cell>
          <cell r="B658" t="str">
            <v>Detectives and Criminal Investigators</v>
          </cell>
          <cell r="C658">
            <v>107400</v>
          </cell>
          <cell r="D658">
            <v>0.2</v>
          </cell>
          <cell r="E658">
            <v>91610</v>
          </cell>
          <cell r="F658">
            <v>0.2</v>
          </cell>
          <cell r="G658">
            <v>86280</v>
          </cell>
        </row>
        <row r="659">
          <cell r="A659" t="str">
            <v>33-3021</v>
          </cell>
          <cell r="B659" t="str">
            <v>Detectives and Criminal Investigators</v>
          </cell>
          <cell r="C659">
            <v>107400</v>
          </cell>
          <cell r="D659">
            <v>0.2</v>
          </cell>
          <cell r="E659">
            <v>91610</v>
          </cell>
          <cell r="F659">
            <v>0.2</v>
          </cell>
          <cell r="G659">
            <v>86280</v>
          </cell>
        </row>
        <row r="660">
          <cell r="A660" t="str">
            <v>33-3030</v>
          </cell>
          <cell r="B660" t="str">
            <v>Fish and Game Wardens</v>
          </cell>
          <cell r="C660">
            <v>6530</v>
          </cell>
          <cell r="D660">
            <v>0.4</v>
          </cell>
          <cell r="E660">
            <v>59860</v>
          </cell>
          <cell r="F660">
            <v>0.1</v>
          </cell>
          <cell r="G660">
            <v>59500</v>
          </cell>
        </row>
        <row r="661">
          <cell r="A661" t="str">
            <v>33-3031</v>
          </cell>
          <cell r="B661" t="str">
            <v>Fish and Game Wardens</v>
          </cell>
          <cell r="C661">
            <v>6530</v>
          </cell>
          <cell r="D661">
            <v>0.4</v>
          </cell>
          <cell r="E661">
            <v>59860</v>
          </cell>
          <cell r="F661">
            <v>0.1</v>
          </cell>
          <cell r="G661">
            <v>59500</v>
          </cell>
        </row>
        <row r="662">
          <cell r="A662" t="str">
            <v>33-3040</v>
          </cell>
          <cell r="B662" t="str">
            <v>Parking Enforcement Workers</v>
          </cell>
          <cell r="C662">
            <v>8150</v>
          </cell>
          <cell r="D662">
            <v>4.5</v>
          </cell>
          <cell r="E662">
            <v>44670</v>
          </cell>
          <cell r="F662">
            <v>0.8</v>
          </cell>
          <cell r="G662">
            <v>41570</v>
          </cell>
        </row>
        <row r="663">
          <cell r="A663" t="str">
            <v>33-3041</v>
          </cell>
          <cell r="B663" t="str">
            <v>Parking Enforcement Workers</v>
          </cell>
          <cell r="C663">
            <v>8150</v>
          </cell>
          <cell r="D663">
            <v>4.5</v>
          </cell>
          <cell r="E663">
            <v>44670</v>
          </cell>
          <cell r="F663">
            <v>0.8</v>
          </cell>
          <cell r="G663">
            <v>41570</v>
          </cell>
        </row>
        <row r="664">
          <cell r="A664" t="str">
            <v>33-3050</v>
          </cell>
          <cell r="B664" t="str">
            <v>Police Officers</v>
          </cell>
          <cell r="C664">
            <v>659270</v>
          </cell>
          <cell r="D664">
            <v>0.3</v>
          </cell>
          <cell r="E664">
            <v>71410</v>
          </cell>
          <cell r="F664">
            <v>0.4</v>
          </cell>
          <cell r="G664">
            <v>65810</v>
          </cell>
        </row>
        <row r="665">
          <cell r="A665" t="str">
            <v>33-3051</v>
          </cell>
          <cell r="B665" t="str">
            <v>Police and Sheriff's Patrol Officers</v>
          </cell>
          <cell r="C665">
            <v>655890</v>
          </cell>
          <cell r="D665">
            <v>0.3</v>
          </cell>
          <cell r="E665">
            <v>71380</v>
          </cell>
          <cell r="F665">
            <v>0.4</v>
          </cell>
          <cell r="G665">
            <v>65790</v>
          </cell>
        </row>
        <row r="666">
          <cell r="A666" t="str">
            <v>33-3052</v>
          </cell>
          <cell r="B666" t="str">
            <v>Transit and Railroad Police</v>
          </cell>
          <cell r="C666">
            <v>3370</v>
          </cell>
          <cell r="D666">
            <v>3.1</v>
          </cell>
          <cell r="E666">
            <v>76380</v>
          </cell>
          <cell r="F666">
            <v>1.4</v>
          </cell>
          <cell r="G666">
            <v>69150</v>
          </cell>
        </row>
        <row r="667">
          <cell r="A667" t="str">
            <v>33-9000</v>
          </cell>
          <cell r="B667" t="str">
            <v>Other Protective Service Workers</v>
          </cell>
          <cell r="C667">
            <v>1583620</v>
          </cell>
          <cell r="D667">
            <v>0.4</v>
          </cell>
          <cell r="E667">
            <v>37220</v>
          </cell>
          <cell r="F667">
            <v>0.3</v>
          </cell>
          <cell r="G667">
            <v>34650</v>
          </cell>
        </row>
        <row r="668">
          <cell r="A668" t="str">
            <v>33-9010</v>
          </cell>
          <cell r="B668" t="str">
            <v>Animal Control Workers</v>
          </cell>
          <cell r="C668">
            <v>11490</v>
          </cell>
          <cell r="D668">
            <v>1.4</v>
          </cell>
          <cell r="E668">
            <v>43780</v>
          </cell>
          <cell r="F668">
            <v>0.9</v>
          </cell>
          <cell r="G668">
            <v>39320</v>
          </cell>
        </row>
        <row r="669">
          <cell r="A669" t="str">
            <v>33-9011</v>
          </cell>
          <cell r="B669" t="str">
            <v>Animal Control Workers</v>
          </cell>
          <cell r="C669">
            <v>11490</v>
          </cell>
          <cell r="D669">
            <v>1.4</v>
          </cell>
          <cell r="E669">
            <v>43780</v>
          </cell>
          <cell r="F669">
            <v>0.9</v>
          </cell>
          <cell r="G669">
            <v>39320</v>
          </cell>
        </row>
        <row r="670">
          <cell r="A670" t="str">
            <v>33-9020</v>
          </cell>
          <cell r="B670" t="str">
            <v>Private Detectives and Investigators</v>
          </cell>
          <cell r="C670">
            <v>32050</v>
          </cell>
          <cell r="D670">
            <v>4.9000000000000004</v>
          </cell>
          <cell r="E670">
            <v>59400</v>
          </cell>
          <cell r="F670">
            <v>1.3</v>
          </cell>
          <cell r="G670">
            <v>52120</v>
          </cell>
        </row>
        <row r="671">
          <cell r="A671" t="str">
            <v>33-9021</v>
          </cell>
          <cell r="B671" t="str">
            <v>Private Detectives and Investigators</v>
          </cell>
          <cell r="C671">
            <v>32050</v>
          </cell>
          <cell r="D671">
            <v>4.9000000000000004</v>
          </cell>
          <cell r="E671">
            <v>59400</v>
          </cell>
          <cell r="F671">
            <v>1.3</v>
          </cell>
          <cell r="G671">
            <v>52120</v>
          </cell>
        </row>
        <row r="672">
          <cell r="A672" t="str">
            <v>33-9030</v>
          </cell>
          <cell r="B672" t="str">
            <v>Security Guards and Gambling Surveillance Officers</v>
          </cell>
          <cell r="C672">
            <v>1135390</v>
          </cell>
          <cell r="D672">
            <v>0.4</v>
          </cell>
          <cell r="E672">
            <v>36720</v>
          </cell>
          <cell r="F672">
            <v>0.3</v>
          </cell>
          <cell r="G672">
            <v>34770</v>
          </cell>
        </row>
        <row r="673">
          <cell r="A673" t="str">
            <v>33-9031</v>
          </cell>
          <cell r="B673" t="str">
            <v>Gambling Surveillance Officers and Gambling Investigators</v>
          </cell>
          <cell r="C673">
            <v>10500</v>
          </cell>
          <cell r="D673">
            <v>3.5</v>
          </cell>
          <cell r="E673">
            <v>39290</v>
          </cell>
          <cell r="F673">
            <v>0.6</v>
          </cell>
          <cell r="G673">
            <v>35970</v>
          </cell>
        </row>
        <row r="674">
          <cell r="A674" t="str">
            <v>33-9032</v>
          </cell>
          <cell r="B674" t="str">
            <v>Security Guards</v>
          </cell>
          <cell r="C674">
            <v>1124890</v>
          </cell>
          <cell r="D674">
            <v>0.4</v>
          </cell>
          <cell r="E674">
            <v>36700</v>
          </cell>
          <cell r="F674">
            <v>0.3</v>
          </cell>
          <cell r="G674">
            <v>34750</v>
          </cell>
        </row>
        <row r="675">
          <cell r="A675" t="str">
            <v>33-9090</v>
          </cell>
          <cell r="B675" t="str">
            <v>Miscellaneous Protective Service Workers</v>
          </cell>
          <cell r="C675">
            <v>404680</v>
          </cell>
          <cell r="D675">
            <v>0.8</v>
          </cell>
          <cell r="E675">
            <v>36670</v>
          </cell>
          <cell r="F675">
            <v>0.5</v>
          </cell>
          <cell r="G675">
            <v>32870</v>
          </cell>
        </row>
        <row r="676">
          <cell r="A676" t="str">
            <v>33-9091</v>
          </cell>
          <cell r="B676" t="str">
            <v>Crossing Guards and Flaggers</v>
          </cell>
          <cell r="C676">
            <v>91270</v>
          </cell>
          <cell r="D676">
            <v>2.1</v>
          </cell>
          <cell r="E676">
            <v>37490</v>
          </cell>
          <cell r="F676">
            <v>1.1000000000000001</v>
          </cell>
          <cell r="G676">
            <v>33380</v>
          </cell>
        </row>
        <row r="677">
          <cell r="A677" t="str">
            <v>33-9092</v>
          </cell>
          <cell r="B677" t="str">
            <v>Lifeguards, Ski Patrol, and Other Recreational Protective Service Workers</v>
          </cell>
          <cell r="C677">
            <v>107930</v>
          </cell>
          <cell r="D677">
            <v>1.5</v>
          </cell>
          <cell r="E677">
            <v>28370</v>
          </cell>
          <cell r="F677">
            <v>0.4</v>
          </cell>
          <cell r="G677">
            <v>27270</v>
          </cell>
        </row>
        <row r="678">
          <cell r="A678" t="str">
            <v>33-9093</v>
          </cell>
          <cell r="B678" t="str">
            <v>Transportation Security Screeners</v>
          </cell>
          <cell r="C678">
            <v>47550</v>
          </cell>
          <cell r="D678">
            <v>0.6</v>
          </cell>
          <cell r="E678">
            <v>48520</v>
          </cell>
          <cell r="F678">
            <v>0.2</v>
          </cell>
          <cell r="G678">
            <v>47710</v>
          </cell>
        </row>
        <row r="679">
          <cell r="A679" t="str">
            <v>33-9094</v>
          </cell>
          <cell r="B679" t="str">
            <v>School Bus Monitors</v>
          </cell>
          <cell r="C679">
            <v>64100</v>
          </cell>
          <cell r="D679">
            <v>1.9</v>
          </cell>
          <cell r="E679">
            <v>31040</v>
          </cell>
          <cell r="F679">
            <v>0.4</v>
          </cell>
          <cell r="G679">
            <v>29880</v>
          </cell>
        </row>
        <row r="680">
          <cell r="A680" t="str">
            <v>33-9099</v>
          </cell>
          <cell r="B680" t="str">
            <v>Protective Service Workers, All Other</v>
          </cell>
          <cell r="C680">
            <v>93840</v>
          </cell>
          <cell r="D680">
            <v>2.1</v>
          </cell>
          <cell r="E680">
            <v>43270</v>
          </cell>
          <cell r="F680">
            <v>1.3</v>
          </cell>
          <cell r="G680">
            <v>36460</v>
          </cell>
        </row>
        <row r="681">
          <cell r="A681" t="str">
            <v>35-0000</v>
          </cell>
          <cell r="B681" t="str">
            <v>Food Preparation and Serving Related Occupations</v>
          </cell>
          <cell r="C681">
            <v>12514620</v>
          </cell>
          <cell r="D681">
            <v>0.1</v>
          </cell>
          <cell r="E681">
            <v>32130</v>
          </cell>
          <cell r="F681">
            <v>0.4</v>
          </cell>
          <cell r="G681">
            <v>29640</v>
          </cell>
        </row>
        <row r="682">
          <cell r="A682" t="str">
            <v>35-1000</v>
          </cell>
          <cell r="B682" t="str">
            <v>Supervisors of Food Preparation and Serving Workers</v>
          </cell>
          <cell r="C682">
            <v>1329810</v>
          </cell>
          <cell r="D682">
            <v>0.6</v>
          </cell>
          <cell r="E682">
            <v>43330</v>
          </cell>
          <cell r="F682">
            <v>0.5</v>
          </cell>
          <cell r="G682">
            <v>37930</v>
          </cell>
        </row>
        <row r="683">
          <cell r="A683" t="str">
            <v>35-1010</v>
          </cell>
          <cell r="B683" t="str">
            <v>Supervisors of Food Preparation and Serving Workers</v>
          </cell>
          <cell r="C683">
            <v>1329810</v>
          </cell>
          <cell r="D683">
            <v>0.6</v>
          </cell>
          <cell r="E683">
            <v>43330</v>
          </cell>
          <cell r="F683">
            <v>0.5</v>
          </cell>
          <cell r="G683">
            <v>37930</v>
          </cell>
        </row>
        <row r="684">
          <cell r="A684" t="str">
            <v>35-1011</v>
          </cell>
          <cell r="B684" t="str">
            <v>Chefs and Head Cooks</v>
          </cell>
          <cell r="C684">
            <v>160190</v>
          </cell>
          <cell r="D684">
            <v>2.6</v>
          </cell>
          <cell r="E684">
            <v>60210</v>
          </cell>
          <cell r="F684">
            <v>0.8</v>
          </cell>
          <cell r="G684">
            <v>56520</v>
          </cell>
        </row>
        <row r="685">
          <cell r="A685" t="str">
            <v>35-1012</v>
          </cell>
          <cell r="B685" t="str">
            <v>First-Line Supervisors of Food Preparation and Serving Workers</v>
          </cell>
          <cell r="C685">
            <v>1169620</v>
          </cell>
          <cell r="D685">
            <v>0.6</v>
          </cell>
          <cell r="E685">
            <v>41020</v>
          </cell>
          <cell r="F685">
            <v>0.4</v>
          </cell>
          <cell r="G685">
            <v>37050</v>
          </cell>
        </row>
        <row r="686">
          <cell r="A686" t="str">
            <v>35-2000</v>
          </cell>
          <cell r="B686" t="str">
            <v>Cooks and Food Preparation Workers</v>
          </cell>
          <cell r="C686">
            <v>3521670</v>
          </cell>
          <cell r="D686">
            <v>0.6</v>
          </cell>
          <cell r="E686">
            <v>31730</v>
          </cell>
          <cell r="F686">
            <v>0.4</v>
          </cell>
          <cell r="G686">
            <v>30590</v>
          </cell>
        </row>
        <row r="687">
          <cell r="A687" t="str">
            <v>35-2010</v>
          </cell>
          <cell r="B687" t="str">
            <v>Cooks</v>
          </cell>
          <cell r="C687">
            <v>2617340</v>
          </cell>
          <cell r="D687">
            <v>0.6</v>
          </cell>
          <cell r="E687">
            <v>32080</v>
          </cell>
          <cell r="F687">
            <v>0.4</v>
          </cell>
          <cell r="G687">
            <v>30910</v>
          </cell>
        </row>
        <row r="688">
          <cell r="A688" t="str">
            <v>35-2011</v>
          </cell>
          <cell r="B688" t="str">
            <v>Cooks, Fast Food</v>
          </cell>
          <cell r="C688">
            <v>725590</v>
          </cell>
          <cell r="D688">
            <v>1.7</v>
          </cell>
          <cell r="E688">
            <v>27920</v>
          </cell>
          <cell r="F688">
            <v>0.6</v>
          </cell>
          <cell r="G688">
            <v>27640</v>
          </cell>
        </row>
        <row r="689">
          <cell r="A689" t="str">
            <v>35-2012</v>
          </cell>
          <cell r="B689" t="str">
            <v>Cooks, Institution and Cafeteria</v>
          </cell>
          <cell r="C689">
            <v>417780</v>
          </cell>
          <cell r="D689">
            <v>0.6</v>
          </cell>
          <cell r="E689">
            <v>33670</v>
          </cell>
          <cell r="F689">
            <v>0.4</v>
          </cell>
          <cell r="G689">
            <v>32510</v>
          </cell>
        </row>
        <row r="690">
          <cell r="A690" t="str">
            <v>35-2013</v>
          </cell>
          <cell r="B690" t="str">
            <v>Cooks, Private Household</v>
          </cell>
          <cell r="C690">
            <v>610</v>
          </cell>
          <cell r="D690">
            <v>34.5</v>
          </cell>
          <cell r="E690">
            <v>45510</v>
          </cell>
          <cell r="F690">
            <v>13.6</v>
          </cell>
          <cell r="G690">
            <v>38570</v>
          </cell>
        </row>
        <row r="691">
          <cell r="A691" t="str">
            <v>35-2014</v>
          </cell>
          <cell r="B691" t="str">
            <v>Cooks, Restaurant</v>
          </cell>
          <cell r="C691">
            <v>1321480</v>
          </cell>
          <cell r="D691">
            <v>0.8</v>
          </cell>
          <cell r="E691">
            <v>33940</v>
          </cell>
          <cell r="F691">
            <v>0.5</v>
          </cell>
          <cell r="G691">
            <v>34110</v>
          </cell>
        </row>
        <row r="692">
          <cell r="A692" t="str">
            <v>35-2015</v>
          </cell>
          <cell r="B692" t="str">
            <v>Cooks, Short Order</v>
          </cell>
          <cell r="C692">
            <v>133290</v>
          </cell>
          <cell r="D692">
            <v>6.9</v>
          </cell>
          <cell r="E692">
            <v>30770</v>
          </cell>
          <cell r="F692">
            <v>1</v>
          </cell>
          <cell r="G692">
            <v>30360</v>
          </cell>
        </row>
        <row r="693">
          <cell r="A693" t="str">
            <v>35-2019</v>
          </cell>
          <cell r="B693" t="str">
            <v>Cooks, All Other</v>
          </cell>
          <cell r="C693">
            <v>18590</v>
          </cell>
          <cell r="D693">
            <v>6.7</v>
          </cell>
          <cell r="E693">
            <v>35120</v>
          </cell>
          <cell r="F693">
            <v>1.3</v>
          </cell>
          <cell r="G693">
            <v>33390</v>
          </cell>
        </row>
        <row r="694">
          <cell r="A694" t="str">
            <v>35-2020</v>
          </cell>
          <cell r="B694" t="str">
            <v>Food Preparation Workers</v>
          </cell>
          <cell r="C694">
            <v>904330</v>
          </cell>
          <cell r="D694">
            <v>1.4</v>
          </cell>
          <cell r="E694">
            <v>30720</v>
          </cell>
          <cell r="F694">
            <v>0.4</v>
          </cell>
          <cell r="G694">
            <v>29790</v>
          </cell>
        </row>
        <row r="695">
          <cell r="A695" t="str">
            <v>35-2021</v>
          </cell>
          <cell r="B695" t="str">
            <v>Food Preparation Workers</v>
          </cell>
          <cell r="C695">
            <v>904330</v>
          </cell>
          <cell r="D695">
            <v>1.4</v>
          </cell>
          <cell r="E695">
            <v>30720</v>
          </cell>
          <cell r="F695">
            <v>0.4</v>
          </cell>
          <cell r="G695">
            <v>29790</v>
          </cell>
        </row>
        <row r="696">
          <cell r="A696" t="str">
            <v>35-3000</v>
          </cell>
          <cell r="B696" t="str">
            <v>Food and Beverage Serving Workers</v>
          </cell>
          <cell r="C696">
            <v>6309200</v>
          </cell>
          <cell r="D696">
            <v>0.4</v>
          </cell>
          <cell r="E696">
            <v>30540</v>
          </cell>
          <cell r="F696">
            <v>0.5</v>
          </cell>
          <cell r="G696">
            <v>28440</v>
          </cell>
        </row>
        <row r="697">
          <cell r="A697" t="str">
            <v>35-3010</v>
          </cell>
          <cell r="B697" t="str">
            <v>Bartenders</v>
          </cell>
          <cell r="C697">
            <v>613070</v>
          </cell>
          <cell r="D697">
            <v>1.2</v>
          </cell>
          <cell r="E697">
            <v>34490</v>
          </cell>
          <cell r="F697">
            <v>0.9</v>
          </cell>
          <cell r="G697">
            <v>29380</v>
          </cell>
        </row>
        <row r="698">
          <cell r="A698" t="str">
            <v>35-3011</v>
          </cell>
          <cell r="B698" t="str">
            <v>Bartenders</v>
          </cell>
          <cell r="C698">
            <v>613070</v>
          </cell>
          <cell r="D698">
            <v>1.2</v>
          </cell>
          <cell r="E698">
            <v>34490</v>
          </cell>
          <cell r="F698">
            <v>0.9</v>
          </cell>
          <cell r="G698">
            <v>29380</v>
          </cell>
        </row>
        <row r="699">
          <cell r="A699" t="str">
            <v>35-3020</v>
          </cell>
          <cell r="B699" t="str">
            <v>Fast Food and Counter Workers</v>
          </cell>
          <cell r="C699">
            <v>3325050</v>
          </cell>
          <cell r="D699">
            <v>0.7</v>
          </cell>
          <cell r="E699">
            <v>28130</v>
          </cell>
          <cell r="F699">
            <v>0.4</v>
          </cell>
          <cell r="G699">
            <v>27930</v>
          </cell>
        </row>
        <row r="700">
          <cell r="A700" t="str">
            <v>35-3023</v>
          </cell>
          <cell r="B700" t="str">
            <v>Fast Food and Counter Workers</v>
          </cell>
          <cell r="C700">
            <v>3325050</v>
          </cell>
          <cell r="D700">
            <v>0.7</v>
          </cell>
          <cell r="E700">
            <v>28130</v>
          </cell>
          <cell r="F700">
            <v>0.4</v>
          </cell>
          <cell r="G700">
            <v>27930</v>
          </cell>
        </row>
        <row r="701">
          <cell r="A701" t="str">
            <v>35-3030</v>
          </cell>
          <cell r="B701" t="str">
            <v>Waiters and Waitresses</v>
          </cell>
          <cell r="C701">
            <v>2122210</v>
          </cell>
          <cell r="D701">
            <v>0.7</v>
          </cell>
          <cell r="E701">
            <v>33020</v>
          </cell>
          <cell r="F701">
            <v>0.7</v>
          </cell>
          <cell r="G701">
            <v>29120</v>
          </cell>
        </row>
        <row r="702">
          <cell r="A702" t="str">
            <v>35-3031</v>
          </cell>
          <cell r="B702" t="str">
            <v>Waiters and Waitresses</v>
          </cell>
          <cell r="C702">
            <v>2122210</v>
          </cell>
          <cell r="D702">
            <v>0.7</v>
          </cell>
          <cell r="E702">
            <v>33020</v>
          </cell>
          <cell r="F702">
            <v>0.7</v>
          </cell>
          <cell r="G702">
            <v>29120</v>
          </cell>
        </row>
        <row r="703">
          <cell r="A703" t="str">
            <v>35-3040</v>
          </cell>
          <cell r="B703" t="str">
            <v>Food Servers, Nonrestaurant</v>
          </cell>
          <cell r="C703">
            <v>248870</v>
          </cell>
          <cell r="D703">
            <v>1.2</v>
          </cell>
          <cell r="E703">
            <v>31940</v>
          </cell>
          <cell r="F703">
            <v>0.6</v>
          </cell>
          <cell r="G703">
            <v>30300</v>
          </cell>
        </row>
        <row r="704">
          <cell r="A704" t="str">
            <v>35-3041</v>
          </cell>
          <cell r="B704" t="str">
            <v>Food Servers, Nonrestaurant</v>
          </cell>
          <cell r="C704">
            <v>248870</v>
          </cell>
          <cell r="D704">
            <v>1.2</v>
          </cell>
          <cell r="E704">
            <v>31940</v>
          </cell>
          <cell r="F704">
            <v>0.6</v>
          </cell>
          <cell r="G704">
            <v>30300</v>
          </cell>
        </row>
        <row r="705">
          <cell r="A705" t="str">
            <v>35-9000</v>
          </cell>
          <cell r="B705" t="str">
            <v>Other Food Preparation and Serving Related Workers</v>
          </cell>
          <cell r="C705">
            <v>1353950</v>
          </cell>
          <cell r="D705">
            <v>1</v>
          </cell>
          <cell r="E705">
            <v>29600</v>
          </cell>
          <cell r="F705">
            <v>0.5</v>
          </cell>
          <cell r="G705">
            <v>28750</v>
          </cell>
        </row>
        <row r="706">
          <cell r="A706" t="str">
            <v>35-9010</v>
          </cell>
          <cell r="B706" t="str">
            <v>Dining Room and Cafeteria Attendants and Bartender Helpers</v>
          </cell>
          <cell r="C706">
            <v>439770</v>
          </cell>
          <cell r="D706">
            <v>3</v>
          </cell>
          <cell r="E706">
            <v>30290</v>
          </cell>
          <cell r="F706">
            <v>0.8</v>
          </cell>
          <cell r="G706">
            <v>29120</v>
          </cell>
        </row>
        <row r="707">
          <cell r="A707" t="str">
            <v>35-9011</v>
          </cell>
          <cell r="B707" t="str">
            <v>Dining Room and Cafeteria Attendants and Bartender Helpers</v>
          </cell>
          <cell r="C707">
            <v>439770</v>
          </cell>
          <cell r="D707">
            <v>3</v>
          </cell>
          <cell r="E707">
            <v>30290</v>
          </cell>
          <cell r="F707">
            <v>0.8</v>
          </cell>
          <cell r="G707">
            <v>29120</v>
          </cell>
        </row>
        <row r="708">
          <cell r="A708" t="str">
            <v>35-9020</v>
          </cell>
          <cell r="B708" t="str">
            <v>Dishwashers</v>
          </cell>
          <cell r="C708">
            <v>431840</v>
          </cell>
          <cell r="D708">
            <v>1</v>
          </cell>
          <cell r="E708">
            <v>29560</v>
          </cell>
          <cell r="F708">
            <v>0.5</v>
          </cell>
          <cell r="G708">
            <v>29080</v>
          </cell>
        </row>
        <row r="709">
          <cell r="A709" t="str">
            <v>35-9021</v>
          </cell>
          <cell r="B709" t="str">
            <v>Dishwashers</v>
          </cell>
          <cell r="C709">
            <v>431840</v>
          </cell>
          <cell r="D709">
            <v>1</v>
          </cell>
          <cell r="E709">
            <v>29560</v>
          </cell>
          <cell r="F709">
            <v>0.5</v>
          </cell>
          <cell r="G709">
            <v>29080</v>
          </cell>
        </row>
        <row r="710">
          <cell r="A710" t="str">
            <v>35-9030</v>
          </cell>
          <cell r="B710" t="str">
            <v>Hosts and Hostesses, Restaurant, Lounge, and Coffee Shop</v>
          </cell>
          <cell r="C710">
            <v>400420</v>
          </cell>
          <cell r="D710">
            <v>1.2</v>
          </cell>
          <cell r="E710">
            <v>28380</v>
          </cell>
          <cell r="F710">
            <v>0.6</v>
          </cell>
          <cell r="G710">
            <v>27720</v>
          </cell>
        </row>
        <row r="711">
          <cell r="A711" t="str">
            <v>35-9031</v>
          </cell>
          <cell r="B711" t="str">
            <v>Hosts and Hostesses, Restaurant, Lounge, and Coffee Shop</v>
          </cell>
          <cell r="C711">
            <v>400420</v>
          </cell>
          <cell r="D711">
            <v>1.2</v>
          </cell>
          <cell r="E711">
            <v>28380</v>
          </cell>
          <cell r="F711">
            <v>0.6</v>
          </cell>
          <cell r="G711">
            <v>27720</v>
          </cell>
        </row>
        <row r="712">
          <cell r="A712" t="str">
            <v>35-9090</v>
          </cell>
          <cell r="B712" t="str">
            <v>Miscellaneous Food Preparation and Serving Related Workers</v>
          </cell>
          <cell r="C712">
            <v>81930</v>
          </cell>
          <cell r="D712">
            <v>4.9000000000000004</v>
          </cell>
          <cell r="E712">
            <v>31990</v>
          </cell>
          <cell r="F712">
            <v>1.2</v>
          </cell>
          <cell r="G712">
            <v>30840</v>
          </cell>
        </row>
        <row r="713">
          <cell r="A713" t="str">
            <v>35-9099</v>
          </cell>
          <cell r="B713" t="str">
            <v>Food Preparation and Serving Related Workers, All Other</v>
          </cell>
          <cell r="C713">
            <v>81930</v>
          </cell>
          <cell r="D713">
            <v>4.9000000000000004</v>
          </cell>
          <cell r="E713">
            <v>31990</v>
          </cell>
          <cell r="F713">
            <v>1.2</v>
          </cell>
          <cell r="G713">
            <v>30840</v>
          </cell>
        </row>
        <row r="714">
          <cell r="A714" t="str">
            <v>37-0000</v>
          </cell>
          <cell r="B714" t="str">
            <v>Building and Grounds Cleaning and Maintenance Occupations</v>
          </cell>
          <cell r="C714">
            <v>4316350</v>
          </cell>
          <cell r="D714">
            <v>0.4</v>
          </cell>
          <cell r="E714">
            <v>35900</v>
          </cell>
          <cell r="F714">
            <v>0.3</v>
          </cell>
          <cell r="G714">
            <v>33870</v>
          </cell>
        </row>
        <row r="715">
          <cell r="A715" t="str">
            <v>37-1000</v>
          </cell>
          <cell r="B715" t="str">
            <v>Supervisors of Building and Grounds Cleaning and Maintenance Workers</v>
          </cell>
          <cell r="C715">
            <v>288670</v>
          </cell>
          <cell r="D715">
            <v>0.7</v>
          </cell>
          <cell r="E715">
            <v>50980</v>
          </cell>
          <cell r="F715">
            <v>0.4</v>
          </cell>
          <cell r="G715">
            <v>47230</v>
          </cell>
        </row>
        <row r="716">
          <cell r="A716" t="str">
            <v>37-1010</v>
          </cell>
          <cell r="B716" t="str">
            <v>First-Line Supervisors of Building and Grounds Cleaning and Maintenance Workers</v>
          </cell>
          <cell r="C716">
            <v>288670</v>
          </cell>
          <cell r="D716">
            <v>0.7</v>
          </cell>
          <cell r="E716">
            <v>50980</v>
          </cell>
          <cell r="F716">
            <v>0.4</v>
          </cell>
          <cell r="G716">
            <v>47230</v>
          </cell>
        </row>
        <row r="717">
          <cell r="A717" t="str">
            <v>37-1011</v>
          </cell>
          <cell r="B717" t="str">
            <v>First-Line Supervisors of Housekeeping and Janitorial Workers</v>
          </cell>
          <cell r="C717">
            <v>165750</v>
          </cell>
          <cell r="D717">
            <v>0.7</v>
          </cell>
          <cell r="E717">
            <v>47430</v>
          </cell>
          <cell r="F717">
            <v>0.5</v>
          </cell>
          <cell r="G717">
            <v>44440</v>
          </cell>
        </row>
        <row r="718">
          <cell r="A718" t="str">
            <v>37-1012</v>
          </cell>
          <cell r="B718" t="str">
            <v>First-Line Supervisors of Landscaping, Lawn Service, and Groundskeeping Workers</v>
          </cell>
          <cell r="C718">
            <v>122910</v>
          </cell>
          <cell r="D718">
            <v>1.3</v>
          </cell>
          <cell r="E718">
            <v>55770</v>
          </cell>
          <cell r="F718">
            <v>0.6</v>
          </cell>
          <cell r="G718">
            <v>50810</v>
          </cell>
        </row>
        <row r="719">
          <cell r="A719" t="str">
            <v>37-2000</v>
          </cell>
          <cell r="B719" t="str">
            <v>Building Cleaning and Pest Control Workers</v>
          </cell>
          <cell r="C719">
            <v>3026520</v>
          </cell>
          <cell r="D719">
            <v>0.4</v>
          </cell>
          <cell r="E719">
            <v>33730</v>
          </cell>
          <cell r="F719">
            <v>0.3</v>
          </cell>
          <cell r="G719">
            <v>31600</v>
          </cell>
        </row>
        <row r="720">
          <cell r="A720" t="str">
            <v>37-2010</v>
          </cell>
          <cell r="B720" t="str">
            <v>Building Cleaning Workers</v>
          </cell>
          <cell r="C720">
            <v>2935360</v>
          </cell>
          <cell r="D720">
            <v>0.5</v>
          </cell>
          <cell r="E720">
            <v>33470</v>
          </cell>
          <cell r="F720">
            <v>0.3</v>
          </cell>
          <cell r="G720">
            <v>31350</v>
          </cell>
        </row>
        <row r="721">
          <cell r="A721" t="str">
            <v>37-2011</v>
          </cell>
          <cell r="B721" t="str">
            <v>Janitors and Cleaners, Except Maids and Housekeeping Cleaners</v>
          </cell>
          <cell r="C721">
            <v>2148350</v>
          </cell>
          <cell r="D721">
            <v>0.4</v>
          </cell>
          <cell r="E721">
            <v>33960</v>
          </cell>
          <cell r="F721">
            <v>0.4</v>
          </cell>
          <cell r="G721">
            <v>31990</v>
          </cell>
        </row>
        <row r="722">
          <cell r="A722" t="str">
            <v>37-2012</v>
          </cell>
          <cell r="B722" t="str">
            <v>Maids and Housekeeping Cleaners</v>
          </cell>
          <cell r="C722">
            <v>771390</v>
          </cell>
          <cell r="D722">
            <v>1.3</v>
          </cell>
          <cell r="E722">
            <v>31920</v>
          </cell>
          <cell r="F722">
            <v>0.4</v>
          </cell>
          <cell r="G722">
            <v>29960</v>
          </cell>
        </row>
        <row r="723">
          <cell r="A723" t="str">
            <v>37-2019</v>
          </cell>
          <cell r="B723" t="str">
            <v>Building Cleaning Workers, All Other</v>
          </cell>
          <cell r="C723">
            <v>15630</v>
          </cell>
          <cell r="D723">
            <v>6.9</v>
          </cell>
          <cell r="E723">
            <v>41360</v>
          </cell>
          <cell r="F723">
            <v>2.5</v>
          </cell>
          <cell r="G723">
            <v>37200</v>
          </cell>
        </row>
        <row r="724">
          <cell r="A724" t="str">
            <v>37-2020</v>
          </cell>
          <cell r="B724" t="str">
            <v>Pest Control Workers</v>
          </cell>
          <cell r="C724">
            <v>91160</v>
          </cell>
          <cell r="D724">
            <v>1.2</v>
          </cell>
          <cell r="E724">
            <v>42210</v>
          </cell>
          <cell r="F724">
            <v>0.6</v>
          </cell>
          <cell r="G724">
            <v>38310</v>
          </cell>
        </row>
        <row r="725">
          <cell r="A725" t="str">
            <v>37-2021</v>
          </cell>
          <cell r="B725" t="str">
            <v>Pest Control Workers</v>
          </cell>
          <cell r="C725">
            <v>91160</v>
          </cell>
          <cell r="D725">
            <v>1.2</v>
          </cell>
          <cell r="E725">
            <v>42210</v>
          </cell>
          <cell r="F725">
            <v>0.6</v>
          </cell>
          <cell r="G725">
            <v>38310</v>
          </cell>
        </row>
        <row r="726">
          <cell r="A726" t="str">
            <v>37-3000</v>
          </cell>
          <cell r="B726" t="str">
            <v>Grounds Maintenance Workers</v>
          </cell>
          <cell r="C726">
            <v>1001160</v>
          </cell>
          <cell r="D726">
            <v>0.5</v>
          </cell>
          <cell r="E726">
            <v>38100</v>
          </cell>
          <cell r="F726">
            <v>0.4</v>
          </cell>
          <cell r="G726">
            <v>36160</v>
          </cell>
        </row>
        <row r="727">
          <cell r="A727" t="str">
            <v>37-3010</v>
          </cell>
          <cell r="B727" t="str">
            <v>Grounds Maintenance Workers</v>
          </cell>
          <cell r="C727">
            <v>1001160</v>
          </cell>
          <cell r="D727">
            <v>0.5</v>
          </cell>
          <cell r="E727">
            <v>38100</v>
          </cell>
          <cell r="F727">
            <v>0.4</v>
          </cell>
          <cell r="G727">
            <v>36160</v>
          </cell>
        </row>
        <row r="728">
          <cell r="A728" t="str">
            <v>37-3011</v>
          </cell>
          <cell r="B728" t="str">
            <v>Landscaping and Groundskeeping Workers</v>
          </cell>
          <cell r="C728">
            <v>914230</v>
          </cell>
          <cell r="D728">
            <v>0.6</v>
          </cell>
          <cell r="E728">
            <v>37270</v>
          </cell>
          <cell r="F728">
            <v>0.3</v>
          </cell>
          <cell r="G728">
            <v>35890</v>
          </cell>
        </row>
        <row r="729">
          <cell r="A729" t="str">
            <v>37-3012</v>
          </cell>
          <cell r="B729" t="str">
            <v>Pesticide Handlers, Sprayers, and Applicators, Vegetation</v>
          </cell>
          <cell r="C729">
            <v>22740</v>
          </cell>
          <cell r="D729">
            <v>5</v>
          </cell>
          <cell r="E729">
            <v>42560</v>
          </cell>
          <cell r="F729">
            <v>1.1000000000000001</v>
          </cell>
          <cell r="G729">
            <v>41440</v>
          </cell>
        </row>
        <row r="730">
          <cell r="A730" t="str">
            <v>37-3013</v>
          </cell>
          <cell r="B730" t="str">
            <v>Tree Trimmers and Pruners</v>
          </cell>
          <cell r="C730">
            <v>48150</v>
          </cell>
          <cell r="D730">
            <v>4.4000000000000004</v>
          </cell>
          <cell r="E730">
            <v>49820</v>
          </cell>
          <cell r="F730">
            <v>1.4</v>
          </cell>
          <cell r="G730">
            <v>47080</v>
          </cell>
        </row>
        <row r="731">
          <cell r="A731" t="str">
            <v>37-3019</v>
          </cell>
          <cell r="B731" t="str">
            <v>Grounds Maintenance Workers, All Other</v>
          </cell>
          <cell r="C731">
            <v>16050</v>
          </cell>
          <cell r="D731">
            <v>6.3</v>
          </cell>
          <cell r="E731">
            <v>43750</v>
          </cell>
          <cell r="F731">
            <v>2</v>
          </cell>
          <cell r="G731">
            <v>39520</v>
          </cell>
        </row>
        <row r="732">
          <cell r="A732" t="str">
            <v>39-0000</v>
          </cell>
          <cell r="B732" t="str">
            <v>Personal Care and Service Occupations</v>
          </cell>
          <cell r="C732">
            <v>2835650</v>
          </cell>
          <cell r="D732">
            <v>0.7</v>
          </cell>
          <cell r="E732">
            <v>36210</v>
          </cell>
          <cell r="F732">
            <v>0.5</v>
          </cell>
          <cell r="G732">
            <v>31340</v>
          </cell>
        </row>
        <row r="733">
          <cell r="A733" t="str">
            <v>39-1000</v>
          </cell>
          <cell r="B733" t="str">
            <v>Supervisors of Personal Care and Service Workers</v>
          </cell>
          <cell r="C733">
            <v>205440</v>
          </cell>
          <cell r="D733">
            <v>0.7</v>
          </cell>
          <cell r="E733">
            <v>48790</v>
          </cell>
          <cell r="F733">
            <v>0.5</v>
          </cell>
          <cell r="G733">
            <v>45350</v>
          </cell>
        </row>
        <row r="734">
          <cell r="A734" t="str">
            <v>39-1010</v>
          </cell>
          <cell r="B734" t="str">
            <v>First-Line Supervisors of Entertainment and Recreation Workers</v>
          </cell>
          <cell r="C734">
            <v>100950</v>
          </cell>
          <cell r="D734">
            <v>0.9</v>
          </cell>
          <cell r="E734">
            <v>50310</v>
          </cell>
          <cell r="F734">
            <v>0.5</v>
          </cell>
          <cell r="G734">
            <v>46730</v>
          </cell>
        </row>
        <row r="735">
          <cell r="A735" t="str">
            <v>39-1013</v>
          </cell>
          <cell r="B735" t="str">
            <v>First-Line Supervisors of Gambling Services Workers</v>
          </cell>
          <cell r="C735">
            <v>21900</v>
          </cell>
          <cell r="D735">
            <v>1.1000000000000001</v>
          </cell>
          <cell r="E735">
            <v>56400</v>
          </cell>
          <cell r="F735">
            <v>0.6</v>
          </cell>
          <cell r="G735">
            <v>56290</v>
          </cell>
        </row>
        <row r="736">
          <cell r="A736" t="str">
            <v>39-1014</v>
          </cell>
          <cell r="B736" t="str">
            <v>First-Line Supervisors of Entertainment and Recreation Workers, Except Gambling Services</v>
          </cell>
          <cell r="C736">
            <v>79060</v>
          </cell>
          <cell r="D736">
            <v>1.1000000000000001</v>
          </cell>
          <cell r="E736">
            <v>48630</v>
          </cell>
          <cell r="F736">
            <v>0.6</v>
          </cell>
          <cell r="G736">
            <v>44660</v>
          </cell>
        </row>
        <row r="737">
          <cell r="A737" t="str">
            <v>39-1020</v>
          </cell>
          <cell r="B737" t="str">
            <v>First-Line Supervisors of Personal Service Workers</v>
          </cell>
          <cell r="C737">
            <v>104480</v>
          </cell>
          <cell r="D737">
            <v>1.4</v>
          </cell>
          <cell r="E737">
            <v>47330</v>
          </cell>
          <cell r="F737">
            <v>0.6</v>
          </cell>
          <cell r="G737">
            <v>43680</v>
          </cell>
        </row>
        <row r="738">
          <cell r="A738" t="str">
            <v>39-1022</v>
          </cell>
          <cell r="B738" t="str">
            <v>First-Line Supervisors of Personal Service Workers</v>
          </cell>
          <cell r="C738">
            <v>104480</v>
          </cell>
          <cell r="D738">
            <v>1.4</v>
          </cell>
          <cell r="E738">
            <v>47330</v>
          </cell>
          <cell r="F738">
            <v>0.6</v>
          </cell>
          <cell r="G738">
            <v>43680</v>
          </cell>
        </row>
        <row r="739">
          <cell r="A739" t="str">
            <v>39-2000</v>
          </cell>
          <cell r="B739" t="str">
            <v>Animal Care and Service Workers</v>
          </cell>
          <cell r="C739">
            <v>274380</v>
          </cell>
          <cell r="D739">
            <v>2.6</v>
          </cell>
          <cell r="E739">
            <v>32780</v>
          </cell>
          <cell r="F739">
            <v>0.5</v>
          </cell>
          <cell r="G739">
            <v>29790</v>
          </cell>
        </row>
        <row r="740">
          <cell r="A740" t="str">
            <v>39-2010</v>
          </cell>
          <cell r="B740" t="str">
            <v>Animal Trainers</v>
          </cell>
          <cell r="C740">
            <v>17710</v>
          </cell>
          <cell r="D740">
            <v>3.6</v>
          </cell>
          <cell r="E740">
            <v>41820</v>
          </cell>
          <cell r="F740">
            <v>2.6</v>
          </cell>
          <cell r="G740">
            <v>35620</v>
          </cell>
        </row>
        <row r="741">
          <cell r="A741" t="str">
            <v>39-2011</v>
          </cell>
          <cell r="B741" t="str">
            <v>Animal Trainers</v>
          </cell>
          <cell r="C741">
            <v>17710</v>
          </cell>
          <cell r="D741">
            <v>3.6</v>
          </cell>
          <cell r="E741">
            <v>41820</v>
          </cell>
          <cell r="F741">
            <v>2.6</v>
          </cell>
          <cell r="G741">
            <v>35620</v>
          </cell>
        </row>
        <row r="742">
          <cell r="A742" t="str">
            <v>39-2020</v>
          </cell>
          <cell r="B742" t="str">
            <v>Animal Caretakers</v>
          </cell>
          <cell r="C742">
            <v>256670</v>
          </cell>
          <cell r="D742">
            <v>2.7</v>
          </cell>
          <cell r="E742">
            <v>32160</v>
          </cell>
          <cell r="F742">
            <v>0.6</v>
          </cell>
          <cell r="G742">
            <v>29530</v>
          </cell>
        </row>
        <row r="743">
          <cell r="A743" t="str">
            <v>39-2021</v>
          </cell>
          <cell r="B743" t="str">
            <v>Animal Caretakers</v>
          </cell>
          <cell r="C743">
            <v>256670</v>
          </cell>
          <cell r="D743">
            <v>2.7</v>
          </cell>
          <cell r="E743">
            <v>32160</v>
          </cell>
          <cell r="F743">
            <v>0.6</v>
          </cell>
          <cell r="G743">
            <v>29530</v>
          </cell>
        </row>
        <row r="744">
          <cell r="A744" t="str">
            <v>39-3000</v>
          </cell>
          <cell r="B744" t="str">
            <v>Entertainment Attendants and Related Workers</v>
          </cell>
          <cell r="C744">
            <v>539090</v>
          </cell>
          <cell r="D744">
            <v>0.9</v>
          </cell>
          <cell r="E744">
            <v>29830</v>
          </cell>
          <cell r="F744">
            <v>0.5</v>
          </cell>
          <cell r="G744">
            <v>28060</v>
          </cell>
        </row>
        <row r="745">
          <cell r="A745" t="str">
            <v>39-3010</v>
          </cell>
          <cell r="B745" t="str">
            <v>Gambling Services Workers</v>
          </cell>
          <cell r="C745">
            <v>91460</v>
          </cell>
          <cell r="D745">
            <v>1</v>
          </cell>
          <cell r="E745">
            <v>34170</v>
          </cell>
          <cell r="F745">
            <v>0.8</v>
          </cell>
          <cell r="G745">
            <v>29120</v>
          </cell>
        </row>
        <row r="746">
          <cell r="A746" t="str">
            <v>39-3011</v>
          </cell>
          <cell r="B746" t="str">
            <v>Gambling Dealers</v>
          </cell>
          <cell r="C746">
            <v>71290</v>
          </cell>
          <cell r="D746">
            <v>0.8</v>
          </cell>
          <cell r="E746">
            <v>34350</v>
          </cell>
          <cell r="F746">
            <v>0.9</v>
          </cell>
          <cell r="G746">
            <v>29120</v>
          </cell>
        </row>
        <row r="747">
          <cell r="A747" t="str">
            <v>39-3012</v>
          </cell>
          <cell r="B747" t="str">
            <v>Gambling and Sports Book Writers and Runners</v>
          </cell>
          <cell r="C747">
            <v>7910</v>
          </cell>
          <cell r="D747">
            <v>4.5</v>
          </cell>
          <cell r="E747">
            <v>32310</v>
          </cell>
          <cell r="F747">
            <v>2</v>
          </cell>
          <cell r="G747">
            <v>28940</v>
          </cell>
        </row>
        <row r="748">
          <cell r="A748" t="str">
            <v>39-3019</v>
          </cell>
          <cell r="B748" t="str">
            <v>Gambling Service Workers, All Other</v>
          </cell>
          <cell r="C748">
            <v>12260</v>
          </cell>
          <cell r="D748">
            <v>4.5</v>
          </cell>
          <cell r="E748">
            <v>34340</v>
          </cell>
          <cell r="F748">
            <v>1.2</v>
          </cell>
          <cell r="G748">
            <v>30350</v>
          </cell>
        </row>
        <row r="749">
          <cell r="A749" t="str">
            <v>39-3020</v>
          </cell>
          <cell r="B749" t="str">
            <v>Motion Picture Projectionists</v>
          </cell>
          <cell r="C749">
            <v>1900</v>
          </cell>
          <cell r="D749">
            <v>11.7</v>
          </cell>
          <cell r="E749">
            <v>35710</v>
          </cell>
          <cell r="F749">
            <v>3.5</v>
          </cell>
          <cell r="G749">
            <v>33360</v>
          </cell>
        </row>
        <row r="750">
          <cell r="A750" t="str">
            <v>39-3021</v>
          </cell>
          <cell r="B750" t="str">
            <v>Motion Picture Projectionists</v>
          </cell>
          <cell r="C750">
            <v>1900</v>
          </cell>
          <cell r="D750">
            <v>11.7</v>
          </cell>
          <cell r="E750">
            <v>35710</v>
          </cell>
          <cell r="F750">
            <v>3.5</v>
          </cell>
          <cell r="G750">
            <v>33360</v>
          </cell>
        </row>
        <row r="751">
          <cell r="A751" t="str">
            <v>39-3030</v>
          </cell>
          <cell r="B751" t="str">
            <v>Ushers, Lobby Attendants, and Ticket Takers</v>
          </cell>
          <cell r="C751">
            <v>98350</v>
          </cell>
          <cell r="D751">
            <v>2.1</v>
          </cell>
          <cell r="E751">
            <v>28700</v>
          </cell>
          <cell r="F751">
            <v>0.7</v>
          </cell>
          <cell r="G751">
            <v>27650</v>
          </cell>
        </row>
        <row r="752">
          <cell r="A752" t="str">
            <v>39-3031</v>
          </cell>
          <cell r="B752" t="str">
            <v>Ushers, Lobby Attendants, and Ticket Takers</v>
          </cell>
          <cell r="C752">
            <v>98350</v>
          </cell>
          <cell r="D752">
            <v>2.1</v>
          </cell>
          <cell r="E752">
            <v>28700</v>
          </cell>
          <cell r="F752">
            <v>0.7</v>
          </cell>
          <cell r="G752">
            <v>27650</v>
          </cell>
        </row>
        <row r="753">
          <cell r="A753" t="str">
            <v>39-3090</v>
          </cell>
          <cell r="B753" t="str">
            <v>Miscellaneous Entertainment Attendants and Related Workers</v>
          </cell>
          <cell r="C753">
            <v>347380</v>
          </cell>
          <cell r="D753">
            <v>1.3</v>
          </cell>
          <cell r="E753">
            <v>28980</v>
          </cell>
          <cell r="F753">
            <v>0.5</v>
          </cell>
          <cell r="G753">
            <v>27930</v>
          </cell>
        </row>
        <row r="754">
          <cell r="A754" t="str">
            <v>39-3091</v>
          </cell>
          <cell r="B754" t="str">
            <v>Amusement and Recreation Attendants</v>
          </cell>
          <cell r="C754">
            <v>324580</v>
          </cell>
          <cell r="D754">
            <v>1.4</v>
          </cell>
          <cell r="E754">
            <v>28350</v>
          </cell>
          <cell r="F754">
            <v>0.6</v>
          </cell>
          <cell r="G754">
            <v>27780</v>
          </cell>
        </row>
        <row r="755">
          <cell r="A755" t="str">
            <v>39-3092</v>
          </cell>
          <cell r="B755" t="str">
            <v>Costume Attendants</v>
          </cell>
          <cell r="C755">
            <v>5730</v>
          </cell>
          <cell r="D755">
            <v>3.4</v>
          </cell>
          <cell r="E755">
            <v>55070</v>
          </cell>
          <cell r="F755">
            <v>1.3</v>
          </cell>
          <cell r="G755">
            <v>48470</v>
          </cell>
        </row>
        <row r="756">
          <cell r="A756" t="str">
            <v>39-3093</v>
          </cell>
          <cell r="B756" t="str">
            <v>Locker Room, Coatroom, and Dressing Room Attendants</v>
          </cell>
          <cell r="C756">
            <v>12130</v>
          </cell>
          <cell r="D756">
            <v>3.9</v>
          </cell>
          <cell r="E756">
            <v>32560</v>
          </cell>
          <cell r="F756">
            <v>1.2</v>
          </cell>
          <cell r="G756">
            <v>30210</v>
          </cell>
        </row>
        <row r="757">
          <cell r="A757" t="str">
            <v>39-3099</v>
          </cell>
          <cell r="B757" t="str">
            <v>Entertainment Attendants and Related Workers, All Other</v>
          </cell>
          <cell r="C757">
            <v>4930</v>
          </cell>
          <cell r="D757">
            <v>7.3</v>
          </cell>
          <cell r="E757">
            <v>30810</v>
          </cell>
          <cell r="F757">
            <v>2.2999999999999998</v>
          </cell>
          <cell r="G757">
            <v>27260</v>
          </cell>
        </row>
        <row r="758">
          <cell r="A758" t="str">
            <v>39-4000</v>
          </cell>
          <cell r="B758" t="str">
            <v>Funeral Service Workers</v>
          </cell>
          <cell r="C758">
            <v>63770</v>
          </cell>
          <cell r="D758">
            <v>1.2</v>
          </cell>
          <cell r="E758">
            <v>45010</v>
          </cell>
          <cell r="F758">
            <v>1.3</v>
          </cell>
          <cell r="G758">
            <v>37310</v>
          </cell>
        </row>
        <row r="759">
          <cell r="A759" t="str">
            <v>39-4010</v>
          </cell>
          <cell r="B759" t="str">
            <v>Embalmers and Crematory Operators</v>
          </cell>
          <cell r="C759">
            <v>6880</v>
          </cell>
          <cell r="D759">
            <v>4.9000000000000004</v>
          </cell>
          <cell r="E759">
            <v>49440</v>
          </cell>
          <cell r="F759">
            <v>1.8</v>
          </cell>
          <cell r="G759">
            <v>46290</v>
          </cell>
        </row>
        <row r="760">
          <cell r="A760" t="str">
            <v>39-4011</v>
          </cell>
          <cell r="B760" t="str">
            <v>Embalmers</v>
          </cell>
          <cell r="C760">
            <v>3950</v>
          </cell>
          <cell r="D760">
            <v>4</v>
          </cell>
          <cell r="E760">
            <v>54120</v>
          </cell>
          <cell r="F760">
            <v>1.8</v>
          </cell>
          <cell r="G760">
            <v>49910</v>
          </cell>
        </row>
        <row r="761">
          <cell r="A761" t="str">
            <v>39-4012</v>
          </cell>
          <cell r="B761" t="str">
            <v>Crematory Operators</v>
          </cell>
          <cell r="C761">
            <v>2930</v>
          </cell>
          <cell r="D761">
            <v>10.8</v>
          </cell>
          <cell r="E761">
            <v>43120</v>
          </cell>
          <cell r="F761">
            <v>1.7</v>
          </cell>
          <cell r="G761">
            <v>40360</v>
          </cell>
        </row>
        <row r="762">
          <cell r="A762" t="str">
            <v>39-4020</v>
          </cell>
          <cell r="B762" t="str">
            <v>Funeral Attendants</v>
          </cell>
          <cell r="C762">
            <v>32950</v>
          </cell>
          <cell r="D762">
            <v>1.7</v>
          </cell>
          <cell r="E762">
            <v>34340</v>
          </cell>
          <cell r="F762">
            <v>1.3</v>
          </cell>
          <cell r="G762">
            <v>31160</v>
          </cell>
        </row>
        <row r="763">
          <cell r="A763" t="str">
            <v>39-4021</v>
          </cell>
          <cell r="B763" t="str">
            <v>Funeral Attendants</v>
          </cell>
          <cell r="C763">
            <v>32950</v>
          </cell>
          <cell r="D763">
            <v>1.7</v>
          </cell>
          <cell r="E763">
            <v>34340</v>
          </cell>
          <cell r="F763">
            <v>1.3</v>
          </cell>
          <cell r="G763">
            <v>31160</v>
          </cell>
        </row>
        <row r="764">
          <cell r="A764" t="str">
            <v>39-4030</v>
          </cell>
          <cell r="B764" t="str">
            <v>Morticians, Undertakers, and Funeral Arrangers</v>
          </cell>
          <cell r="C764">
            <v>23940</v>
          </cell>
          <cell r="D764">
            <v>2.2999999999999998</v>
          </cell>
          <cell r="E764">
            <v>58430</v>
          </cell>
          <cell r="F764">
            <v>1.6</v>
          </cell>
          <cell r="G764">
            <v>51570</v>
          </cell>
        </row>
        <row r="765">
          <cell r="A765" t="str">
            <v>39-4031</v>
          </cell>
          <cell r="B765" t="str">
            <v>Morticians, Undertakers, and Funeral Arrangers</v>
          </cell>
          <cell r="C765">
            <v>23940</v>
          </cell>
          <cell r="D765">
            <v>2.2999999999999998</v>
          </cell>
          <cell r="E765">
            <v>58430</v>
          </cell>
          <cell r="F765">
            <v>1.6</v>
          </cell>
          <cell r="G765">
            <v>51570</v>
          </cell>
        </row>
        <row r="766">
          <cell r="A766" t="str">
            <v>39-5000</v>
          </cell>
          <cell r="B766" t="str">
            <v>Personal Appearance Workers</v>
          </cell>
          <cell r="C766">
            <v>521210</v>
          </cell>
          <cell r="D766">
            <v>0.9</v>
          </cell>
          <cell r="E766">
            <v>38720</v>
          </cell>
          <cell r="F766">
            <v>0.8</v>
          </cell>
          <cell r="G766">
            <v>33270</v>
          </cell>
        </row>
        <row r="767">
          <cell r="A767" t="str">
            <v>39-5010</v>
          </cell>
          <cell r="B767" t="str">
            <v>Barbers, Hairdressers, Hairstylists and Cosmetologists</v>
          </cell>
          <cell r="C767">
            <v>310750</v>
          </cell>
          <cell r="D767">
            <v>2.5</v>
          </cell>
          <cell r="E767">
            <v>38930</v>
          </cell>
          <cell r="F767">
            <v>0.9</v>
          </cell>
          <cell r="G767">
            <v>33400</v>
          </cell>
        </row>
        <row r="768">
          <cell r="A768" t="str">
            <v>39-5011</v>
          </cell>
          <cell r="B768" t="str">
            <v>Barbers</v>
          </cell>
          <cell r="C768">
            <v>12690</v>
          </cell>
          <cell r="D768">
            <v>16.8</v>
          </cell>
          <cell r="E768">
            <v>39350</v>
          </cell>
          <cell r="F768">
            <v>2.5</v>
          </cell>
          <cell r="G768">
            <v>34990</v>
          </cell>
        </row>
        <row r="769">
          <cell r="A769" t="str">
            <v>39-5012</v>
          </cell>
          <cell r="B769" t="str">
            <v>Hairdressers, Hairstylists, and Cosmetologists</v>
          </cell>
          <cell r="C769">
            <v>298050</v>
          </cell>
          <cell r="D769">
            <v>3.2</v>
          </cell>
          <cell r="E769">
            <v>38910</v>
          </cell>
          <cell r="F769">
            <v>1</v>
          </cell>
          <cell r="G769">
            <v>33290</v>
          </cell>
        </row>
        <row r="770">
          <cell r="A770" t="str">
            <v>39-5090</v>
          </cell>
          <cell r="B770" t="str">
            <v>Miscellaneous Personal Appearance Workers</v>
          </cell>
          <cell r="C770">
            <v>210460</v>
          </cell>
          <cell r="D770">
            <v>2</v>
          </cell>
          <cell r="E770">
            <v>38400</v>
          </cell>
          <cell r="F770">
            <v>1.7</v>
          </cell>
          <cell r="G770">
            <v>33000</v>
          </cell>
        </row>
        <row r="771">
          <cell r="A771" t="str">
            <v>39-5091</v>
          </cell>
          <cell r="B771" t="str">
            <v>Makeup Artists, Theatrical and Performance</v>
          </cell>
          <cell r="C771">
            <v>2970</v>
          </cell>
          <cell r="D771">
            <v>17.8</v>
          </cell>
          <cell r="E771">
            <v>93850</v>
          </cell>
          <cell r="F771">
            <v>5.8</v>
          </cell>
          <cell r="G771">
            <v>96370</v>
          </cell>
        </row>
        <row r="772">
          <cell r="A772" t="str">
            <v>39-5092</v>
          </cell>
          <cell r="B772" t="str">
            <v>Manicurists and Pedicurists</v>
          </cell>
          <cell r="C772">
            <v>138020</v>
          </cell>
          <cell r="D772">
            <v>1.9</v>
          </cell>
          <cell r="E772">
            <v>33560</v>
          </cell>
          <cell r="F772">
            <v>1</v>
          </cell>
          <cell r="G772">
            <v>31130</v>
          </cell>
        </row>
        <row r="773">
          <cell r="A773" t="str">
            <v>39-5093</v>
          </cell>
          <cell r="B773" t="str">
            <v>Shampooers</v>
          </cell>
          <cell r="C773">
            <v>7480</v>
          </cell>
          <cell r="D773">
            <v>8.5</v>
          </cell>
          <cell r="E773">
            <v>27870</v>
          </cell>
          <cell r="F773">
            <v>2.1</v>
          </cell>
          <cell r="G773">
            <v>27860</v>
          </cell>
        </row>
        <row r="774">
          <cell r="A774" t="str">
            <v>39-5094</v>
          </cell>
          <cell r="B774" t="str">
            <v>Skincare Specialists</v>
          </cell>
          <cell r="C774">
            <v>61990</v>
          </cell>
          <cell r="D774">
            <v>3.9</v>
          </cell>
          <cell r="E774">
            <v>47790</v>
          </cell>
          <cell r="F774">
            <v>3.3</v>
          </cell>
          <cell r="G774">
            <v>38060</v>
          </cell>
        </row>
        <row r="775">
          <cell r="A775" t="str">
            <v>39-6000</v>
          </cell>
          <cell r="B775" t="str">
            <v>Baggage Porters, Bellhops, and Concierges</v>
          </cell>
          <cell r="C775">
            <v>64120</v>
          </cell>
          <cell r="D775">
            <v>3.6</v>
          </cell>
          <cell r="E775">
            <v>36140</v>
          </cell>
          <cell r="F775">
            <v>1</v>
          </cell>
          <cell r="G775">
            <v>33870</v>
          </cell>
        </row>
        <row r="776">
          <cell r="A776" t="str">
            <v>39-6010</v>
          </cell>
          <cell r="B776" t="str">
            <v>Baggage Porters, Bellhops, and Concierges</v>
          </cell>
          <cell r="C776">
            <v>64120</v>
          </cell>
          <cell r="D776">
            <v>3.6</v>
          </cell>
          <cell r="E776">
            <v>36140</v>
          </cell>
          <cell r="F776">
            <v>1</v>
          </cell>
          <cell r="G776">
            <v>33870</v>
          </cell>
        </row>
        <row r="777">
          <cell r="A777" t="str">
            <v>39-6011</v>
          </cell>
          <cell r="B777" t="str">
            <v>Baggage Porters and Bellhops</v>
          </cell>
          <cell r="C777">
            <v>26520</v>
          </cell>
          <cell r="D777">
            <v>3.3</v>
          </cell>
          <cell r="E777">
            <v>33130</v>
          </cell>
          <cell r="F777">
            <v>1.3</v>
          </cell>
          <cell r="G777">
            <v>31510</v>
          </cell>
        </row>
        <row r="778">
          <cell r="A778" t="str">
            <v>39-6012</v>
          </cell>
          <cell r="B778" t="str">
            <v>Concierges</v>
          </cell>
          <cell r="C778">
            <v>37600</v>
          </cell>
          <cell r="D778">
            <v>4.8</v>
          </cell>
          <cell r="E778">
            <v>38270</v>
          </cell>
          <cell r="F778">
            <v>1.3</v>
          </cell>
          <cell r="G778">
            <v>35560</v>
          </cell>
        </row>
        <row r="779">
          <cell r="A779" t="str">
            <v>39-7000</v>
          </cell>
          <cell r="B779" t="str">
            <v>Tour and Travel Guides</v>
          </cell>
          <cell r="C779">
            <v>41180</v>
          </cell>
          <cell r="D779">
            <v>3</v>
          </cell>
          <cell r="E779">
            <v>37790</v>
          </cell>
          <cell r="F779">
            <v>1.2</v>
          </cell>
          <cell r="G779">
            <v>34440</v>
          </cell>
        </row>
        <row r="780">
          <cell r="A780" t="str">
            <v>39-7010</v>
          </cell>
          <cell r="B780" t="str">
            <v>Tour and Travel Guides</v>
          </cell>
          <cell r="C780">
            <v>41180</v>
          </cell>
          <cell r="D780">
            <v>3</v>
          </cell>
          <cell r="E780">
            <v>37790</v>
          </cell>
          <cell r="F780">
            <v>1.2</v>
          </cell>
          <cell r="G780">
            <v>34440</v>
          </cell>
        </row>
        <row r="781">
          <cell r="A781" t="str">
            <v>39-7010</v>
          </cell>
          <cell r="B781" t="str">
            <v>Tour and Travel Guides</v>
          </cell>
          <cell r="C781">
            <v>41180</v>
          </cell>
          <cell r="D781">
            <v>3</v>
          </cell>
          <cell r="E781">
            <v>37790</v>
          </cell>
          <cell r="F781">
            <v>1.2</v>
          </cell>
          <cell r="G781">
            <v>34440</v>
          </cell>
        </row>
        <row r="782">
          <cell r="A782" t="str">
            <v>39-9000</v>
          </cell>
          <cell r="B782" t="str">
            <v>Other Personal Care and Service Workers</v>
          </cell>
          <cell r="C782">
            <v>1126460</v>
          </cell>
          <cell r="D782">
            <v>0.7</v>
          </cell>
          <cell r="E782">
            <v>36080</v>
          </cell>
          <cell r="F782">
            <v>0.7</v>
          </cell>
          <cell r="G782">
            <v>31570</v>
          </cell>
        </row>
        <row r="783">
          <cell r="A783" t="str">
            <v>39-9010</v>
          </cell>
          <cell r="B783" t="str">
            <v>Childcare Workers</v>
          </cell>
          <cell r="C783">
            <v>459460</v>
          </cell>
          <cell r="D783">
            <v>2.1</v>
          </cell>
          <cell r="E783">
            <v>29570</v>
          </cell>
          <cell r="F783">
            <v>0.5</v>
          </cell>
          <cell r="G783">
            <v>28520</v>
          </cell>
        </row>
        <row r="784">
          <cell r="A784" t="str">
            <v>39-9011</v>
          </cell>
          <cell r="B784" t="str">
            <v>Childcare Workers</v>
          </cell>
          <cell r="C784">
            <v>459460</v>
          </cell>
          <cell r="D784">
            <v>2.1</v>
          </cell>
          <cell r="E784">
            <v>29570</v>
          </cell>
          <cell r="F784">
            <v>0.5</v>
          </cell>
          <cell r="G784">
            <v>28520</v>
          </cell>
        </row>
        <row r="785">
          <cell r="A785" t="str">
            <v>39-9030</v>
          </cell>
          <cell r="B785" t="str">
            <v>Recreation and Fitness Workers</v>
          </cell>
          <cell r="C785">
            <v>520920</v>
          </cell>
          <cell r="D785">
            <v>1.2</v>
          </cell>
          <cell r="E785">
            <v>41870</v>
          </cell>
          <cell r="F785">
            <v>1</v>
          </cell>
          <cell r="G785">
            <v>35170</v>
          </cell>
        </row>
        <row r="786">
          <cell r="A786" t="str">
            <v>39-9031</v>
          </cell>
          <cell r="B786" t="str">
            <v>Exercise Trainers and Group Fitness Instructors</v>
          </cell>
          <cell r="C786">
            <v>250540</v>
          </cell>
          <cell r="D786">
            <v>1.6</v>
          </cell>
          <cell r="E786">
            <v>50170</v>
          </cell>
          <cell r="F786">
            <v>1.6</v>
          </cell>
          <cell r="G786">
            <v>45380</v>
          </cell>
        </row>
        <row r="787">
          <cell r="A787" t="str">
            <v>39-9032</v>
          </cell>
          <cell r="B787" t="str">
            <v>Recreation Workers</v>
          </cell>
          <cell r="C787">
            <v>270380</v>
          </cell>
          <cell r="D787">
            <v>1.1000000000000001</v>
          </cell>
          <cell r="E787">
            <v>34170</v>
          </cell>
          <cell r="F787">
            <v>0.5</v>
          </cell>
          <cell r="G787">
            <v>31680</v>
          </cell>
        </row>
        <row r="788">
          <cell r="A788" t="str">
            <v>39-9040</v>
          </cell>
          <cell r="B788" t="str">
            <v>Residential Advisors</v>
          </cell>
          <cell r="C788">
            <v>86770</v>
          </cell>
          <cell r="D788">
            <v>2</v>
          </cell>
          <cell r="E788">
            <v>37530</v>
          </cell>
          <cell r="F788">
            <v>0.6</v>
          </cell>
          <cell r="G788">
            <v>35720</v>
          </cell>
        </row>
        <row r="789">
          <cell r="A789" t="str">
            <v>39-9041</v>
          </cell>
          <cell r="B789" t="str">
            <v>Residential Advisors</v>
          </cell>
          <cell r="C789">
            <v>86770</v>
          </cell>
          <cell r="D789">
            <v>2</v>
          </cell>
          <cell r="E789">
            <v>37530</v>
          </cell>
          <cell r="F789">
            <v>0.6</v>
          </cell>
          <cell r="G789">
            <v>35720</v>
          </cell>
        </row>
        <row r="790">
          <cell r="A790" t="str">
            <v>39-9090</v>
          </cell>
          <cell r="B790" t="str">
            <v>Miscellaneous Personal Care and Service Workers</v>
          </cell>
          <cell r="C790">
            <v>59310</v>
          </cell>
          <cell r="D790">
            <v>3</v>
          </cell>
          <cell r="E790">
            <v>33580</v>
          </cell>
          <cell r="F790">
            <v>0.8</v>
          </cell>
          <cell r="G790">
            <v>34670</v>
          </cell>
        </row>
        <row r="791">
          <cell r="A791" t="str">
            <v>39-9099</v>
          </cell>
          <cell r="B791" t="str">
            <v>Personal Care and Service Workers, All Other</v>
          </cell>
          <cell r="C791">
            <v>59310</v>
          </cell>
          <cell r="D791">
            <v>3</v>
          </cell>
          <cell r="E791">
            <v>33580</v>
          </cell>
          <cell r="F791">
            <v>0.8</v>
          </cell>
          <cell r="G791">
            <v>34670</v>
          </cell>
        </row>
        <row r="792">
          <cell r="A792" t="str">
            <v>41-0000</v>
          </cell>
          <cell r="B792" t="str">
            <v>Sales and Related Occupations</v>
          </cell>
          <cell r="C792">
            <v>13183250</v>
          </cell>
          <cell r="D792">
            <v>0.3</v>
          </cell>
          <cell r="E792">
            <v>50370</v>
          </cell>
          <cell r="F792">
            <v>0.6</v>
          </cell>
          <cell r="G792">
            <v>35290</v>
          </cell>
        </row>
        <row r="793">
          <cell r="A793" t="str">
            <v>41-1000</v>
          </cell>
          <cell r="B793" t="str">
            <v>Supervisors of Sales Workers</v>
          </cell>
          <cell r="C793">
            <v>1334680</v>
          </cell>
          <cell r="D793">
            <v>0.5</v>
          </cell>
          <cell r="E793">
            <v>58450</v>
          </cell>
          <cell r="F793">
            <v>0.4</v>
          </cell>
          <cell r="G793">
            <v>47800</v>
          </cell>
        </row>
        <row r="794">
          <cell r="A794" t="str">
            <v>41-1010</v>
          </cell>
          <cell r="B794" t="str">
            <v>First-Line Supervisors of Sales Workers</v>
          </cell>
          <cell r="C794">
            <v>1334680</v>
          </cell>
          <cell r="D794">
            <v>0.5</v>
          </cell>
          <cell r="E794">
            <v>58450</v>
          </cell>
          <cell r="F794">
            <v>0.4</v>
          </cell>
          <cell r="G794">
            <v>47800</v>
          </cell>
        </row>
        <row r="795">
          <cell r="A795" t="str">
            <v>41-1011</v>
          </cell>
          <cell r="B795" t="str">
            <v>First-Line Supervisors of Retail Sales Workers</v>
          </cell>
          <cell r="C795">
            <v>1097160</v>
          </cell>
          <cell r="D795">
            <v>0.8</v>
          </cell>
          <cell r="E795">
            <v>50130</v>
          </cell>
          <cell r="F795">
            <v>0.3</v>
          </cell>
          <cell r="G795">
            <v>45250</v>
          </cell>
        </row>
        <row r="796">
          <cell r="A796" t="str">
            <v>41-1012</v>
          </cell>
          <cell r="B796" t="str">
            <v>First-Line Supervisors of Non-Retail Sales Workers</v>
          </cell>
          <cell r="C796">
            <v>237520</v>
          </cell>
          <cell r="D796">
            <v>1.2</v>
          </cell>
          <cell r="E796">
            <v>96890</v>
          </cell>
          <cell r="F796">
            <v>0.5</v>
          </cell>
          <cell r="G796">
            <v>82850</v>
          </cell>
        </row>
        <row r="797">
          <cell r="A797" t="str">
            <v>41-2000</v>
          </cell>
          <cell r="B797" t="str">
            <v>Retail Sales Workers</v>
          </cell>
          <cell r="C797">
            <v>7584940</v>
          </cell>
          <cell r="D797">
            <v>0.7</v>
          </cell>
          <cell r="E797">
            <v>32500</v>
          </cell>
          <cell r="F797">
            <v>0.2</v>
          </cell>
          <cell r="G797">
            <v>29660</v>
          </cell>
        </row>
        <row r="798">
          <cell r="A798" t="str">
            <v>41-2010</v>
          </cell>
          <cell r="B798" t="str">
            <v>Cashiers</v>
          </cell>
          <cell r="C798">
            <v>3314840</v>
          </cell>
          <cell r="D798">
            <v>0.7</v>
          </cell>
          <cell r="E798">
            <v>28760</v>
          </cell>
          <cell r="F798">
            <v>0.3</v>
          </cell>
          <cell r="G798">
            <v>28250</v>
          </cell>
        </row>
        <row r="799">
          <cell r="A799" t="str">
            <v>41-2011</v>
          </cell>
          <cell r="B799" t="str">
            <v>Cashiers</v>
          </cell>
          <cell r="C799">
            <v>3296040</v>
          </cell>
          <cell r="D799">
            <v>0.7</v>
          </cell>
          <cell r="E799">
            <v>28730</v>
          </cell>
          <cell r="F799">
            <v>0.3</v>
          </cell>
          <cell r="G799">
            <v>28240</v>
          </cell>
        </row>
        <row r="800">
          <cell r="A800" t="str">
            <v>41-2012</v>
          </cell>
          <cell r="B800" t="str">
            <v>Gambling Change Persons and Booth Cashiers</v>
          </cell>
          <cell r="C800">
            <v>18800</v>
          </cell>
          <cell r="D800">
            <v>1.8</v>
          </cell>
          <cell r="E800">
            <v>32950</v>
          </cell>
          <cell r="F800">
            <v>0.7</v>
          </cell>
          <cell r="G800">
            <v>30010</v>
          </cell>
        </row>
        <row r="801">
          <cell r="A801" t="str">
            <v>41-2020</v>
          </cell>
          <cell r="B801" t="str">
            <v>Counter and Rental Clerks and Parts Salespersons</v>
          </cell>
          <cell r="C801">
            <v>630050</v>
          </cell>
          <cell r="D801">
            <v>1.4</v>
          </cell>
          <cell r="E801">
            <v>39290</v>
          </cell>
          <cell r="F801">
            <v>0.4</v>
          </cell>
          <cell r="G801">
            <v>35820</v>
          </cell>
        </row>
        <row r="802">
          <cell r="A802" t="str">
            <v>41-2021</v>
          </cell>
          <cell r="B802" t="str">
            <v>Counter and Rental Clerks</v>
          </cell>
          <cell r="C802">
            <v>370770</v>
          </cell>
          <cell r="D802">
            <v>1.3</v>
          </cell>
          <cell r="E802">
            <v>39320</v>
          </cell>
          <cell r="F802">
            <v>0.5</v>
          </cell>
          <cell r="G802">
            <v>35830</v>
          </cell>
        </row>
        <row r="803">
          <cell r="A803" t="str">
            <v>41-2022</v>
          </cell>
          <cell r="B803" t="str">
            <v>Parts Salespersons</v>
          </cell>
          <cell r="C803">
            <v>259280</v>
          </cell>
          <cell r="D803">
            <v>2</v>
          </cell>
          <cell r="E803">
            <v>39250</v>
          </cell>
          <cell r="F803">
            <v>0.4</v>
          </cell>
          <cell r="G803">
            <v>35800</v>
          </cell>
        </row>
        <row r="804">
          <cell r="A804" t="str">
            <v>41-2030</v>
          </cell>
          <cell r="B804" t="str">
            <v>Retail Salespersons</v>
          </cell>
          <cell r="C804">
            <v>3640040</v>
          </cell>
          <cell r="D804">
            <v>0.6</v>
          </cell>
          <cell r="E804">
            <v>34730</v>
          </cell>
          <cell r="F804">
            <v>0.3</v>
          </cell>
          <cell r="G804">
            <v>30600</v>
          </cell>
        </row>
        <row r="805">
          <cell r="A805" t="str">
            <v>41-2031</v>
          </cell>
          <cell r="B805" t="str">
            <v>Retail Salespersons</v>
          </cell>
          <cell r="C805">
            <v>3640040</v>
          </cell>
          <cell r="D805">
            <v>0.6</v>
          </cell>
          <cell r="E805">
            <v>34730</v>
          </cell>
          <cell r="F805">
            <v>0.3</v>
          </cell>
          <cell r="G805">
            <v>30600</v>
          </cell>
        </row>
        <row r="806">
          <cell r="A806" t="str">
            <v>41-3000</v>
          </cell>
          <cell r="B806" t="str">
            <v>Sales Representatives, Services</v>
          </cell>
          <cell r="C806">
            <v>2124250</v>
          </cell>
          <cell r="D806">
            <v>0.8</v>
          </cell>
          <cell r="E806">
            <v>81230</v>
          </cell>
          <cell r="F806">
            <v>1.1000000000000001</v>
          </cell>
          <cell r="G806">
            <v>61180</v>
          </cell>
        </row>
        <row r="807">
          <cell r="A807" t="str">
            <v>41-3010</v>
          </cell>
          <cell r="B807" t="str">
            <v>Advertising Sales Agents</v>
          </cell>
          <cell r="C807">
            <v>106560</v>
          </cell>
          <cell r="D807">
            <v>1.9</v>
          </cell>
          <cell r="E807">
            <v>73260</v>
          </cell>
          <cell r="F807">
            <v>1.4</v>
          </cell>
          <cell r="G807">
            <v>58450</v>
          </cell>
        </row>
        <row r="808">
          <cell r="A808" t="str">
            <v>41-3011</v>
          </cell>
          <cell r="B808" t="str">
            <v>Advertising Sales Agents</v>
          </cell>
          <cell r="C808">
            <v>106560</v>
          </cell>
          <cell r="D808">
            <v>1.9</v>
          </cell>
          <cell r="E808">
            <v>73260</v>
          </cell>
          <cell r="F808">
            <v>1.4</v>
          </cell>
          <cell r="G808">
            <v>58450</v>
          </cell>
        </row>
        <row r="809">
          <cell r="A809" t="str">
            <v>41-3020</v>
          </cell>
          <cell r="B809" t="str">
            <v>Insurance Sales Agents</v>
          </cell>
          <cell r="C809">
            <v>445540</v>
          </cell>
          <cell r="D809">
            <v>1.3</v>
          </cell>
          <cell r="E809">
            <v>76950</v>
          </cell>
          <cell r="F809">
            <v>2.1</v>
          </cell>
          <cell r="G809">
            <v>57860</v>
          </cell>
        </row>
        <row r="810">
          <cell r="A810" t="str">
            <v>41-3021</v>
          </cell>
          <cell r="B810" t="str">
            <v>Insurance Sales Agents</v>
          </cell>
          <cell r="C810">
            <v>445540</v>
          </cell>
          <cell r="D810">
            <v>1.3</v>
          </cell>
          <cell r="E810">
            <v>76950</v>
          </cell>
          <cell r="F810">
            <v>2.1</v>
          </cell>
          <cell r="G810">
            <v>57860</v>
          </cell>
        </row>
        <row r="811">
          <cell r="A811" t="str">
            <v>41-3030</v>
          </cell>
          <cell r="B811" t="str">
            <v>Securities, Commodities, and Financial Services Sales Agents</v>
          </cell>
          <cell r="C811">
            <v>443220</v>
          </cell>
          <cell r="D811">
            <v>1</v>
          </cell>
          <cell r="E811">
            <v>100740</v>
          </cell>
          <cell r="F811">
            <v>1.7</v>
          </cell>
          <cell r="G811">
            <v>67480</v>
          </cell>
        </row>
        <row r="812">
          <cell r="A812" t="str">
            <v>41-3031</v>
          </cell>
          <cell r="B812" t="str">
            <v>Securities, Commodities, and Financial Services Sales Agents</v>
          </cell>
          <cell r="C812">
            <v>443220</v>
          </cell>
          <cell r="D812">
            <v>1</v>
          </cell>
          <cell r="E812">
            <v>100740</v>
          </cell>
          <cell r="F812">
            <v>1.7</v>
          </cell>
          <cell r="G812">
            <v>67480</v>
          </cell>
        </row>
        <row r="813">
          <cell r="A813" t="str">
            <v>41-3040</v>
          </cell>
          <cell r="B813" t="str">
            <v>Travel Agents</v>
          </cell>
          <cell r="C813">
            <v>53180</v>
          </cell>
          <cell r="D813">
            <v>7</v>
          </cell>
          <cell r="E813">
            <v>48250</v>
          </cell>
          <cell r="F813">
            <v>1.8</v>
          </cell>
          <cell r="G813">
            <v>46400</v>
          </cell>
        </row>
        <row r="814">
          <cell r="A814" t="str">
            <v>41-3041</v>
          </cell>
          <cell r="B814" t="str">
            <v>Travel Agents</v>
          </cell>
          <cell r="C814">
            <v>53180</v>
          </cell>
          <cell r="D814">
            <v>7</v>
          </cell>
          <cell r="E814">
            <v>48250</v>
          </cell>
          <cell r="F814">
            <v>1.8</v>
          </cell>
          <cell r="G814">
            <v>46400</v>
          </cell>
        </row>
        <row r="815">
          <cell r="A815" t="str">
            <v>41-3090</v>
          </cell>
          <cell r="B815" t="str">
            <v>Miscellaneous Sales Representatives, Services</v>
          </cell>
          <cell r="C815">
            <v>1075750</v>
          </cell>
          <cell r="D815">
            <v>1.1000000000000001</v>
          </cell>
          <cell r="E815">
            <v>77390</v>
          </cell>
          <cell r="F815">
            <v>0.9</v>
          </cell>
          <cell r="G815">
            <v>62400</v>
          </cell>
        </row>
        <row r="816">
          <cell r="A816" t="str">
            <v>41-3091</v>
          </cell>
          <cell r="B816" t="str">
            <v>Sales Representatives of Services, Except Advertising, Insurance, Financial Services, and Travel</v>
          </cell>
          <cell r="C816">
            <v>1075750</v>
          </cell>
          <cell r="D816">
            <v>1.1000000000000001</v>
          </cell>
          <cell r="E816">
            <v>77390</v>
          </cell>
          <cell r="F816">
            <v>0.9</v>
          </cell>
          <cell r="G816">
            <v>62400</v>
          </cell>
        </row>
        <row r="817">
          <cell r="A817" t="str">
            <v>41-4000</v>
          </cell>
          <cell r="B817" t="str">
            <v>Sales Representatives, Wholesale and Manufacturing</v>
          </cell>
          <cell r="C817">
            <v>1564230</v>
          </cell>
          <cell r="D817">
            <v>0.6</v>
          </cell>
          <cell r="E817">
            <v>83030</v>
          </cell>
          <cell r="F817">
            <v>0.6</v>
          </cell>
          <cell r="G817">
            <v>67750</v>
          </cell>
        </row>
        <row r="818">
          <cell r="A818" t="str">
            <v>41-4010</v>
          </cell>
          <cell r="B818" t="str">
            <v>Sales Representatives, Wholesale and Manufacturing</v>
          </cell>
          <cell r="C818">
            <v>1564230</v>
          </cell>
          <cell r="D818">
            <v>0.6</v>
          </cell>
          <cell r="E818">
            <v>83030</v>
          </cell>
          <cell r="F818">
            <v>0.6</v>
          </cell>
          <cell r="G818">
            <v>67750</v>
          </cell>
        </row>
        <row r="819">
          <cell r="A819" t="str">
            <v>41-4011</v>
          </cell>
          <cell r="B819" t="str">
            <v>Sales Representatives, Wholesale and Manufacturing, Technical and Scientific Products</v>
          </cell>
          <cell r="C819">
            <v>290830</v>
          </cell>
          <cell r="D819">
            <v>1.5</v>
          </cell>
          <cell r="E819">
            <v>109950</v>
          </cell>
          <cell r="F819">
            <v>0.9</v>
          </cell>
          <cell r="G819">
            <v>97710</v>
          </cell>
        </row>
        <row r="820">
          <cell r="A820" t="str">
            <v>41-4012</v>
          </cell>
          <cell r="B820" t="str">
            <v>Sales Representatives, Wholesale and Manufacturing, Except Technical and Scientific Products</v>
          </cell>
          <cell r="C820">
            <v>1273400</v>
          </cell>
          <cell r="D820">
            <v>0.5</v>
          </cell>
          <cell r="E820">
            <v>76890</v>
          </cell>
          <cell r="F820">
            <v>0.6</v>
          </cell>
          <cell r="G820">
            <v>63230</v>
          </cell>
        </row>
        <row r="821">
          <cell r="A821" t="str">
            <v>41-9000</v>
          </cell>
          <cell r="B821" t="str">
            <v>Other Sales and Related Workers</v>
          </cell>
          <cell r="C821">
            <v>575150</v>
          </cell>
          <cell r="D821">
            <v>1.3</v>
          </cell>
          <cell r="E821">
            <v>64480</v>
          </cell>
          <cell r="F821">
            <v>1.7</v>
          </cell>
          <cell r="G821">
            <v>45970</v>
          </cell>
        </row>
        <row r="822">
          <cell r="A822" t="str">
            <v>41-9010</v>
          </cell>
          <cell r="B822" t="str">
            <v>Models, Demonstrators, and Product Promoters</v>
          </cell>
          <cell r="C822">
            <v>45480</v>
          </cell>
          <cell r="D822">
            <v>4.0999999999999996</v>
          </cell>
          <cell r="E822">
            <v>40230</v>
          </cell>
          <cell r="F822">
            <v>1.4</v>
          </cell>
          <cell r="G822">
            <v>34840</v>
          </cell>
        </row>
        <row r="823">
          <cell r="A823" t="str">
            <v>41-9011</v>
          </cell>
          <cell r="B823" t="str">
            <v>Demonstrators and Product Promoters</v>
          </cell>
          <cell r="C823">
            <v>43410</v>
          </cell>
          <cell r="D823">
            <v>4.2</v>
          </cell>
          <cell r="E823">
            <v>38470</v>
          </cell>
          <cell r="F823">
            <v>1.4</v>
          </cell>
          <cell r="G823">
            <v>34770</v>
          </cell>
        </row>
        <row r="824">
          <cell r="A824" t="str">
            <v>41-9012</v>
          </cell>
          <cell r="B824" t="str">
            <v>Models</v>
          </cell>
          <cell r="C824">
            <v>2070</v>
          </cell>
          <cell r="D824">
            <v>12.1</v>
          </cell>
          <cell r="E824">
            <v>77310</v>
          </cell>
          <cell r="F824">
            <v>10.1</v>
          </cell>
          <cell r="G824">
            <v>43130</v>
          </cell>
        </row>
        <row r="825">
          <cell r="A825" t="str">
            <v>41-9020</v>
          </cell>
          <cell r="B825" t="str">
            <v>Real Estate Brokers and Sales Agents</v>
          </cell>
          <cell r="C825">
            <v>245320</v>
          </cell>
          <cell r="D825">
            <v>1.8</v>
          </cell>
          <cell r="E825">
            <v>71200</v>
          </cell>
          <cell r="F825">
            <v>4</v>
          </cell>
          <cell r="G825">
            <v>52030</v>
          </cell>
        </row>
        <row r="826">
          <cell r="A826" t="str">
            <v>41-9021</v>
          </cell>
          <cell r="B826" t="str">
            <v>Real Estate Brokers</v>
          </cell>
          <cell r="C826">
            <v>52310</v>
          </cell>
          <cell r="D826">
            <v>8.9</v>
          </cell>
          <cell r="E826">
            <v>90930</v>
          </cell>
          <cell r="F826">
            <v>12.6</v>
          </cell>
          <cell r="G826">
            <v>62190</v>
          </cell>
        </row>
        <row r="827">
          <cell r="A827" t="str">
            <v>41-9022</v>
          </cell>
          <cell r="B827" t="str">
            <v>Real Estate Sales Agents</v>
          </cell>
          <cell r="C827">
            <v>193010</v>
          </cell>
          <cell r="D827">
            <v>4</v>
          </cell>
          <cell r="E827">
            <v>65850</v>
          </cell>
          <cell r="F827">
            <v>1.4</v>
          </cell>
          <cell r="G827">
            <v>49980</v>
          </cell>
        </row>
        <row r="828">
          <cell r="A828" t="str">
            <v>41-9030</v>
          </cell>
          <cell r="B828" t="str">
            <v>Sales Engineers</v>
          </cell>
          <cell r="C828">
            <v>59700</v>
          </cell>
          <cell r="D828">
            <v>2.7</v>
          </cell>
          <cell r="E828">
            <v>125460</v>
          </cell>
          <cell r="F828">
            <v>1.5</v>
          </cell>
          <cell r="G828">
            <v>108530</v>
          </cell>
        </row>
        <row r="829">
          <cell r="A829" t="str">
            <v>41-9031</v>
          </cell>
          <cell r="B829" t="str">
            <v>Sales Engineers</v>
          </cell>
          <cell r="C829">
            <v>59700</v>
          </cell>
          <cell r="D829">
            <v>2.7</v>
          </cell>
          <cell r="E829">
            <v>125460</v>
          </cell>
          <cell r="F829">
            <v>1.5</v>
          </cell>
          <cell r="G829">
            <v>108530</v>
          </cell>
        </row>
        <row r="830">
          <cell r="A830" t="str">
            <v>41-9040</v>
          </cell>
          <cell r="B830" t="str">
            <v>Telemarketers</v>
          </cell>
          <cell r="C830">
            <v>96520</v>
          </cell>
          <cell r="D830">
            <v>2.6</v>
          </cell>
          <cell r="E830">
            <v>33600</v>
          </cell>
          <cell r="F830">
            <v>0.7</v>
          </cell>
          <cell r="G830">
            <v>31030</v>
          </cell>
        </row>
        <row r="831">
          <cell r="A831" t="str">
            <v>41-9041</v>
          </cell>
          <cell r="B831" t="str">
            <v>Telemarketers</v>
          </cell>
          <cell r="C831">
            <v>96520</v>
          </cell>
          <cell r="D831">
            <v>2.6</v>
          </cell>
          <cell r="E831">
            <v>33600</v>
          </cell>
          <cell r="F831">
            <v>0.7</v>
          </cell>
          <cell r="G831">
            <v>31030</v>
          </cell>
        </row>
        <row r="832">
          <cell r="A832" t="str">
            <v>41-9090</v>
          </cell>
          <cell r="B832" t="str">
            <v>Miscellaneous Sales and Related Workers</v>
          </cell>
          <cell r="C832">
            <v>128130</v>
          </cell>
          <cell r="D832">
            <v>3.2</v>
          </cell>
          <cell r="E832">
            <v>55080</v>
          </cell>
          <cell r="F832">
            <v>2.2000000000000002</v>
          </cell>
          <cell r="G832">
            <v>42220</v>
          </cell>
        </row>
        <row r="833">
          <cell r="A833" t="str">
            <v>41-9091</v>
          </cell>
          <cell r="B833" t="str">
            <v>Door-to-Door Sales Workers, News and Street Vendors, and Related Workers</v>
          </cell>
          <cell r="C833">
            <v>8640</v>
          </cell>
          <cell r="D833">
            <v>7.4</v>
          </cell>
          <cell r="E833">
            <v>36280</v>
          </cell>
          <cell r="F833">
            <v>2.2999999999999998</v>
          </cell>
          <cell r="G833">
            <v>31100</v>
          </cell>
        </row>
        <row r="834">
          <cell r="A834" t="str">
            <v>41-9099</v>
          </cell>
          <cell r="B834" t="str">
            <v>Sales and Related Workers, All Other</v>
          </cell>
          <cell r="C834">
            <v>119490</v>
          </cell>
          <cell r="D834">
            <v>3.5</v>
          </cell>
          <cell r="E834">
            <v>56440</v>
          </cell>
          <cell r="F834">
            <v>2.2999999999999998</v>
          </cell>
          <cell r="G834">
            <v>44120</v>
          </cell>
        </row>
        <row r="835">
          <cell r="A835" t="str">
            <v>43-0000</v>
          </cell>
          <cell r="B835" t="str">
            <v>Office and Administrative Support Occupations</v>
          </cell>
          <cell r="C835">
            <v>18674770</v>
          </cell>
          <cell r="D835">
            <v>0.1</v>
          </cell>
          <cell r="E835">
            <v>45550</v>
          </cell>
          <cell r="F835">
            <v>0.1</v>
          </cell>
          <cell r="G835">
            <v>40910</v>
          </cell>
        </row>
        <row r="836">
          <cell r="A836" t="str">
            <v>43-1000</v>
          </cell>
          <cell r="B836" t="str">
            <v>Supervisors of Office and Administrative Support Workers</v>
          </cell>
          <cell r="C836">
            <v>1495440</v>
          </cell>
          <cell r="D836">
            <v>0.2</v>
          </cell>
          <cell r="E836">
            <v>65510</v>
          </cell>
          <cell r="F836">
            <v>0.3</v>
          </cell>
          <cell r="G836">
            <v>61370</v>
          </cell>
        </row>
        <row r="837">
          <cell r="A837" t="str">
            <v>43-1010</v>
          </cell>
          <cell r="B837" t="str">
            <v>First-Line Supervisors of Office and Administrative Support Workers</v>
          </cell>
          <cell r="C837">
            <v>1495440</v>
          </cell>
          <cell r="D837">
            <v>0.2</v>
          </cell>
          <cell r="E837">
            <v>65510</v>
          </cell>
          <cell r="F837">
            <v>0.3</v>
          </cell>
          <cell r="G837">
            <v>61370</v>
          </cell>
        </row>
        <row r="838">
          <cell r="A838" t="str">
            <v>43-1011</v>
          </cell>
          <cell r="B838" t="str">
            <v>First-Line Supervisors of Office and Administrative Support Workers</v>
          </cell>
          <cell r="C838">
            <v>1495440</v>
          </cell>
          <cell r="D838">
            <v>0.2</v>
          </cell>
          <cell r="E838">
            <v>65510</v>
          </cell>
          <cell r="F838">
            <v>0.3</v>
          </cell>
          <cell r="G838">
            <v>61370</v>
          </cell>
        </row>
        <row r="839">
          <cell r="A839" t="str">
            <v>43-2000</v>
          </cell>
          <cell r="B839" t="str">
            <v>Communications Equipment Operators</v>
          </cell>
          <cell r="C839">
            <v>52700</v>
          </cell>
          <cell r="D839">
            <v>2.7</v>
          </cell>
          <cell r="E839">
            <v>37870</v>
          </cell>
          <cell r="F839">
            <v>0.4</v>
          </cell>
          <cell r="G839">
            <v>35020</v>
          </cell>
        </row>
        <row r="840">
          <cell r="A840" t="str">
            <v>43-2010</v>
          </cell>
          <cell r="B840" t="str">
            <v>Switchboard Operators, Including Answering Service</v>
          </cell>
          <cell r="C840">
            <v>47430</v>
          </cell>
          <cell r="D840">
            <v>2.8</v>
          </cell>
          <cell r="E840">
            <v>37230</v>
          </cell>
          <cell r="F840">
            <v>0.4</v>
          </cell>
          <cell r="G840">
            <v>34670</v>
          </cell>
        </row>
        <row r="841">
          <cell r="A841" t="str">
            <v>43-2011</v>
          </cell>
          <cell r="B841" t="str">
            <v>Switchboard Operators, Including Answering Service</v>
          </cell>
          <cell r="C841">
            <v>47430</v>
          </cell>
          <cell r="D841">
            <v>2.8</v>
          </cell>
          <cell r="E841">
            <v>37230</v>
          </cell>
          <cell r="F841">
            <v>0.4</v>
          </cell>
          <cell r="G841">
            <v>34670</v>
          </cell>
        </row>
        <row r="842">
          <cell r="A842" t="str">
            <v>43-2020</v>
          </cell>
          <cell r="B842" t="str">
            <v>Telephone Operators</v>
          </cell>
          <cell r="C842">
            <v>4030</v>
          </cell>
          <cell r="D842">
            <v>7.3</v>
          </cell>
          <cell r="E842">
            <v>41590</v>
          </cell>
          <cell r="F842">
            <v>1.9</v>
          </cell>
          <cell r="G842">
            <v>38330</v>
          </cell>
        </row>
        <row r="843">
          <cell r="A843" t="str">
            <v>43-2021</v>
          </cell>
          <cell r="B843" t="str">
            <v>Telephone Operators</v>
          </cell>
          <cell r="C843">
            <v>4030</v>
          </cell>
          <cell r="D843">
            <v>7.3</v>
          </cell>
          <cell r="E843">
            <v>41590</v>
          </cell>
          <cell r="F843">
            <v>1.9</v>
          </cell>
          <cell r="G843">
            <v>38330</v>
          </cell>
        </row>
        <row r="844">
          <cell r="A844" t="str">
            <v>43-2090</v>
          </cell>
          <cell r="B844" t="str">
            <v>Miscellaneous Communications Equipment Operators</v>
          </cell>
          <cell r="C844">
            <v>1240</v>
          </cell>
          <cell r="D844">
            <v>10.4</v>
          </cell>
          <cell r="E844">
            <v>50140</v>
          </cell>
          <cell r="F844">
            <v>2.9</v>
          </cell>
          <cell r="G844">
            <v>46180</v>
          </cell>
        </row>
        <row r="845">
          <cell r="A845" t="str">
            <v>43-2099</v>
          </cell>
          <cell r="B845" t="str">
            <v>Communications Equipment Operators, All Other</v>
          </cell>
          <cell r="C845">
            <v>1240</v>
          </cell>
          <cell r="D845">
            <v>10.4</v>
          </cell>
          <cell r="E845">
            <v>50140</v>
          </cell>
          <cell r="F845">
            <v>2.9</v>
          </cell>
          <cell r="G845">
            <v>46180</v>
          </cell>
        </row>
        <row r="846">
          <cell r="A846" t="str">
            <v>43-3000</v>
          </cell>
          <cell r="B846" t="str">
            <v>Financial Clerks</v>
          </cell>
          <cell r="C846">
            <v>2824120</v>
          </cell>
          <cell r="D846">
            <v>0.7</v>
          </cell>
          <cell r="E846">
            <v>45600</v>
          </cell>
          <cell r="F846">
            <v>0.2</v>
          </cell>
          <cell r="G846">
            <v>43680</v>
          </cell>
        </row>
        <row r="847">
          <cell r="A847" t="str">
            <v>43-3010</v>
          </cell>
          <cell r="B847" t="str">
            <v>Bill and Account Collectors</v>
          </cell>
          <cell r="C847">
            <v>202840</v>
          </cell>
          <cell r="D847">
            <v>1.3</v>
          </cell>
          <cell r="E847">
            <v>42820</v>
          </cell>
          <cell r="F847">
            <v>0.4</v>
          </cell>
          <cell r="G847">
            <v>39470</v>
          </cell>
        </row>
        <row r="848">
          <cell r="A848" t="str">
            <v>43-3011</v>
          </cell>
          <cell r="B848" t="str">
            <v>Bill and Account Collectors</v>
          </cell>
          <cell r="C848">
            <v>202840</v>
          </cell>
          <cell r="D848">
            <v>1.3</v>
          </cell>
          <cell r="E848">
            <v>42820</v>
          </cell>
          <cell r="F848">
            <v>0.4</v>
          </cell>
          <cell r="G848">
            <v>39470</v>
          </cell>
        </row>
        <row r="849">
          <cell r="A849" t="str">
            <v>43-3020</v>
          </cell>
          <cell r="B849" t="str">
            <v>Billing and Posting Clerks</v>
          </cell>
          <cell r="C849">
            <v>441980</v>
          </cell>
          <cell r="D849">
            <v>1.2</v>
          </cell>
          <cell r="E849">
            <v>44800</v>
          </cell>
          <cell r="F849">
            <v>0.2</v>
          </cell>
          <cell r="G849">
            <v>42810</v>
          </cell>
        </row>
        <row r="850">
          <cell r="A850" t="str">
            <v>43-3021</v>
          </cell>
          <cell r="B850" t="str">
            <v>Billing and Posting Clerks</v>
          </cell>
          <cell r="C850">
            <v>441980</v>
          </cell>
          <cell r="D850">
            <v>1.2</v>
          </cell>
          <cell r="E850">
            <v>44800</v>
          </cell>
          <cell r="F850">
            <v>0.2</v>
          </cell>
          <cell r="G850">
            <v>42810</v>
          </cell>
        </row>
        <row r="851">
          <cell r="A851" t="str">
            <v>43-3030</v>
          </cell>
          <cell r="B851" t="str">
            <v>Bookkeeping, Accounting, and Auditing Clerks</v>
          </cell>
          <cell r="C851">
            <v>1550750</v>
          </cell>
          <cell r="D851">
            <v>0.7</v>
          </cell>
          <cell r="E851">
            <v>47440</v>
          </cell>
          <cell r="F851">
            <v>0.2</v>
          </cell>
          <cell r="G851">
            <v>45860</v>
          </cell>
        </row>
        <row r="852">
          <cell r="A852" t="str">
            <v>43-3031</v>
          </cell>
          <cell r="B852" t="str">
            <v>Bookkeeping, Accounting, and Auditing Clerks</v>
          </cell>
          <cell r="C852">
            <v>1550750</v>
          </cell>
          <cell r="D852">
            <v>0.7</v>
          </cell>
          <cell r="E852">
            <v>47440</v>
          </cell>
          <cell r="F852">
            <v>0.2</v>
          </cell>
          <cell r="G852">
            <v>45860</v>
          </cell>
        </row>
        <row r="853">
          <cell r="A853" t="str">
            <v>43-3040</v>
          </cell>
          <cell r="B853" t="str">
            <v>Gambling Cage Workers</v>
          </cell>
          <cell r="C853">
            <v>11730</v>
          </cell>
          <cell r="D853">
            <v>2.5</v>
          </cell>
          <cell r="E853">
            <v>33370</v>
          </cell>
          <cell r="F853">
            <v>0.7</v>
          </cell>
          <cell r="G853">
            <v>31720</v>
          </cell>
        </row>
        <row r="854">
          <cell r="A854" t="str">
            <v>43-3041</v>
          </cell>
          <cell r="B854" t="str">
            <v>Gambling Cage Workers</v>
          </cell>
          <cell r="C854">
            <v>11730</v>
          </cell>
          <cell r="D854">
            <v>2.5</v>
          </cell>
          <cell r="E854">
            <v>33370</v>
          </cell>
          <cell r="F854">
            <v>0.7</v>
          </cell>
          <cell r="G854">
            <v>31720</v>
          </cell>
        </row>
        <row r="855">
          <cell r="A855" t="str">
            <v>43-3050</v>
          </cell>
          <cell r="B855" t="str">
            <v>Payroll and Timekeeping Clerks</v>
          </cell>
          <cell r="C855">
            <v>159190</v>
          </cell>
          <cell r="D855">
            <v>1.3</v>
          </cell>
          <cell r="E855">
            <v>52300</v>
          </cell>
          <cell r="F855">
            <v>0.4</v>
          </cell>
          <cell r="G855">
            <v>49630</v>
          </cell>
        </row>
        <row r="856">
          <cell r="A856" t="str">
            <v>43-3051</v>
          </cell>
          <cell r="B856" t="str">
            <v>Payroll and Timekeeping Clerks</v>
          </cell>
          <cell r="C856">
            <v>159190</v>
          </cell>
          <cell r="D856">
            <v>1.3</v>
          </cell>
          <cell r="E856">
            <v>52300</v>
          </cell>
          <cell r="F856">
            <v>0.4</v>
          </cell>
          <cell r="G856">
            <v>49630</v>
          </cell>
        </row>
        <row r="857">
          <cell r="A857" t="str">
            <v>43-3060</v>
          </cell>
          <cell r="B857" t="str">
            <v>Procurement Clerks</v>
          </cell>
          <cell r="C857">
            <v>63340</v>
          </cell>
          <cell r="D857">
            <v>1</v>
          </cell>
          <cell r="E857">
            <v>46560</v>
          </cell>
          <cell r="F857">
            <v>0.3</v>
          </cell>
          <cell r="G857">
            <v>45240</v>
          </cell>
        </row>
        <row r="858">
          <cell r="A858" t="str">
            <v>43-3061</v>
          </cell>
          <cell r="B858" t="str">
            <v>Procurement Clerks</v>
          </cell>
          <cell r="C858">
            <v>63340</v>
          </cell>
          <cell r="D858">
            <v>1</v>
          </cell>
          <cell r="E858">
            <v>46560</v>
          </cell>
          <cell r="F858">
            <v>0.3</v>
          </cell>
          <cell r="G858">
            <v>45240</v>
          </cell>
        </row>
        <row r="859">
          <cell r="A859" t="str">
            <v>43-3070</v>
          </cell>
          <cell r="B859" t="str">
            <v>Tellers</v>
          </cell>
          <cell r="C859">
            <v>352440</v>
          </cell>
          <cell r="D859">
            <v>2.1</v>
          </cell>
          <cell r="E859">
            <v>36800</v>
          </cell>
          <cell r="F859">
            <v>0.3</v>
          </cell>
          <cell r="G859">
            <v>36380</v>
          </cell>
        </row>
        <row r="860">
          <cell r="A860" t="str">
            <v>43-3071</v>
          </cell>
          <cell r="B860" t="str">
            <v>Tellers</v>
          </cell>
          <cell r="C860">
            <v>352440</v>
          </cell>
          <cell r="D860">
            <v>2.1</v>
          </cell>
          <cell r="E860">
            <v>36800</v>
          </cell>
          <cell r="F860">
            <v>0.3</v>
          </cell>
          <cell r="G860">
            <v>36380</v>
          </cell>
        </row>
        <row r="861">
          <cell r="A861" t="str">
            <v>43-3090</v>
          </cell>
          <cell r="B861" t="str">
            <v>Miscellaneous Financial Clerks</v>
          </cell>
          <cell r="C861">
            <v>41850</v>
          </cell>
          <cell r="D861">
            <v>4</v>
          </cell>
          <cell r="E861">
            <v>49710</v>
          </cell>
          <cell r="F861">
            <v>1.6</v>
          </cell>
          <cell r="G861">
            <v>47130</v>
          </cell>
        </row>
        <row r="862">
          <cell r="A862" t="str">
            <v>43-3099</v>
          </cell>
          <cell r="B862" t="str">
            <v>Financial Clerks, All Other</v>
          </cell>
          <cell r="C862">
            <v>41850</v>
          </cell>
          <cell r="D862">
            <v>4</v>
          </cell>
          <cell r="E862">
            <v>49710</v>
          </cell>
          <cell r="F862">
            <v>1.6</v>
          </cell>
          <cell r="G862">
            <v>47130</v>
          </cell>
        </row>
        <row r="863">
          <cell r="A863" t="str">
            <v>43-4000</v>
          </cell>
          <cell r="B863" t="str">
            <v>Information and Record Clerks</v>
          </cell>
          <cell r="C863">
            <v>5615960</v>
          </cell>
          <cell r="D863">
            <v>0.4</v>
          </cell>
          <cell r="E863">
            <v>40500</v>
          </cell>
          <cell r="F863">
            <v>0.1</v>
          </cell>
          <cell r="G863">
            <v>37440</v>
          </cell>
        </row>
        <row r="864">
          <cell r="A864" t="str">
            <v>43-4010</v>
          </cell>
          <cell r="B864" t="str">
            <v>Brokerage Clerks</v>
          </cell>
          <cell r="C864">
            <v>42700</v>
          </cell>
          <cell r="D864">
            <v>3.9</v>
          </cell>
          <cell r="E864">
            <v>59200</v>
          </cell>
          <cell r="F864">
            <v>0.7</v>
          </cell>
          <cell r="G864">
            <v>54680</v>
          </cell>
        </row>
        <row r="865">
          <cell r="A865" t="str">
            <v>43-4011</v>
          </cell>
          <cell r="B865" t="str">
            <v>Brokerage Clerks</v>
          </cell>
          <cell r="C865">
            <v>42700</v>
          </cell>
          <cell r="D865">
            <v>3.9</v>
          </cell>
          <cell r="E865">
            <v>59200</v>
          </cell>
          <cell r="F865">
            <v>0.7</v>
          </cell>
          <cell r="G865">
            <v>54680</v>
          </cell>
        </row>
        <row r="866">
          <cell r="A866" t="str">
            <v>43-4020</v>
          </cell>
          <cell r="B866" t="str">
            <v>Correspondence Clerks</v>
          </cell>
          <cell r="C866">
            <v>4970</v>
          </cell>
          <cell r="D866">
            <v>5.6</v>
          </cell>
          <cell r="E866">
            <v>42560</v>
          </cell>
          <cell r="F866">
            <v>1.8</v>
          </cell>
          <cell r="G866">
            <v>38700</v>
          </cell>
        </row>
        <row r="867">
          <cell r="A867" t="str">
            <v>43-4021</v>
          </cell>
          <cell r="B867" t="str">
            <v>Correspondence Clerks</v>
          </cell>
          <cell r="C867">
            <v>4970</v>
          </cell>
          <cell r="D867">
            <v>5.6</v>
          </cell>
          <cell r="E867">
            <v>42560</v>
          </cell>
          <cell r="F867">
            <v>1.8</v>
          </cell>
          <cell r="G867">
            <v>38700</v>
          </cell>
        </row>
        <row r="868">
          <cell r="A868" t="str">
            <v>43-4030</v>
          </cell>
          <cell r="B868" t="str">
            <v>Court, Municipal, and License Clerks</v>
          </cell>
          <cell r="C868">
            <v>159760</v>
          </cell>
          <cell r="D868">
            <v>0.8</v>
          </cell>
          <cell r="E868">
            <v>46280</v>
          </cell>
          <cell r="F868">
            <v>0.2</v>
          </cell>
          <cell r="G868">
            <v>44140</v>
          </cell>
        </row>
        <row r="869">
          <cell r="A869" t="str">
            <v>43-4031</v>
          </cell>
          <cell r="B869" t="str">
            <v>Court, Municipal, and License Clerks</v>
          </cell>
          <cell r="C869">
            <v>159760</v>
          </cell>
          <cell r="D869">
            <v>0.8</v>
          </cell>
          <cell r="E869">
            <v>46280</v>
          </cell>
          <cell r="F869">
            <v>0.2</v>
          </cell>
          <cell r="G869">
            <v>44140</v>
          </cell>
        </row>
        <row r="870">
          <cell r="A870" t="str">
            <v>43-4040</v>
          </cell>
          <cell r="B870" t="str">
            <v>Credit Authorizers, Checkers, and Clerks</v>
          </cell>
          <cell r="C870">
            <v>16290</v>
          </cell>
          <cell r="D870">
            <v>2.9</v>
          </cell>
          <cell r="E870">
            <v>46180</v>
          </cell>
          <cell r="F870">
            <v>1.4</v>
          </cell>
          <cell r="G870">
            <v>44830</v>
          </cell>
        </row>
        <row r="871">
          <cell r="A871" t="str">
            <v>43-4041</v>
          </cell>
          <cell r="B871" t="str">
            <v>Credit Authorizers, Checkers, and Clerks</v>
          </cell>
          <cell r="C871">
            <v>16290</v>
          </cell>
          <cell r="D871">
            <v>2.9</v>
          </cell>
          <cell r="E871">
            <v>46180</v>
          </cell>
          <cell r="F871">
            <v>1.4</v>
          </cell>
          <cell r="G871">
            <v>44830</v>
          </cell>
        </row>
        <row r="872">
          <cell r="A872" t="str">
            <v>43-4050</v>
          </cell>
          <cell r="B872" t="str">
            <v>Customer Service Representatives</v>
          </cell>
          <cell r="C872">
            <v>2879840</v>
          </cell>
          <cell r="D872">
            <v>0.7</v>
          </cell>
          <cell r="E872">
            <v>41190</v>
          </cell>
          <cell r="F872">
            <v>0.1</v>
          </cell>
          <cell r="G872">
            <v>37780</v>
          </cell>
        </row>
        <row r="873">
          <cell r="A873" t="str">
            <v>43-4051</v>
          </cell>
          <cell r="B873" t="str">
            <v>Customer Service Representatives</v>
          </cell>
          <cell r="C873">
            <v>2879840</v>
          </cell>
          <cell r="D873">
            <v>0.7</v>
          </cell>
          <cell r="E873">
            <v>41190</v>
          </cell>
          <cell r="F873">
            <v>0.1</v>
          </cell>
          <cell r="G873">
            <v>37780</v>
          </cell>
        </row>
        <row r="874">
          <cell r="A874" t="str">
            <v>43-4060</v>
          </cell>
          <cell r="B874" t="str">
            <v>Eligibility Interviewers, Government Programs</v>
          </cell>
          <cell r="C874">
            <v>149760</v>
          </cell>
          <cell r="D874">
            <v>0.6</v>
          </cell>
          <cell r="E874">
            <v>50020</v>
          </cell>
          <cell r="F874">
            <v>0.1</v>
          </cell>
          <cell r="G874">
            <v>49230</v>
          </cell>
        </row>
        <row r="875">
          <cell r="A875" t="str">
            <v>43-4061</v>
          </cell>
          <cell r="B875" t="str">
            <v>Eligibility Interviewers, Government Programs</v>
          </cell>
          <cell r="C875">
            <v>149760</v>
          </cell>
          <cell r="D875">
            <v>0.6</v>
          </cell>
          <cell r="E875">
            <v>50020</v>
          </cell>
          <cell r="F875">
            <v>0.1</v>
          </cell>
          <cell r="G875">
            <v>49230</v>
          </cell>
        </row>
        <row r="876">
          <cell r="A876" t="str">
            <v>43-4070</v>
          </cell>
          <cell r="B876" t="str">
            <v>File Clerks</v>
          </cell>
          <cell r="C876">
            <v>87250</v>
          </cell>
          <cell r="D876">
            <v>3.1</v>
          </cell>
          <cell r="E876">
            <v>39560</v>
          </cell>
          <cell r="F876">
            <v>0.8</v>
          </cell>
          <cell r="G876">
            <v>37290</v>
          </cell>
        </row>
        <row r="877">
          <cell r="A877" t="str">
            <v>43-4071</v>
          </cell>
          <cell r="B877" t="str">
            <v>File Clerks</v>
          </cell>
          <cell r="C877">
            <v>87250</v>
          </cell>
          <cell r="D877">
            <v>3.1</v>
          </cell>
          <cell r="E877">
            <v>39560</v>
          </cell>
          <cell r="F877">
            <v>0.8</v>
          </cell>
          <cell r="G877">
            <v>37290</v>
          </cell>
        </row>
        <row r="878">
          <cell r="A878" t="str">
            <v>43-4080</v>
          </cell>
          <cell r="B878" t="str">
            <v>Hotel, Motel, and Resort Desk Clerks</v>
          </cell>
          <cell r="C878">
            <v>243180</v>
          </cell>
          <cell r="D878">
            <v>0.9</v>
          </cell>
          <cell r="E878">
            <v>30300</v>
          </cell>
          <cell r="F878">
            <v>0.7</v>
          </cell>
          <cell r="G878">
            <v>28910</v>
          </cell>
        </row>
        <row r="879">
          <cell r="A879" t="str">
            <v>43-4081</v>
          </cell>
          <cell r="B879" t="str">
            <v>Hotel, Motel, and Resort Desk Clerks</v>
          </cell>
          <cell r="C879">
            <v>243180</v>
          </cell>
          <cell r="D879">
            <v>0.9</v>
          </cell>
          <cell r="E879">
            <v>30300</v>
          </cell>
          <cell r="F879">
            <v>0.7</v>
          </cell>
          <cell r="G879">
            <v>28910</v>
          </cell>
        </row>
        <row r="880">
          <cell r="A880" t="str">
            <v>43-4110</v>
          </cell>
          <cell r="B880" t="str">
            <v>Interviewers, Except Eligibility and Loan</v>
          </cell>
          <cell r="C880">
            <v>168680</v>
          </cell>
          <cell r="D880">
            <v>1.1000000000000001</v>
          </cell>
          <cell r="E880">
            <v>41140</v>
          </cell>
          <cell r="F880">
            <v>0.3</v>
          </cell>
          <cell r="G880">
            <v>38700</v>
          </cell>
        </row>
        <row r="881">
          <cell r="A881" t="str">
            <v>43-4111</v>
          </cell>
          <cell r="B881" t="str">
            <v>Interviewers, Except Eligibility and Loan</v>
          </cell>
          <cell r="C881">
            <v>168680</v>
          </cell>
          <cell r="D881">
            <v>1.1000000000000001</v>
          </cell>
          <cell r="E881">
            <v>41140</v>
          </cell>
          <cell r="F881">
            <v>0.3</v>
          </cell>
          <cell r="G881">
            <v>38700</v>
          </cell>
        </row>
        <row r="882">
          <cell r="A882" t="str">
            <v>43-4120</v>
          </cell>
          <cell r="B882" t="str">
            <v>Library Assistants, Clerical</v>
          </cell>
          <cell r="C882">
            <v>77660</v>
          </cell>
          <cell r="D882">
            <v>1.6</v>
          </cell>
          <cell r="E882">
            <v>33980</v>
          </cell>
          <cell r="F882">
            <v>0.4</v>
          </cell>
          <cell r="G882">
            <v>31150</v>
          </cell>
        </row>
        <row r="883">
          <cell r="A883" t="str">
            <v>43-4121</v>
          </cell>
          <cell r="B883" t="str">
            <v>Library Assistants, Clerical</v>
          </cell>
          <cell r="C883">
            <v>77660</v>
          </cell>
          <cell r="D883">
            <v>1.6</v>
          </cell>
          <cell r="E883">
            <v>33980</v>
          </cell>
          <cell r="F883">
            <v>0.4</v>
          </cell>
          <cell r="G883">
            <v>31150</v>
          </cell>
        </row>
        <row r="884">
          <cell r="A884" t="str">
            <v>43-4130</v>
          </cell>
          <cell r="B884" t="str">
            <v>Loan Interviewers and Clerks</v>
          </cell>
          <cell r="C884">
            <v>242630</v>
          </cell>
          <cell r="D884">
            <v>1.9</v>
          </cell>
          <cell r="E884">
            <v>46740</v>
          </cell>
          <cell r="F884">
            <v>0.3</v>
          </cell>
          <cell r="G884">
            <v>46490</v>
          </cell>
        </row>
        <row r="885">
          <cell r="A885" t="str">
            <v>43-4131</v>
          </cell>
          <cell r="B885" t="str">
            <v>Loan Interviewers and Clerks</v>
          </cell>
          <cell r="C885">
            <v>242630</v>
          </cell>
          <cell r="D885">
            <v>1.9</v>
          </cell>
          <cell r="E885">
            <v>46740</v>
          </cell>
          <cell r="F885">
            <v>0.3</v>
          </cell>
          <cell r="G885">
            <v>46490</v>
          </cell>
        </row>
        <row r="886">
          <cell r="A886" t="str">
            <v>43-4140</v>
          </cell>
          <cell r="B886" t="str">
            <v>New Accounts Clerks</v>
          </cell>
          <cell r="C886">
            <v>45170</v>
          </cell>
          <cell r="D886">
            <v>3.9</v>
          </cell>
          <cell r="E886">
            <v>42880</v>
          </cell>
          <cell r="F886">
            <v>0.6</v>
          </cell>
          <cell r="G886">
            <v>40820</v>
          </cell>
        </row>
        <row r="887">
          <cell r="A887" t="str">
            <v>43-4141</v>
          </cell>
          <cell r="B887" t="str">
            <v>New Accounts Clerks</v>
          </cell>
          <cell r="C887">
            <v>45170</v>
          </cell>
          <cell r="D887">
            <v>3.9</v>
          </cell>
          <cell r="E887">
            <v>42880</v>
          </cell>
          <cell r="F887">
            <v>0.6</v>
          </cell>
          <cell r="G887">
            <v>40820</v>
          </cell>
        </row>
        <row r="888">
          <cell r="A888" t="str">
            <v>43-4150</v>
          </cell>
          <cell r="B888" t="str">
            <v>Order Clerks</v>
          </cell>
          <cell r="C888">
            <v>113500</v>
          </cell>
          <cell r="D888">
            <v>1.8</v>
          </cell>
          <cell r="E888">
            <v>40540</v>
          </cell>
          <cell r="F888">
            <v>0.8</v>
          </cell>
          <cell r="G888">
            <v>38060</v>
          </cell>
        </row>
        <row r="889">
          <cell r="A889" t="str">
            <v>43-4151</v>
          </cell>
          <cell r="B889" t="str">
            <v>Order Clerks</v>
          </cell>
          <cell r="C889">
            <v>113500</v>
          </cell>
          <cell r="D889">
            <v>1.8</v>
          </cell>
          <cell r="E889">
            <v>40540</v>
          </cell>
          <cell r="F889">
            <v>0.8</v>
          </cell>
          <cell r="G889">
            <v>38060</v>
          </cell>
        </row>
        <row r="890">
          <cell r="A890" t="str">
            <v>43-4160</v>
          </cell>
          <cell r="B890" t="str">
            <v>Human Resources Assistants, Except Payroll and Timekeeping</v>
          </cell>
          <cell r="C890">
            <v>103680</v>
          </cell>
          <cell r="D890">
            <v>1.5</v>
          </cell>
          <cell r="E890">
            <v>46900</v>
          </cell>
          <cell r="F890">
            <v>0.3</v>
          </cell>
          <cell r="G890">
            <v>45930</v>
          </cell>
        </row>
        <row r="891">
          <cell r="A891" t="str">
            <v>43-4161</v>
          </cell>
          <cell r="B891" t="str">
            <v>Human Resources Assistants, Except Payroll and Timekeeping</v>
          </cell>
          <cell r="C891">
            <v>103680</v>
          </cell>
          <cell r="D891">
            <v>1.5</v>
          </cell>
          <cell r="E891">
            <v>46900</v>
          </cell>
          <cell r="F891">
            <v>0.3</v>
          </cell>
          <cell r="G891">
            <v>45930</v>
          </cell>
        </row>
        <row r="892">
          <cell r="A892" t="str">
            <v>43-4170</v>
          </cell>
          <cell r="B892" t="str">
            <v>Receptionists and Information Clerks</v>
          </cell>
          <cell r="C892">
            <v>1011170</v>
          </cell>
          <cell r="D892">
            <v>0.9</v>
          </cell>
          <cell r="E892">
            <v>34600</v>
          </cell>
          <cell r="F892">
            <v>0.2</v>
          </cell>
          <cell r="G892">
            <v>33960</v>
          </cell>
        </row>
        <row r="893">
          <cell r="A893" t="str">
            <v>43-4171</v>
          </cell>
          <cell r="B893" t="str">
            <v>Receptionists and Information Clerks</v>
          </cell>
          <cell r="C893">
            <v>1011170</v>
          </cell>
          <cell r="D893">
            <v>0.9</v>
          </cell>
          <cell r="E893">
            <v>34600</v>
          </cell>
          <cell r="F893">
            <v>0.2</v>
          </cell>
          <cell r="G893">
            <v>33960</v>
          </cell>
        </row>
        <row r="894">
          <cell r="A894" t="str">
            <v>43-4180</v>
          </cell>
          <cell r="B894" t="str">
            <v>Reservation and Transportation Ticket Agents and Travel Clerks</v>
          </cell>
          <cell r="C894">
            <v>119130</v>
          </cell>
          <cell r="D894">
            <v>1.1000000000000001</v>
          </cell>
          <cell r="E894">
            <v>45440</v>
          </cell>
          <cell r="F894">
            <v>0.4</v>
          </cell>
          <cell r="G894">
            <v>39160</v>
          </cell>
        </row>
        <row r="895">
          <cell r="A895" t="str">
            <v>43-4181</v>
          </cell>
          <cell r="B895" t="str">
            <v>Reservation and Transportation Ticket Agents and Travel Clerks</v>
          </cell>
          <cell r="C895">
            <v>119130</v>
          </cell>
          <cell r="D895">
            <v>1.1000000000000001</v>
          </cell>
          <cell r="E895">
            <v>45440</v>
          </cell>
          <cell r="F895">
            <v>0.4</v>
          </cell>
          <cell r="G895">
            <v>39160</v>
          </cell>
        </row>
        <row r="896">
          <cell r="A896" t="str">
            <v>43-4190</v>
          </cell>
          <cell r="B896" t="str">
            <v>Miscellaneous Information and Record Clerks</v>
          </cell>
          <cell r="C896">
            <v>150590</v>
          </cell>
          <cell r="D896">
            <v>0.8</v>
          </cell>
          <cell r="E896">
            <v>45910</v>
          </cell>
          <cell r="F896">
            <v>0.3</v>
          </cell>
          <cell r="G896">
            <v>44720</v>
          </cell>
        </row>
        <row r="897">
          <cell r="A897" t="str">
            <v>43-4199</v>
          </cell>
          <cell r="B897" t="str">
            <v>Information and Record Clerks, All Other</v>
          </cell>
          <cell r="C897">
            <v>150590</v>
          </cell>
          <cell r="D897">
            <v>0.8</v>
          </cell>
          <cell r="E897">
            <v>45910</v>
          </cell>
          <cell r="F897">
            <v>0.3</v>
          </cell>
          <cell r="G897">
            <v>44720</v>
          </cell>
        </row>
        <row r="898">
          <cell r="A898" t="str">
            <v>43-5000</v>
          </cell>
          <cell r="B898" t="str">
            <v>Material Recording, Scheduling, Dispatching, and Distributing Workers</v>
          </cell>
          <cell r="C898">
            <v>2306600</v>
          </cell>
          <cell r="D898">
            <v>0.7</v>
          </cell>
          <cell r="E898">
            <v>47770</v>
          </cell>
          <cell r="F898">
            <v>0.1</v>
          </cell>
          <cell r="G898">
            <v>44580</v>
          </cell>
        </row>
        <row r="899">
          <cell r="A899" t="str">
            <v>43-5010</v>
          </cell>
          <cell r="B899" t="str">
            <v>Cargo and Freight Agents</v>
          </cell>
          <cell r="C899">
            <v>93480</v>
          </cell>
          <cell r="D899">
            <v>2</v>
          </cell>
          <cell r="E899">
            <v>49740</v>
          </cell>
          <cell r="F899">
            <v>0.8</v>
          </cell>
          <cell r="G899">
            <v>46860</v>
          </cell>
        </row>
        <row r="900">
          <cell r="A900" t="str">
            <v>43-5011</v>
          </cell>
          <cell r="B900" t="str">
            <v>Cargo and Freight Agents</v>
          </cell>
          <cell r="C900">
            <v>93480</v>
          </cell>
          <cell r="D900">
            <v>2</v>
          </cell>
          <cell r="E900">
            <v>49740</v>
          </cell>
          <cell r="F900">
            <v>0.8</v>
          </cell>
          <cell r="G900">
            <v>46860</v>
          </cell>
        </row>
        <row r="901">
          <cell r="A901" t="str">
            <v>43-5020</v>
          </cell>
          <cell r="B901" t="str">
            <v>Couriers and Messengers</v>
          </cell>
          <cell r="C901">
            <v>75800</v>
          </cell>
          <cell r="D901">
            <v>2.8</v>
          </cell>
          <cell r="E901">
            <v>36250</v>
          </cell>
          <cell r="F901">
            <v>0.7</v>
          </cell>
          <cell r="G901">
            <v>35280</v>
          </cell>
        </row>
        <row r="902">
          <cell r="A902" t="str">
            <v>43-5021</v>
          </cell>
          <cell r="B902" t="str">
            <v>Couriers and Messengers</v>
          </cell>
          <cell r="C902">
            <v>75800</v>
          </cell>
          <cell r="D902">
            <v>2.8</v>
          </cell>
          <cell r="E902">
            <v>36250</v>
          </cell>
          <cell r="F902">
            <v>0.7</v>
          </cell>
          <cell r="G902">
            <v>35280</v>
          </cell>
        </row>
        <row r="903">
          <cell r="A903" t="str">
            <v>43-5030</v>
          </cell>
          <cell r="B903" t="str">
            <v>Dispatchers</v>
          </cell>
          <cell r="C903">
            <v>302110</v>
          </cell>
          <cell r="D903">
            <v>1</v>
          </cell>
          <cell r="E903">
            <v>48670</v>
          </cell>
          <cell r="F903">
            <v>0.3</v>
          </cell>
          <cell r="G903">
            <v>45550</v>
          </cell>
        </row>
        <row r="904">
          <cell r="A904" t="str">
            <v>43-5031</v>
          </cell>
          <cell r="B904" t="str">
            <v>Public Safety Telecommunicators</v>
          </cell>
          <cell r="C904">
            <v>95730</v>
          </cell>
          <cell r="D904">
            <v>0.8</v>
          </cell>
          <cell r="E904">
            <v>49370</v>
          </cell>
          <cell r="F904">
            <v>0.2</v>
          </cell>
          <cell r="G904">
            <v>46900</v>
          </cell>
        </row>
        <row r="905">
          <cell r="A905" t="str">
            <v>43-5032</v>
          </cell>
          <cell r="B905" t="str">
            <v>Dispatchers, Except Police, Fire, and Ambulance</v>
          </cell>
          <cell r="C905">
            <v>206370</v>
          </cell>
          <cell r="D905">
            <v>1.3</v>
          </cell>
          <cell r="E905">
            <v>48350</v>
          </cell>
          <cell r="F905">
            <v>0.4</v>
          </cell>
          <cell r="G905">
            <v>44830</v>
          </cell>
        </row>
        <row r="906">
          <cell r="A906" t="str">
            <v>43-5040</v>
          </cell>
          <cell r="B906" t="str">
            <v>Meter Readers, Utilities</v>
          </cell>
          <cell r="C906">
            <v>20460</v>
          </cell>
          <cell r="D906">
            <v>2.5</v>
          </cell>
          <cell r="E906">
            <v>49800</v>
          </cell>
          <cell r="F906">
            <v>0.8</v>
          </cell>
          <cell r="G906">
            <v>44760</v>
          </cell>
        </row>
        <row r="907">
          <cell r="A907" t="str">
            <v>43-5041</v>
          </cell>
          <cell r="B907" t="str">
            <v>Meter Readers, Utilities</v>
          </cell>
          <cell r="C907">
            <v>20460</v>
          </cell>
          <cell r="D907">
            <v>2.5</v>
          </cell>
          <cell r="E907">
            <v>49800</v>
          </cell>
          <cell r="F907">
            <v>0.8</v>
          </cell>
          <cell r="G907">
            <v>44760</v>
          </cell>
        </row>
        <row r="908">
          <cell r="A908" t="str">
            <v>43-5050</v>
          </cell>
          <cell r="B908" t="str">
            <v>Postal Service Workers</v>
          </cell>
          <cell r="C908">
            <v>523980</v>
          </cell>
          <cell r="D908">
            <v>0</v>
          </cell>
          <cell r="E908">
            <v>55520</v>
          </cell>
          <cell r="F908">
            <v>0</v>
          </cell>
          <cell r="G908">
            <v>53680</v>
          </cell>
        </row>
        <row r="909">
          <cell r="A909" t="str">
            <v>43-5051</v>
          </cell>
          <cell r="B909" t="str">
            <v>Postal Service Clerks</v>
          </cell>
          <cell r="C909">
            <v>77690</v>
          </cell>
          <cell r="D909">
            <v>0</v>
          </cell>
          <cell r="E909">
            <v>56400</v>
          </cell>
          <cell r="F909">
            <v>0</v>
          </cell>
          <cell r="G909">
            <v>56200</v>
          </cell>
        </row>
        <row r="910">
          <cell r="A910" t="str">
            <v>43-5052</v>
          </cell>
          <cell r="B910" t="str">
            <v>Postal Service Mail Carriers</v>
          </cell>
          <cell r="C910">
            <v>326760</v>
          </cell>
          <cell r="D910">
            <v>0</v>
          </cell>
          <cell r="E910">
            <v>56240</v>
          </cell>
          <cell r="F910">
            <v>0</v>
          </cell>
          <cell r="G910">
            <v>54250</v>
          </cell>
        </row>
        <row r="911">
          <cell r="A911" t="str">
            <v>43-5053</v>
          </cell>
          <cell r="B911" t="str">
            <v>Postal Service Mail Sorters, Processors, and Processing Machine Operators</v>
          </cell>
          <cell r="C911">
            <v>119530</v>
          </cell>
          <cell r="D911">
            <v>0.1</v>
          </cell>
          <cell r="E911">
            <v>52990</v>
          </cell>
          <cell r="F911">
            <v>0</v>
          </cell>
          <cell r="G911">
            <v>49130</v>
          </cell>
        </row>
        <row r="912">
          <cell r="A912" t="str">
            <v>43-5060</v>
          </cell>
          <cell r="B912" t="str">
            <v>Production, Planning, and Expediting Clerks</v>
          </cell>
          <cell r="C912">
            <v>389920</v>
          </cell>
          <cell r="D912">
            <v>1.3</v>
          </cell>
          <cell r="E912">
            <v>55080</v>
          </cell>
          <cell r="F912">
            <v>0.2</v>
          </cell>
          <cell r="G912">
            <v>50630</v>
          </cell>
        </row>
        <row r="913">
          <cell r="A913" t="str">
            <v>43-5061</v>
          </cell>
          <cell r="B913" t="str">
            <v>Production, Planning, and Expediting Clerks</v>
          </cell>
          <cell r="C913">
            <v>389920</v>
          </cell>
          <cell r="D913">
            <v>1.3</v>
          </cell>
          <cell r="E913">
            <v>55080</v>
          </cell>
          <cell r="F913">
            <v>0.2</v>
          </cell>
          <cell r="G913">
            <v>50630</v>
          </cell>
        </row>
        <row r="914">
          <cell r="A914" t="str">
            <v>43-5070</v>
          </cell>
          <cell r="B914" t="str">
            <v>Shipping, Receiving, and Inventory Clerks</v>
          </cell>
          <cell r="C914">
            <v>848240</v>
          </cell>
          <cell r="D914">
            <v>1.1000000000000001</v>
          </cell>
          <cell r="E914">
            <v>40450</v>
          </cell>
          <cell r="F914">
            <v>0.2</v>
          </cell>
          <cell r="G914">
            <v>37760</v>
          </cell>
        </row>
        <row r="915">
          <cell r="A915" t="str">
            <v>43-5071</v>
          </cell>
          <cell r="B915" t="str">
            <v>Shipping, Receiving, and Inventory Clerks</v>
          </cell>
          <cell r="C915">
            <v>848240</v>
          </cell>
          <cell r="D915">
            <v>1.1000000000000001</v>
          </cell>
          <cell r="E915">
            <v>40450</v>
          </cell>
          <cell r="F915">
            <v>0.2</v>
          </cell>
          <cell r="G915">
            <v>37760</v>
          </cell>
        </row>
        <row r="916">
          <cell r="A916" t="str">
            <v>43-5110</v>
          </cell>
          <cell r="B916" t="str">
            <v>Weighers, Measurers, Checkers, and Samplers, Recordkeeping</v>
          </cell>
          <cell r="C916">
            <v>52610</v>
          </cell>
          <cell r="D916">
            <v>2.4</v>
          </cell>
          <cell r="E916">
            <v>41470</v>
          </cell>
          <cell r="F916">
            <v>0.3</v>
          </cell>
          <cell r="G916">
            <v>39950</v>
          </cell>
        </row>
        <row r="917">
          <cell r="A917" t="str">
            <v>43-5111</v>
          </cell>
          <cell r="B917" t="str">
            <v>Weighers, Measurers, Checkers, and Samplers, Recordkeeping</v>
          </cell>
          <cell r="C917">
            <v>52610</v>
          </cell>
          <cell r="D917">
            <v>2.4</v>
          </cell>
          <cell r="E917">
            <v>41470</v>
          </cell>
          <cell r="F917">
            <v>0.3</v>
          </cell>
          <cell r="G917">
            <v>39950</v>
          </cell>
        </row>
        <row r="918">
          <cell r="A918" t="str">
            <v>43-6000</v>
          </cell>
          <cell r="B918" t="str">
            <v>Secretaries and Administrative Assistants</v>
          </cell>
          <cell r="C918">
            <v>3144510</v>
          </cell>
          <cell r="D918">
            <v>0.4</v>
          </cell>
          <cell r="E918">
            <v>47670</v>
          </cell>
          <cell r="F918">
            <v>0.3</v>
          </cell>
          <cell r="G918">
            <v>44080</v>
          </cell>
        </row>
        <row r="919">
          <cell r="A919" t="str">
            <v>43-6010</v>
          </cell>
          <cell r="B919" t="str">
            <v>Secretaries and Administrative Assistants</v>
          </cell>
          <cell r="C919">
            <v>3144510</v>
          </cell>
          <cell r="D919">
            <v>0.4</v>
          </cell>
          <cell r="E919">
            <v>47670</v>
          </cell>
          <cell r="F919">
            <v>0.3</v>
          </cell>
          <cell r="G919">
            <v>44080</v>
          </cell>
        </row>
        <row r="920">
          <cell r="A920" t="str">
            <v>43-6011</v>
          </cell>
          <cell r="B920" t="str">
            <v>Executive Secretaries and Executive Administrative Assistants</v>
          </cell>
          <cell r="C920">
            <v>475240</v>
          </cell>
          <cell r="D920">
            <v>1.1000000000000001</v>
          </cell>
          <cell r="E920">
            <v>71060</v>
          </cell>
          <cell r="F920">
            <v>0.3</v>
          </cell>
          <cell r="G920">
            <v>65980</v>
          </cell>
        </row>
        <row r="921">
          <cell r="A921" t="str">
            <v>43-6012</v>
          </cell>
          <cell r="B921" t="str">
            <v>Legal Secretaries and Administrative Assistants</v>
          </cell>
          <cell r="C921">
            <v>159940</v>
          </cell>
          <cell r="D921">
            <v>2.6</v>
          </cell>
          <cell r="E921">
            <v>54180</v>
          </cell>
          <cell r="F921">
            <v>1.8</v>
          </cell>
          <cell r="G921">
            <v>48780</v>
          </cell>
        </row>
        <row r="922">
          <cell r="A922" t="str">
            <v>43-6013</v>
          </cell>
          <cell r="B922" t="str">
            <v>Medical Secretaries and Administrative Assistants</v>
          </cell>
          <cell r="C922">
            <v>682630</v>
          </cell>
          <cell r="D922">
            <v>0.7</v>
          </cell>
          <cell r="E922">
            <v>41260</v>
          </cell>
          <cell r="F922">
            <v>0.3</v>
          </cell>
          <cell r="G922">
            <v>38500</v>
          </cell>
        </row>
        <row r="923">
          <cell r="A923" t="str">
            <v>43-6014</v>
          </cell>
          <cell r="B923" t="str">
            <v>Secretaries and Administrative Assistants, Except Legal, Medical, and Executive</v>
          </cell>
          <cell r="C923">
            <v>1826710</v>
          </cell>
          <cell r="D923">
            <v>0.8</v>
          </cell>
          <cell r="E923">
            <v>43410</v>
          </cell>
          <cell r="F923">
            <v>0.2</v>
          </cell>
          <cell r="G923">
            <v>41000</v>
          </cell>
        </row>
        <row r="924">
          <cell r="A924" t="str">
            <v>43-9000</v>
          </cell>
          <cell r="B924" t="str">
            <v>Other Office and Administrative Support Workers</v>
          </cell>
          <cell r="C924">
            <v>3235430</v>
          </cell>
          <cell r="D924">
            <v>0.4</v>
          </cell>
          <cell r="E924">
            <v>41550</v>
          </cell>
          <cell r="F924">
            <v>0.1</v>
          </cell>
          <cell r="G924">
            <v>38290</v>
          </cell>
        </row>
        <row r="925">
          <cell r="A925" t="str">
            <v>43-9020</v>
          </cell>
          <cell r="B925" t="str">
            <v>Data Entry and Information Processing Workers</v>
          </cell>
          <cell r="C925">
            <v>199370</v>
          </cell>
          <cell r="D925">
            <v>1.1000000000000001</v>
          </cell>
          <cell r="E925">
            <v>39450</v>
          </cell>
          <cell r="F925">
            <v>0.3</v>
          </cell>
          <cell r="G925">
            <v>37270</v>
          </cell>
        </row>
        <row r="926">
          <cell r="A926" t="str">
            <v>43-9021</v>
          </cell>
          <cell r="B926" t="str">
            <v>Data Entry Keyers</v>
          </cell>
          <cell r="C926">
            <v>157380</v>
          </cell>
          <cell r="D926">
            <v>1.3</v>
          </cell>
          <cell r="E926">
            <v>37970</v>
          </cell>
          <cell r="F926">
            <v>0.4</v>
          </cell>
          <cell r="G926">
            <v>36190</v>
          </cell>
        </row>
        <row r="927">
          <cell r="A927" t="str">
            <v>43-9022</v>
          </cell>
          <cell r="B927" t="str">
            <v>Word Processors and Typists</v>
          </cell>
          <cell r="C927">
            <v>41990</v>
          </cell>
          <cell r="D927">
            <v>1.9</v>
          </cell>
          <cell r="E927">
            <v>44990</v>
          </cell>
          <cell r="F927">
            <v>0.7</v>
          </cell>
          <cell r="G927">
            <v>44330</v>
          </cell>
        </row>
        <row r="928">
          <cell r="A928" t="str">
            <v>43-9030</v>
          </cell>
          <cell r="B928" t="str">
            <v>Desktop Publishers</v>
          </cell>
          <cell r="C928">
            <v>6560</v>
          </cell>
          <cell r="D928">
            <v>12.7</v>
          </cell>
          <cell r="E928">
            <v>53390</v>
          </cell>
          <cell r="F928">
            <v>8.6</v>
          </cell>
          <cell r="G928">
            <v>47910</v>
          </cell>
        </row>
        <row r="929">
          <cell r="A929" t="str">
            <v>43-9031</v>
          </cell>
          <cell r="B929" t="str">
            <v>Desktop Publishers</v>
          </cell>
          <cell r="C929">
            <v>6560</v>
          </cell>
          <cell r="D929">
            <v>12.7</v>
          </cell>
          <cell r="E929">
            <v>53390</v>
          </cell>
          <cell r="F929">
            <v>8.6</v>
          </cell>
          <cell r="G929">
            <v>47910</v>
          </cell>
        </row>
        <row r="930">
          <cell r="A930" t="str">
            <v>43-9040</v>
          </cell>
          <cell r="B930" t="str">
            <v>Insurance Claims and Policy Processing Clerks</v>
          </cell>
          <cell r="C930">
            <v>227580</v>
          </cell>
          <cell r="D930">
            <v>1.3</v>
          </cell>
          <cell r="E930">
            <v>47840</v>
          </cell>
          <cell r="F930">
            <v>0.4</v>
          </cell>
          <cell r="G930">
            <v>46080</v>
          </cell>
        </row>
        <row r="931">
          <cell r="A931" t="str">
            <v>43-9041</v>
          </cell>
          <cell r="B931" t="str">
            <v>Insurance Claims and Policy Processing Clerks</v>
          </cell>
          <cell r="C931">
            <v>227580</v>
          </cell>
          <cell r="D931">
            <v>1.3</v>
          </cell>
          <cell r="E931">
            <v>47840</v>
          </cell>
          <cell r="F931">
            <v>0.4</v>
          </cell>
          <cell r="G931">
            <v>46080</v>
          </cell>
        </row>
        <row r="932">
          <cell r="A932" t="str">
            <v>43-9050</v>
          </cell>
          <cell r="B932" t="str">
            <v>Mail Clerks and Mail Machine Operators, Except Postal Service</v>
          </cell>
          <cell r="C932">
            <v>67750</v>
          </cell>
          <cell r="D932">
            <v>2</v>
          </cell>
          <cell r="E932">
            <v>36210</v>
          </cell>
          <cell r="F932">
            <v>0.4</v>
          </cell>
          <cell r="G932">
            <v>35070</v>
          </cell>
        </row>
        <row r="933">
          <cell r="A933" t="str">
            <v>43-9051</v>
          </cell>
          <cell r="B933" t="str">
            <v>Mail Clerks and Mail Machine Operators, Except Postal Service</v>
          </cell>
          <cell r="C933">
            <v>67750</v>
          </cell>
          <cell r="D933">
            <v>2</v>
          </cell>
          <cell r="E933">
            <v>36210</v>
          </cell>
          <cell r="F933">
            <v>0.4</v>
          </cell>
          <cell r="G933">
            <v>35070</v>
          </cell>
        </row>
        <row r="934">
          <cell r="A934" t="str">
            <v>43-9060</v>
          </cell>
          <cell r="B934" t="str">
            <v>Office Clerks, General</v>
          </cell>
          <cell r="C934">
            <v>2517350</v>
          </cell>
          <cell r="D934">
            <v>0.6</v>
          </cell>
          <cell r="E934">
            <v>41140</v>
          </cell>
          <cell r="F934">
            <v>0.1</v>
          </cell>
          <cell r="G934">
            <v>38040</v>
          </cell>
        </row>
        <row r="935">
          <cell r="A935" t="str">
            <v>43-9061</v>
          </cell>
          <cell r="B935" t="str">
            <v>Office Clerks, General</v>
          </cell>
          <cell r="C935">
            <v>2517350</v>
          </cell>
          <cell r="D935">
            <v>0.6</v>
          </cell>
          <cell r="E935">
            <v>41140</v>
          </cell>
          <cell r="F935">
            <v>0.1</v>
          </cell>
          <cell r="G935">
            <v>38040</v>
          </cell>
        </row>
        <row r="936">
          <cell r="A936" t="str">
            <v>43-9070</v>
          </cell>
          <cell r="B936" t="str">
            <v>Office Machine Operators, Except Computer</v>
          </cell>
          <cell r="C936">
            <v>30410</v>
          </cell>
          <cell r="D936">
            <v>2.7</v>
          </cell>
          <cell r="E936">
            <v>38300</v>
          </cell>
          <cell r="F936">
            <v>0.5</v>
          </cell>
          <cell r="G936">
            <v>36710</v>
          </cell>
        </row>
        <row r="937">
          <cell r="A937" t="str">
            <v>43-9071</v>
          </cell>
          <cell r="B937" t="str">
            <v>Office Machine Operators, Except Computer</v>
          </cell>
          <cell r="C937">
            <v>30410</v>
          </cell>
          <cell r="D937">
            <v>2.7</v>
          </cell>
          <cell r="E937">
            <v>38300</v>
          </cell>
          <cell r="F937">
            <v>0.5</v>
          </cell>
          <cell r="G937">
            <v>36710</v>
          </cell>
        </row>
        <row r="938">
          <cell r="A938" t="str">
            <v>43-9080</v>
          </cell>
          <cell r="B938" t="str">
            <v>Proofreaders and Copy Markers</v>
          </cell>
          <cell r="C938">
            <v>5120</v>
          </cell>
          <cell r="D938">
            <v>5</v>
          </cell>
          <cell r="E938">
            <v>48770</v>
          </cell>
          <cell r="F938">
            <v>1.3</v>
          </cell>
          <cell r="G938">
            <v>45410</v>
          </cell>
        </row>
        <row r="939">
          <cell r="A939" t="str">
            <v>43-9081</v>
          </cell>
          <cell r="B939" t="str">
            <v>Proofreaders and Copy Markers</v>
          </cell>
          <cell r="C939">
            <v>5120</v>
          </cell>
          <cell r="D939">
            <v>5</v>
          </cell>
          <cell r="E939">
            <v>48770</v>
          </cell>
          <cell r="F939">
            <v>1.3</v>
          </cell>
          <cell r="G939">
            <v>45410</v>
          </cell>
        </row>
        <row r="940">
          <cell r="A940" t="str">
            <v>43-9110</v>
          </cell>
          <cell r="B940" t="str">
            <v>Statistical Assistants</v>
          </cell>
          <cell r="C940">
            <v>6710</v>
          </cell>
          <cell r="D940">
            <v>2.8</v>
          </cell>
          <cell r="E940">
            <v>54630</v>
          </cell>
          <cell r="F940">
            <v>1.3</v>
          </cell>
          <cell r="G940">
            <v>48880</v>
          </cell>
        </row>
        <row r="941">
          <cell r="A941" t="str">
            <v>43-9111</v>
          </cell>
          <cell r="B941" t="str">
            <v>Statistical Assistants</v>
          </cell>
          <cell r="C941">
            <v>6710</v>
          </cell>
          <cell r="D941">
            <v>2.8</v>
          </cell>
          <cell r="E941">
            <v>54630</v>
          </cell>
          <cell r="F941">
            <v>1.3</v>
          </cell>
          <cell r="G941">
            <v>48880</v>
          </cell>
        </row>
        <row r="942">
          <cell r="A942" t="str">
            <v>43-9190</v>
          </cell>
          <cell r="B942" t="str">
            <v>Miscellaneous Office and Administrative Support Workers</v>
          </cell>
          <cell r="C942">
            <v>174590</v>
          </cell>
          <cell r="D942">
            <v>0.8</v>
          </cell>
          <cell r="E942">
            <v>43150</v>
          </cell>
          <cell r="F942">
            <v>0.3</v>
          </cell>
          <cell r="G942">
            <v>38660</v>
          </cell>
        </row>
        <row r="943">
          <cell r="A943" t="str">
            <v>43-9199</v>
          </cell>
          <cell r="B943" t="str">
            <v>Office and Administrative Support Workers, All Other</v>
          </cell>
          <cell r="C943">
            <v>174590</v>
          </cell>
          <cell r="D943">
            <v>0.8</v>
          </cell>
          <cell r="E943">
            <v>43150</v>
          </cell>
          <cell r="F943">
            <v>0.3</v>
          </cell>
          <cell r="G943">
            <v>38660</v>
          </cell>
        </row>
        <row r="944">
          <cell r="A944" t="str">
            <v>45-0000</v>
          </cell>
          <cell r="B944" t="str">
            <v>Farming, Fishing, and Forestry Occupations</v>
          </cell>
          <cell r="C944">
            <v>461750</v>
          </cell>
          <cell r="D944">
            <v>1.2</v>
          </cell>
          <cell r="E944">
            <v>37870</v>
          </cell>
          <cell r="F944">
            <v>1.2</v>
          </cell>
          <cell r="G944">
            <v>33970</v>
          </cell>
        </row>
        <row r="945">
          <cell r="A945" t="str">
            <v>45-1000</v>
          </cell>
          <cell r="B945" t="str">
            <v>Supervisors of Farming, Fishing, and Forestry Workers</v>
          </cell>
          <cell r="C945">
            <v>27670</v>
          </cell>
          <cell r="D945">
            <v>2.4</v>
          </cell>
          <cell r="E945">
            <v>58820</v>
          </cell>
          <cell r="F945">
            <v>1.6</v>
          </cell>
          <cell r="G945">
            <v>54490</v>
          </cell>
        </row>
        <row r="946">
          <cell r="A946" t="str">
            <v>45-1010</v>
          </cell>
          <cell r="B946" t="str">
            <v>First-Line Supervisors of Farming, Fishing, and Forestry Workers</v>
          </cell>
          <cell r="C946">
            <v>27670</v>
          </cell>
          <cell r="D946">
            <v>2.4</v>
          </cell>
          <cell r="E946">
            <v>58820</v>
          </cell>
          <cell r="F946">
            <v>1.6</v>
          </cell>
          <cell r="G946">
            <v>54490</v>
          </cell>
        </row>
        <row r="947">
          <cell r="A947" t="str">
            <v>45-1011</v>
          </cell>
          <cell r="B947" t="str">
            <v>First-Line Supervisors of Farming, Fishing, and Forestry Workers</v>
          </cell>
          <cell r="C947">
            <v>27670</v>
          </cell>
          <cell r="D947">
            <v>2.4</v>
          </cell>
          <cell r="E947">
            <v>58820</v>
          </cell>
          <cell r="F947">
            <v>1.6</v>
          </cell>
          <cell r="G947">
            <v>54490</v>
          </cell>
        </row>
        <row r="948">
          <cell r="A948" t="str">
            <v>45-2000</v>
          </cell>
          <cell r="B948" t="str">
            <v>Agricultural Workers</v>
          </cell>
          <cell r="C948">
            <v>390500</v>
          </cell>
          <cell r="D948">
            <v>1</v>
          </cell>
          <cell r="E948">
            <v>35440</v>
          </cell>
          <cell r="F948">
            <v>1.2</v>
          </cell>
          <cell r="G948">
            <v>33410</v>
          </cell>
        </row>
        <row r="949">
          <cell r="A949" t="str">
            <v>45-2010</v>
          </cell>
          <cell r="B949" t="str">
            <v>Agricultural Inspectors</v>
          </cell>
          <cell r="C949">
            <v>14000</v>
          </cell>
          <cell r="D949">
            <v>3</v>
          </cell>
          <cell r="E949">
            <v>49020</v>
          </cell>
          <cell r="F949">
            <v>0.9</v>
          </cell>
          <cell r="G949">
            <v>44720</v>
          </cell>
        </row>
        <row r="950">
          <cell r="A950" t="str">
            <v>45-2011</v>
          </cell>
          <cell r="B950" t="str">
            <v>Agricultural Inspectors</v>
          </cell>
          <cell r="C950">
            <v>14000</v>
          </cell>
          <cell r="D950">
            <v>3</v>
          </cell>
          <cell r="E950">
            <v>49020</v>
          </cell>
          <cell r="F950">
            <v>0.9</v>
          </cell>
          <cell r="G950">
            <v>44720</v>
          </cell>
        </row>
        <row r="951">
          <cell r="A951" t="str">
            <v>45-2020</v>
          </cell>
          <cell r="B951" t="str">
            <v>Animal Breeders</v>
          </cell>
          <cell r="C951">
            <v>1270</v>
          </cell>
          <cell r="D951">
            <v>11.3</v>
          </cell>
          <cell r="E951">
            <v>48650</v>
          </cell>
          <cell r="F951">
            <v>2.8</v>
          </cell>
          <cell r="G951">
            <v>45320</v>
          </cell>
        </row>
        <row r="952">
          <cell r="A952" t="str">
            <v>45-2021</v>
          </cell>
          <cell r="B952" t="str">
            <v>Animal Breeders</v>
          </cell>
          <cell r="C952">
            <v>1270</v>
          </cell>
          <cell r="D952">
            <v>11.3</v>
          </cell>
          <cell r="E952">
            <v>48650</v>
          </cell>
          <cell r="F952">
            <v>2.8</v>
          </cell>
          <cell r="G952">
            <v>45320</v>
          </cell>
        </row>
        <row r="953">
          <cell r="A953" t="str">
            <v>45-2040</v>
          </cell>
          <cell r="B953" t="str">
            <v>Graders and Sorters, Agricultural Products</v>
          </cell>
          <cell r="C953">
            <v>23280</v>
          </cell>
          <cell r="D953">
            <v>3.1</v>
          </cell>
          <cell r="E953">
            <v>32990</v>
          </cell>
          <cell r="F953">
            <v>1.2</v>
          </cell>
          <cell r="G953">
            <v>32550</v>
          </cell>
        </row>
        <row r="954">
          <cell r="A954" t="str">
            <v>45-2041</v>
          </cell>
          <cell r="B954" t="str">
            <v>Graders and Sorters, Agricultural Products</v>
          </cell>
          <cell r="C954">
            <v>23280</v>
          </cell>
          <cell r="D954">
            <v>3.1</v>
          </cell>
          <cell r="E954">
            <v>32990</v>
          </cell>
          <cell r="F954">
            <v>1.2</v>
          </cell>
          <cell r="G954">
            <v>32550</v>
          </cell>
        </row>
        <row r="955">
          <cell r="A955" t="str">
            <v>45-2090</v>
          </cell>
          <cell r="B955" t="str">
            <v>Miscellaneous Agricultural Workers</v>
          </cell>
          <cell r="C955">
            <v>351950</v>
          </cell>
          <cell r="D955">
            <v>1.1000000000000001</v>
          </cell>
          <cell r="E955">
            <v>35020</v>
          </cell>
          <cell r="F955">
            <v>1.3</v>
          </cell>
          <cell r="G955">
            <v>33290</v>
          </cell>
        </row>
        <row r="956">
          <cell r="A956" t="str">
            <v>45-2091</v>
          </cell>
          <cell r="B956" t="str">
            <v>Agricultural Equipment Operators</v>
          </cell>
          <cell r="C956">
            <v>28830</v>
          </cell>
          <cell r="D956">
            <v>4.2</v>
          </cell>
          <cell r="E956">
            <v>39750</v>
          </cell>
          <cell r="F956">
            <v>1.2</v>
          </cell>
          <cell r="G956">
            <v>37780</v>
          </cell>
        </row>
        <row r="957">
          <cell r="A957" t="str">
            <v>45-2092</v>
          </cell>
          <cell r="B957" t="str">
            <v>Farmworkers and Laborers, Crop, Nursery, and Greenhouse</v>
          </cell>
          <cell r="C957">
            <v>284000</v>
          </cell>
          <cell r="D957">
            <v>1</v>
          </cell>
          <cell r="E957">
            <v>34300</v>
          </cell>
          <cell r="F957">
            <v>1.3</v>
          </cell>
          <cell r="G957">
            <v>33000</v>
          </cell>
        </row>
        <row r="958">
          <cell r="A958" t="str">
            <v>45-2093</v>
          </cell>
          <cell r="B958" t="str">
            <v>Farmworkers, Farm, Ranch, and Aquacultural Animals</v>
          </cell>
          <cell r="C958">
            <v>33020</v>
          </cell>
          <cell r="D958">
            <v>3</v>
          </cell>
          <cell r="E958">
            <v>36290</v>
          </cell>
          <cell r="F958">
            <v>1.3</v>
          </cell>
          <cell r="G958">
            <v>34150</v>
          </cell>
        </row>
        <row r="959">
          <cell r="A959" t="str">
            <v>45-2099</v>
          </cell>
          <cell r="B959" t="str">
            <v>Agricultural Workers, All Other</v>
          </cell>
          <cell r="C959">
            <v>6100</v>
          </cell>
          <cell r="D959">
            <v>7.3</v>
          </cell>
          <cell r="E959">
            <v>39180</v>
          </cell>
          <cell r="F959">
            <v>2.2999999999999998</v>
          </cell>
          <cell r="G959">
            <v>35720</v>
          </cell>
        </row>
        <row r="960">
          <cell r="A960" t="str">
            <v>45-4000</v>
          </cell>
          <cell r="B960" t="str">
            <v>Forest, Conservation, and Logging Workers</v>
          </cell>
          <cell r="C960">
            <v>42830</v>
          </cell>
          <cell r="D960">
            <v>3.3</v>
          </cell>
          <cell r="E960">
            <v>46210</v>
          </cell>
          <cell r="F960">
            <v>1.3</v>
          </cell>
          <cell r="G960">
            <v>45050</v>
          </cell>
        </row>
        <row r="961">
          <cell r="A961" t="str">
            <v>45-4010</v>
          </cell>
          <cell r="B961" t="str">
            <v>Forest and Conservation Workers</v>
          </cell>
          <cell r="C961">
            <v>6080</v>
          </cell>
          <cell r="D961">
            <v>8.6</v>
          </cell>
          <cell r="E961">
            <v>36010</v>
          </cell>
          <cell r="F961">
            <v>1.8</v>
          </cell>
          <cell r="G961">
            <v>32270</v>
          </cell>
        </row>
        <row r="962">
          <cell r="A962" t="str">
            <v>45-4011</v>
          </cell>
          <cell r="B962" t="str">
            <v>Forest and Conservation Workers</v>
          </cell>
          <cell r="C962">
            <v>6080</v>
          </cell>
          <cell r="D962">
            <v>8.6</v>
          </cell>
          <cell r="E962">
            <v>36010</v>
          </cell>
          <cell r="F962">
            <v>1.8</v>
          </cell>
          <cell r="G962">
            <v>32270</v>
          </cell>
        </row>
        <row r="963">
          <cell r="A963" t="str">
            <v>45-4020</v>
          </cell>
          <cell r="B963" t="str">
            <v>Logging Workers</v>
          </cell>
          <cell r="C963">
            <v>36750</v>
          </cell>
          <cell r="D963">
            <v>4.0999999999999996</v>
          </cell>
          <cell r="E963">
            <v>47900</v>
          </cell>
          <cell r="F963">
            <v>1.3</v>
          </cell>
          <cell r="G963">
            <v>46580</v>
          </cell>
        </row>
        <row r="964">
          <cell r="A964" t="str">
            <v>45-4021</v>
          </cell>
          <cell r="B964" t="str">
            <v>Fallers</v>
          </cell>
          <cell r="C964">
            <v>4530</v>
          </cell>
          <cell r="D964">
            <v>7.7</v>
          </cell>
          <cell r="E964">
            <v>58130</v>
          </cell>
          <cell r="F964">
            <v>3.8</v>
          </cell>
          <cell r="G964">
            <v>49160</v>
          </cell>
        </row>
        <row r="965">
          <cell r="A965" t="str">
            <v>45-4022</v>
          </cell>
          <cell r="B965" t="str">
            <v>Logging Equipment Operators</v>
          </cell>
          <cell r="C965">
            <v>24780</v>
          </cell>
          <cell r="D965">
            <v>4.0999999999999996</v>
          </cell>
          <cell r="E965">
            <v>46570</v>
          </cell>
          <cell r="F965">
            <v>1.4</v>
          </cell>
          <cell r="G965">
            <v>46400</v>
          </cell>
        </row>
        <row r="966">
          <cell r="A966" t="str">
            <v>45-4023</v>
          </cell>
          <cell r="B966" t="str">
            <v>Log Graders and Scalers</v>
          </cell>
          <cell r="C966">
            <v>3950</v>
          </cell>
          <cell r="D966">
            <v>5.4</v>
          </cell>
          <cell r="E966">
            <v>44570</v>
          </cell>
          <cell r="F966">
            <v>2.1</v>
          </cell>
          <cell r="G966">
            <v>42370</v>
          </cell>
        </row>
        <row r="967">
          <cell r="A967" t="str">
            <v>45-4029</v>
          </cell>
          <cell r="B967" t="str">
            <v>Logging Workers, All Other</v>
          </cell>
          <cell r="C967">
            <v>3490</v>
          </cell>
          <cell r="D967">
            <v>16.100000000000001</v>
          </cell>
          <cell r="E967">
            <v>47850</v>
          </cell>
          <cell r="F967">
            <v>1.7</v>
          </cell>
          <cell r="G967">
            <v>47110</v>
          </cell>
        </row>
        <row r="968">
          <cell r="A968" t="str">
            <v>47-0000</v>
          </cell>
          <cell r="B968" t="str">
            <v>Construction and Extraction Occupations</v>
          </cell>
          <cell r="C968">
            <v>6075520</v>
          </cell>
          <cell r="D968">
            <v>0.3</v>
          </cell>
          <cell r="E968">
            <v>58400</v>
          </cell>
          <cell r="F968">
            <v>0.3</v>
          </cell>
          <cell r="G968">
            <v>50570</v>
          </cell>
        </row>
        <row r="969">
          <cell r="A969" t="str">
            <v>47-1000</v>
          </cell>
          <cell r="B969" t="str">
            <v>Supervisors of Construction and Extraction Workers</v>
          </cell>
          <cell r="C969">
            <v>720900</v>
          </cell>
          <cell r="D969">
            <v>0.6</v>
          </cell>
          <cell r="E969">
            <v>77650</v>
          </cell>
          <cell r="F969">
            <v>0.3</v>
          </cell>
          <cell r="G969">
            <v>74080</v>
          </cell>
        </row>
        <row r="970">
          <cell r="A970" t="str">
            <v>47-1010</v>
          </cell>
          <cell r="B970" t="str">
            <v>First-Line Supervisors of Construction Trades and Extraction Workers</v>
          </cell>
          <cell r="C970">
            <v>720900</v>
          </cell>
          <cell r="D970">
            <v>0.6</v>
          </cell>
          <cell r="E970">
            <v>77650</v>
          </cell>
          <cell r="F970">
            <v>0.3</v>
          </cell>
          <cell r="G970">
            <v>74080</v>
          </cell>
        </row>
        <row r="971">
          <cell r="A971" t="str">
            <v>47-1011</v>
          </cell>
          <cell r="B971" t="str">
            <v>First-Line Supervisors of Construction Trades and Extraction Workers</v>
          </cell>
          <cell r="C971">
            <v>720900</v>
          </cell>
          <cell r="D971">
            <v>0.6</v>
          </cell>
          <cell r="E971">
            <v>77650</v>
          </cell>
          <cell r="F971">
            <v>0.3</v>
          </cell>
          <cell r="G971">
            <v>74080</v>
          </cell>
        </row>
        <row r="972">
          <cell r="A972" t="str">
            <v>47-2000</v>
          </cell>
          <cell r="B972" t="str">
            <v>Construction Trades Workers</v>
          </cell>
          <cell r="C972">
            <v>4509820</v>
          </cell>
          <cell r="D972">
            <v>0.4</v>
          </cell>
          <cell r="E972">
            <v>56510</v>
          </cell>
          <cell r="F972">
            <v>0.3</v>
          </cell>
          <cell r="G972">
            <v>49330</v>
          </cell>
        </row>
        <row r="973">
          <cell r="A973" t="str">
            <v>47-2010</v>
          </cell>
          <cell r="B973" t="str">
            <v>Boilermakers</v>
          </cell>
          <cell r="C973">
            <v>13570</v>
          </cell>
          <cell r="D973">
            <v>5.4</v>
          </cell>
          <cell r="E973">
            <v>69780</v>
          </cell>
          <cell r="F973">
            <v>1.9</v>
          </cell>
          <cell r="G973">
            <v>66920</v>
          </cell>
        </row>
        <row r="974">
          <cell r="A974" t="str">
            <v>47-2011</v>
          </cell>
          <cell r="B974" t="str">
            <v>Boilermakers</v>
          </cell>
          <cell r="C974">
            <v>13570</v>
          </cell>
          <cell r="D974">
            <v>5.4</v>
          </cell>
          <cell r="E974">
            <v>69780</v>
          </cell>
          <cell r="F974">
            <v>1.9</v>
          </cell>
          <cell r="G974">
            <v>66920</v>
          </cell>
        </row>
        <row r="975">
          <cell r="A975" t="str">
            <v>47-2020</v>
          </cell>
          <cell r="B975" t="str">
            <v>Brickmasons, Blockmasons, and Stonemasons</v>
          </cell>
          <cell r="C975">
            <v>65750</v>
          </cell>
          <cell r="D975">
            <v>1.8</v>
          </cell>
          <cell r="E975">
            <v>61400</v>
          </cell>
          <cell r="F975">
            <v>0.9</v>
          </cell>
          <cell r="G975">
            <v>58290</v>
          </cell>
        </row>
        <row r="976">
          <cell r="A976" t="str">
            <v>47-2021</v>
          </cell>
          <cell r="B976" t="str">
            <v>Brickmasons and Blockmasons</v>
          </cell>
          <cell r="C976">
            <v>55530</v>
          </cell>
          <cell r="D976">
            <v>1.8</v>
          </cell>
          <cell r="E976">
            <v>62380</v>
          </cell>
          <cell r="F976">
            <v>0.9</v>
          </cell>
          <cell r="G976">
            <v>59000</v>
          </cell>
        </row>
        <row r="977">
          <cell r="A977" t="str">
            <v>47-2022</v>
          </cell>
          <cell r="B977" t="str">
            <v>Stonemasons</v>
          </cell>
          <cell r="C977">
            <v>10220</v>
          </cell>
          <cell r="D977">
            <v>6.7</v>
          </cell>
          <cell r="E977">
            <v>56100</v>
          </cell>
          <cell r="F977">
            <v>2.1</v>
          </cell>
          <cell r="G977">
            <v>50210</v>
          </cell>
        </row>
        <row r="978">
          <cell r="A978" t="str">
            <v>47-2030</v>
          </cell>
          <cell r="B978" t="str">
            <v>Carpenters</v>
          </cell>
          <cell r="C978">
            <v>689770</v>
          </cell>
          <cell r="D978">
            <v>1.4</v>
          </cell>
          <cell r="E978">
            <v>58210</v>
          </cell>
          <cell r="F978">
            <v>0.4</v>
          </cell>
          <cell r="G978">
            <v>51390</v>
          </cell>
        </row>
        <row r="979">
          <cell r="A979" t="str">
            <v>47-2031</v>
          </cell>
          <cell r="B979" t="str">
            <v>Carpenters</v>
          </cell>
          <cell r="C979">
            <v>689770</v>
          </cell>
          <cell r="D979">
            <v>1.4</v>
          </cell>
          <cell r="E979">
            <v>58210</v>
          </cell>
          <cell r="F979">
            <v>0.4</v>
          </cell>
          <cell r="G979">
            <v>51390</v>
          </cell>
        </row>
        <row r="980">
          <cell r="A980" t="str">
            <v>47-2040</v>
          </cell>
          <cell r="B980" t="str">
            <v>Carpet, Floor, and Tile Installers and Finishers</v>
          </cell>
          <cell r="C980">
            <v>83150</v>
          </cell>
          <cell r="D980">
            <v>3</v>
          </cell>
          <cell r="E980">
            <v>52880</v>
          </cell>
          <cell r="F980">
            <v>0.8</v>
          </cell>
          <cell r="G980">
            <v>47890</v>
          </cell>
        </row>
        <row r="981">
          <cell r="A981" t="str">
            <v>47-2041</v>
          </cell>
          <cell r="B981" t="str">
            <v>Carpet Installers</v>
          </cell>
          <cell r="C981">
            <v>17400</v>
          </cell>
          <cell r="D981">
            <v>4</v>
          </cell>
          <cell r="E981">
            <v>49520</v>
          </cell>
          <cell r="F981">
            <v>1.6</v>
          </cell>
          <cell r="G981">
            <v>45240</v>
          </cell>
        </row>
        <row r="982">
          <cell r="A982" t="str">
            <v>47-2042</v>
          </cell>
          <cell r="B982" t="str">
            <v>Floor Layers, Except Carpet, Wood, and Hard Tiles</v>
          </cell>
          <cell r="C982">
            <v>20710</v>
          </cell>
          <cell r="D982">
            <v>4.0999999999999996</v>
          </cell>
          <cell r="E982">
            <v>54870</v>
          </cell>
          <cell r="F982">
            <v>1.7</v>
          </cell>
          <cell r="G982">
            <v>48870</v>
          </cell>
        </row>
        <row r="983">
          <cell r="A983" t="str">
            <v>47-2043</v>
          </cell>
          <cell r="B983" t="str">
            <v>Floor Sanders and Finishers</v>
          </cell>
          <cell r="C983">
            <v>4270</v>
          </cell>
          <cell r="D983">
            <v>9</v>
          </cell>
          <cell r="E983">
            <v>49330</v>
          </cell>
          <cell r="F983">
            <v>3.6</v>
          </cell>
          <cell r="G983">
            <v>46060</v>
          </cell>
        </row>
        <row r="984">
          <cell r="A984" t="str">
            <v>47-2044</v>
          </cell>
          <cell r="B984" t="str">
            <v>Tile and Stone Setters</v>
          </cell>
          <cell r="C984">
            <v>40760</v>
          </cell>
          <cell r="D984">
            <v>4.5</v>
          </cell>
          <cell r="E984">
            <v>53680</v>
          </cell>
          <cell r="F984">
            <v>1.1000000000000001</v>
          </cell>
          <cell r="G984">
            <v>48340</v>
          </cell>
        </row>
        <row r="985">
          <cell r="A985" t="str">
            <v>47-2050</v>
          </cell>
          <cell r="B985" t="str">
            <v>Cement Masons, Concrete Finishers, and Terrazzo Workers</v>
          </cell>
          <cell r="C985">
            <v>198190</v>
          </cell>
          <cell r="D985">
            <v>1.3</v>
          </cell>
          <cell r="E985">
            <v>53950</v>
          </cell>
          <cell r="F985">
            <v>0.6</v>
          </cell>
          <cell r="G985">
            <v>48330</v>
          </cell>
        </row>
        <row r="986">
          <cell r="A986" t="str">
            <v>47-2051</v>
          </cell>
          <cell r="B986" t="str">
            <v>Cement Masons and Concrete Finishers</v>
          </cell>
          <cell r="C986">
            <v>196730</v>
          </cell>
          <cell r="D986">
            <v>1.3</v>
          </cell>
          <cell r="E986">
            <v>53890</v>
          </cell>
          <cell r="F986">
            <v>0.6</v>
          </cell>
          <cell r="G986">
            <v>48300</v>
          </cell>
        </row>
        <row r="987">
          <cell r="A987" t="str">
            <v>47-2053</v>
          </cell>
          <cell r="B987" t="str">
            <v>Terrazzo Workers and Finishers</v>
          </cell>
          <cell r="C987">
            <v>1460</v>
          </cell>
          <cell r="D987">
            <v>17.8</v>
          </cell>
          <cell r="E987">
            <v>61680</v>
          </cell>
          <cell r="F987">
            <v>5.3</v>
          </cell>
          <cell r="G987">
            <v>52330</v>
          </cell>
        </row>
        <row r="988">
          <cell r="A988" t="str">
            <v>47-2060</v>
          </cell>
          <cell r="B988" t="str">
            <v>Construction Laborers</v>
          </cell>
          <cell r="C988">
            <v>1012780</v>
          </cell>
          <cell r="D988">
            <v>0.9</v>
          </cell>
          <cell r="E988">
            <v>46350</v>
          </cell>
          <cell r="F988">
            <v>0.4</v>
          </cell>
          <cell r="G988">
            <v>40750</v>
          </cell>
        </row>
        <row r="989">
          <cell r="A989" t="str">
            <v>47-2061</v>
          </cell>
          <cell r="B989" t="str">
            <v>Construction Laborers</v>
          </cell>
          <cell r="C989">
            <v>1012780</v>
          </cell>
          <cell r="D989">
            <v>0.9</v>
          </cell>
          <cell r="E989">
            <v>46350</v>
          </cell>
          <cell r="F989">
            <v>0.4</v>
          </cell>
          <cell r="G989">
            <v>40750</v>
          </cell>
        </row>
        <row r="990">
          <cell r="A990" t="str">
            <v>47-2070</v>
          </cell>
          <cell r="B990" t="str">
            <v>Construction Equipment Operators</v>
          </cell>
          <cell r="C990">
            <v>467800</v>
          </cell>
          <cell r="D990">
            <v>0.7</v>
          </cell>
          <cell r="E990">
            <v>58910</v>
          </cell>
          <cell r="F990">
            <v>0.4</v>
          </cell>
          <cell r="G990">
            <v>51050</v>
          </cell>
        </row>
        <row r="991">
          <cell r="A991" t="str">
            <v>47-2071</v>
          </cell>
          <cell r="B991" t="str">
            <v>Paving, Surfacing, and Tamping Equipment Operators</v>
          </cell>
          <cell r="C991">
            <v>41470</v>
          </cell>
          <cell r="D991">
            <v>2.8</v>
          </cell>
          <cell r="E991">
            <v>52730</v>
          </cell>
          <cell r="F991">
            <v>1</v>
          </cell>
          <cell r="G991">
            <v>47270</v>
          </cell>
        </row>
        <row r="992">
          <cell r="A992" t="str">
            <v>47-2072</v>
          </cell>
          <cell r="B992" t="str">
            <v>Pile Driver Operators</v>
          </cell>
          <cell r="C992">
            <v>3290</v>
          </cell>
          <cell r="D992">
            <v>9.3000000000000007</v>
          </cell>
          <cell r="E992">
            <v>70220</v>
          </cell>
          <cell r="F992">
            <v>3.4</v>
          </cell>
          <cell r="G992">
            <v>64310</v>
          </cell>
        </row>
        <row r="993">
          <cell r="A993" t="str">
            <v>47-2073</v>
          </cell>
          <cell r="B993" t="str">
            <v>Operating Engineers and Other Construction Equipment Operators</v>
          </cell>
          <cell r="C993">
            <v>423040</v>
          </cell>
          <cell r="D993">
            <v>0.7</v>
          </cell>
          <cell r="E993">
            <v>59420</v>
          </cell>
          <cell r="F993">
            <v>0.4</v>
          </cell>
          <cell r="G993">
            <v>51430</v>
          </cell>
        </row>
        <row r="994">
          <cell r="A994" t="str">
            <v>47-2080</v>
          </cell>
          <cell r="B994" t="str">
            <v>Drywall Installers, Ceiling Tile Installers, and Tapers</v>
          </cell>
          <cell r="C994">
            <v>105880</v>
          </cell>
          <cell r="D994">
            <v>1.6</v>
          </cell>
          <cell r="E994">
            <v>58960</v>
          </cell>
          <cell r="F994">
            <v>1.1000000000000001</v>
          </cell>
          <cell r="G994">
            <v>51160</v>
          </cell>
        </row>
        <row r="995">
          <cell r="A995" t="str">
            <v>47-2081</v>
          </cell>
          <cell r="B995" t="str">
            <v>Drywall and Ceiling Tile Installers</v>
          </cell>
          <cell r="C995">
            <v>91590</v>
          </cell>
          <cell r="D995">
            <v>1.8</v>
          </cell>
          <cell r="E995">
            <v>57880</v>
          </cell>
          <cell r="F995">
            <v>1.2</v>
          </cell>
          <cell r="G995">
            <v>50440</v>
          </cell>
        </row>
        <row r="996">
          <cell r="A996" t="str">
            <v>47-2082</v>
          </cell>
          <cell r="B996" t="str">
            <v>Tapers</v>
          </cell>
          <cell r="C996">
            <v>14290</v>
          </cell>
          <cell r="D996">
            <v>3.7</v>
          </cell>
          <cell r="E996">
            <v>65880</v>
          </cell>
          <cell r="F996">
            <v>1.6</v>
          </cell>
          <cell r="G996">
            <v>62360</v>
          </cell>
        </row>
        <row r="997">
          <cell r="A997" t="str">
            <v>47-2110</v>
          </cell>
          <cell r="B997" t="str">
            <v>Electricians</v>
          </cell>
          <cell r="C997">
            <v>690050</v>
          </cell>
          <cell r="D997">
            <v>0.7</v>
          </cell>
          <cell r="E997">
            <v>65280</v>
          </cell>
          <cell r="F997">
            <v>0.4</v>
          </cell>
          <cell r="G997">
            <v>60240</v>
          </cell>
        </row>
        <row r="998">
          <cell r="A998" t="str">
            <v>47-2111</v>
          </cell>
          <cell r="B998" t="str">
            <v>Electricians</v>
          </cell>
          <cell r="C998">
            <v>690050</v>
          </cell>
          <cell r="D998">
            <v>0.7</v>
          </cell>
          <cell r="E998">
            <v>65280</v>
          </cell>
          <cell r="F998">
            <v>0.4</v>
          </cell>
          <cell r="G998">
            <v>60240</v>
          </cell>
        </row>
        <row r="999">
          <cell r="A999" t="str">
            <v>47-2120</v>
          </cell>
          <cell r="B999" t="str">
            <v>Glaziers</v>
          </cell>
          <cell r="C999">
            <v>51630</v>
          </cell>
          <cell r="D999">
            <v>5.0999999999999996</v>
          </cell>
          <cell r="E999">
            <v>55160</v>
          </cell>
          <cell r="F999">
            <v>1.4</v>
          </cell>
          <cell r="G999">
            <v>48720</v>
          </cell>
        </row>
        <row r="1000">
          <cell r="A1000" t="str">
            <v>47-2121</v>
          </cell>
          <cell r="B1000" t="str">
            <v>Glaziers</v>
          </cell>
          <cell r="C1000">
            <v>51630</v>
          </cell>
          <cell r="D1000">
            <v>5.0999999999999996</v>
          </cell>
          <cell r="E1000">
            <v>55160</v>
          </cell>
          <cell r="F1000">
            <v>1.4</v>
          </cell>
          <cell r="G1000">
            <v>48720</v>
          </cell>
        </row>
        <row r="1001">
          <cell r="A1001" t="str">
            <v>47-2130</v>
          </cell>
          <cell r="B1001" t="str">
            <v>Insulation Workers</v>
          </cell>
          <cell r="C1001">
            <v>58790</v>
          </cell>
          <cell r="D1001">
            <v>2.6</v>
          </cell>
          <cell r="E1001">
            <v>53330</v>
          </cell>
          <cell r="F1001">
            <v>1.1000000000000001</v>
          </cell>
          <cell r="G1001">
            <v>47980</v>
          </cell>
        </row>
        <row r="1002">
          <cell r="A1002" t="str">
            <v>47-2131</v>
          </cell>
          <cell r="B1002" t="str">
            <v>Insulation Workers, Floor, Ceiling, and Wall</v>
          </cell>
          <cell r="C1002">
            <v>33130</v>
          </cell>
          <cell r="D1002">
            <v>3.1</v>
          </cell>
          <cell r="E1002">
            <v>48870</v>
          </cell>
          <cell r="F1002">
            <v>1.3</v>
          </cell>
          <cell r="G1002">
            <v>45380</v>
          </cell>
        </row>
        <row r="1003">
          <cell r="A1003" t="str">
            <v>47-2132</v>
          </cell>
          <cell r="B1003" t="str">
            <v>Insulation Workers, Mechanical</v>
          </cell>
          <cell r="C1003">
            <v>25660</v>
          </cell>
          <cell r="D1003">
            <v>5</v>
          </cell>
          <cell r="E1003">
            <v>59100</v>
          </cell>
          <cell r="F1003">
            <v>1.8</v>
          </cell>
          <cell r="G1003">
            <v>50590</v>
          </cell>
        </row>
        <row r="1004">
          <cell r="A1004" t="str">
            <v>47-2140</v>
          </cell>
          <cell r="B1004" t="str">
            <v>Painters and Paperhangers</v>
          </cell>
          <cell r="C1004">
            <v>217890</v>
          </cell>
          <cell r="D1004">
            <v>1</v>
          </cell>
          <cell r="E1004">
            <v>49350</v>
          </cell>
          <cell r="F1004">
            <v>0.5</v>
          </cell>
          <cell r="G1004">
            <v>46090</v>
          </cell>
        </row>
        <row r="1005">
          <cell r="A1005" t="str">
            <v>47-2141</v>
          </cell>
          <cell r="B1005" t="str">
            <v>Painters, Construction and Maintenance</v>
          </cell>
          <cell r="C1005">
            <v>215680</v>
          </cell>
          <cell r="D1005">
            <v>1</v>
          </cell>
          <cell r="E1005">
            <v>49350</v>
          </cell>
          <cell r="F1005">
            <v>0.5</v>
          </cell>
          <cell r="G1005">
            <v>46090</v>
          </cell>
        </row>
        <row r="1006">
          <cell r="A1006" t="str">
            <v>47-2142</v>
          </cell>
          <cell r="B1006" t="str">
            <v>Paperhangers</v>
          </cell>
          <cell r="C1006">
            <v>2220</v>
          </cell>
          <cell r="D1006">
            <v>14.9</v>
          </cell>
          <cell r="E1006">
            <v>49030</v>
          </cell>
          <cell r="F1006">
            <v>5.7</v>
          </cell>
          <cell r="G1006">
            <v>44930</v>
          </cell>
        </row>
        <row r="1007">
          <cell r="A1007" t="str">
            <v>47-2150</v>
          </cell>
          <cell r="B1007" t="str">
            <v>Pipelayers, Plumbers, Pipefitters, and Steamfitters</v>
          </cell>
          <cell r="C1007">
            <v>463990</v>
          </cell>
          <cell r="D1007">
            <v>1</v>
          </cell>
          <cell r="E1007">
            <v>64110</v>
          </cell>
          <cell r="F1007">
            <v>0.5</v>
          </cell>
          <cell r="G1007">
            <v>59320</v>
          </cell>
        </row>
        <row r="1008">
          <cell r="A1008" t="str">
            <v>47-2151</v>
          </cell>
          <cell r="B1008" t="str">
            <v>Pipelayers</v>
          </cell>
          <cell r="C1008">
            <v>36070</v>
          </cell>
          <cell r="D1008">
            <v>2.2999999999999998</v>
          </cell>
          <cell r="E1008">
            <v>51230</v>
          </cell>
          <cell r="F1008">
            <v>1.1000000000000001</v>
          </cell>
          <cell r="G1008">
            <v>45990</v>
          </cell>
        </row>
        <row r="1009">
          <cell r="A1009" t="str">
            <v>47-2152</v>
          </cell>
          <cell r="B1009" t="str">
            <v>Plumbers, Pipefitters, and Steamfitters</v>
          </cell>
          <cell r="C1009">
            <v>427920</v>
          </cell>
          <cell r="D1009">
            <v>1.1000000000000001</v>
          </cell>
          <cell r="E1009">
            <v>65190</v>
          </cell>
          <cell r="F1009">
            <v>0.6</v>
          </cell>
          <cell r="G1009">
            <v>60090</v>
          </cell>
        </row>
        <row r="1010">
          <cell r="A1010" t="str">
            <v>47-2160</v>
          </cell>
          <cell r="B1010" t="str">
            <v>Plasterers and Stucco Masons</v>
          </cell>
          <cell r="C1010">
            <v>25950</v>
          </cell>
          <cell r="D1010">
            <v>4.0999999999999996</v>
          </cell>
          <cell r="E1010">
            <v>55650</v>
          </cell>
          <cell r="F1010">
            <v>1.8</v>
          </cell>
          <cell r="G1010">
            <v>49730</v>
          </cell>
        </row>
        <row r="1011">
          <cell r="A1011" t="str">
            <v>47-2161</v>
          </cell>
          <cell r="B1011" t="str">
            <v>Plasterers and Stucco Masons</v>
          </cell>
          <cell r="C1011">
            <v>25950</v>
          </cell>
          <cell r="D1011">
            <v>4.0999999999999996</v>
          </cell>
          <cell r="E1011">
            <v>55650</v>
          </cell>
          <cell r="F1011">
            <v>1.8</v>
          </cell>
          <cell r="G1011">
            <v>49730</v>
          </cell>
        </row>
        <row r="1012">
          <cell r="A1012" t="str">
            <v>47-2170</v>
          </cell>
          <cell r="B1012" t="str">
            <v>Reinforcing Iron and Rebar Workers</v>
          </cell>
          <cell r="C1012">
            <v>17270</v>
          </cell>
          <cell r="D1012">
            <v>6</v>
          </cell>
          <cell r="E1012">
            <v>57780</v>
          </cell>
          <cell r="F1012">
            <v>1.7</v>
          </cell>
          <cell r="G1012">
            <v>51070</v>
          </cell>
        </row>
        <row r="1013">
          <cell r="A1013" t="str">
            <v>47-2171</v>
          </cell>
          <cell r="B1013" t="str">
            <v>Reinforcing Iron and Rebar Workers</v>
          </cell>
          <cell r="C1013">
            <v>17270</v>
          </cell>
          <cell r="D1013">
            <v>6</v>
          </cell>
          <cell r="E1013">
            <v>57780</v>
          </cell>
          <cell r="F1013">
            <v>1.7</v>
          </cell>
          <cell r="G1013">
            <v>51070</v>
          </cell>
        </row>
        <row r="1014">
          <cell r="A1014" t="str">
            <v>47-2180</v>
          </cell>
          <cell r="B1014" t="str">
            <v>Roofers</v>
          </cell>
          <cell r="C1014">
            <v>131980</v>
          </cell>
          <cell r="D1014">
            <v>1</v>
          </cell>
          <cell r="E1014">
            <v>51910</v>
          </cell>
          <cell r="F1014">
            <v>0.7</v>
          </cell>
          <cell r="G1014">
            <v>47920</v>
          </cell>
        </row>
        <row r="1015">
          <cell r="A1015" t="str">
            <v>47-2181</v>
          </cell>
          <cell r="B1015" t="str">
            <v>Roofers</v>
          </cell>
          <cell r="C1015">
            <v>131980</v>
          </cell>
          <cell r="D1015">
            <v>1</v>
          </cell>
          <cell r="E1015">
            <v>51910</v>
          </cell>
          <cell r="F1015">
            <v>0.7</v>
          </cell>
          <cell r="G1015">
            <v>47920</v>
          </cell>
        </row>
        <row r="1016">
          <cell r="A1016" t="str">
            <v>47-2210</v>
          </cell>
          <cell r="B1016" t="str">
            <v>Sheet Metal Workers</v>
          </cell>
          <cell r="C1016">
            <v>120810</v>
          </cell>
          <cell r="D1016">
            <v>1.8</v>
          </cell>
          <cell r="E1016">
            <v>61300</v>
          </cell>
          <cell r="F1016">
            <v>0.8</v>
          </cell>
          <cell r="G1016">
            <v>55350</v>
          </cell>
        </row>
        <row r="1017">
          <cell r="A1017" t="str">
            <v>47-2211</v>
          </cell>
          <cell r="B1017" t="str">
            <v>Sheet Metal Workers</v>
          </cell>
          <cell r="C1017">
            <v>120810</v>
          </cell>
          <cell r="D1017">
            <v>1.8</v>
          </cell>
          <cell r="E1017">
            <v>61300</v>
          </cell>
          <cell r="F1017">
            <v>0.8</v>
          </cell>
          <cell r="G1017">
            <v>55350</v>
          </cell>
        </row>
        <row r="1018">
          <cell r="A1018" t="str">
            <v>47-2220</v>
          </cell>
          <cell r="B1018" t="str">
            <v>Structural Iron and Steel Workers</v>
          </cell>
          <cell r="C1018">
            <v>66810</v>
          </cell>
          <cell r="D1018">
            <v>2.4</v>
          </cell>
          <cell r="E1018">
            <v>64800</v>
          </cell>
          <cell r="F1018">
            <v>1</v>
          </cell>
          <cell r="G1018">
            <v>60500</v>
          </cell>
        </row>
        <row r="1019">
          <cell r="A1019" t="str">
            <v>47-2221</v>
          </cell>
          <cell r="B1019" t="str">
            <v>Structural Iron and Steel Workers</v>
          </cell>
          <cell r="C1019">
            <v>66810</v>
          </cell>
          <cell r="D1019">
            <v>2.4</v>
          </cell>
          <cell r="E1019">
            <v>64800</v>
          </cell>
          <cell r="F1019">
            <v>1</v>
          </cell>
          <cell r="G1019">
            <v>60500</v>
          </cell>
        </row>
        <row r="1020">
          <cell r="A1020" t="str">
            <v>47-2230</v>
          </cell>
          <cell r="B1020" t="str">
            <v>Solar Photovoltaic Installers</v>
          </cell>
          <cell r="C1020">
            <v>27760</v>
          </cell>
          <cell r="D1020">
            <v>5.4</v>
          </cell>
          <cell r="E1020">
            <v>47970</v>
          </cell>
          <cell r="F1020">
            <v>1.4</v>
          </cell>
          <cell r="G1020">
            <v>45230</v>
          </cell>
        </row>
        <row r="1021">
          <cell r="A1021" t="str">
            <v>47-2231</v>
          </cell>
          <cell r="B1021" t="str">
            <v>Solar Photovoltaic Installers</v>
          </cell>
          <cell r="C1021">
            <v>27760</v>
          </cell>
          <cell r="D1021">
            <v>5.4</v>
          </cell>
          <cell r="E1021">
            <v>47970</v>
          </cell>
          <cell r="F1021">
            <v>1.4</v>
          </cell>
          <cell r="G1021">
            <v>45230</v>
          </cell>
        </row>
        <row r="1022">
          <cell r="A1022" t="str">
            <v>47-3000</v>
          </cell>
          <cell r="B1022" t="str">
            <v>Helpers, Construction Trades</v>
          </cell>
          <cell r="C1022">
            <v>202410</v>
          </cell>
          <cell r="D1022">
            <v>1.3</v>
          </cell>
          <cell r="E1022">
            <v>39320</v>
          </cell>
          <cell r="F1022">
            <v>0.4</v>
          </cell>
          <cell r="G1022">
            <v>37180</v>
          </cell>
        </row>
        <row r="1023">
          <cell r="A1023" t="str">
            <v>47-3010</v>
          </cell>
          <cell r="B1023" t="str">
            <v>Helpers, Construction Trades</v>
          </cell>
          <cell r="C1023">
            <v>202410</v>
          </cell>
          <cell r="D1023">
            <v>1.3</v>
          </cell>
          <cell r="E1023">
            <v>39320</v>
          </cell>
          <cell r="F1023">
            <v>0.4</v>
          </cell>
          <cell r="G1023">
            <v>37180</v>
          </cell>
        </row>
        <row r="1024">
          <cell r="A1024" t="str">
            <v>47-3011</v>
          </cell>
          <cell r="B1024" t="str">
            <v>Helpers--Brickmasons, Blockmasons, Stonemasons, and Tile and Marble Setters</v>
          </cell>
          <cell r="C1024">
            <v>17730</v>
          </cell>
          <cell r="D1024">
            <v>3.3</v>
          </cell>
          <cell r="E1024">
            <v>44230</v>
          </cell>
          <cell r="F1024">
            <v>1</v>
          </cell>
          <cell r="G1024">
            <v>39430</v>
          </cell>
        </row>
        <row r="1025">
          <cell r="A1025" t="str">
            <v>47-3012</v>
          </cell>
          <cell r="B1025" t="str">
            <v>Helpers--Carpenters</v>
          </cell>
          <cell r="C1025">
            <v>24580</v>
          </cell>
          <cell r="D1025">
            <v>6.5</v>
          </cell>
          <cell r="E1025">
            <v>38880</v>
          </cell>
          <cell r="F1025">
            <v>0.8</v>
          </cell>
          <cell r="G1025">
            <v>37490</v>
          </cell>
        </row>
        <row r="1026">
          <cell r="A1026" t="str">
            <v>47-3013</v>
          </cell>
          <cell r="B1026" t="str">
            <v>Helpers--Electricians</v>
          </cell>
          <cell r="C1026">
            <v>71000</v>
          </cell>
          <cell r="D1026">
            <v>2.5</v>
          </cell>
          <cell r="E1026">
            <v>38840</v>
          </cell>
          <cell r="F1026">
            <v>0.5</v>
          </cell>
          <cell r="G1026">
            <v>37070</v>
          </cell>
        </row>
        <row r="1027">
          <cell r="A1027" t="str">
            <v>47-3014</v>
          </cell>
          <cell r="B1027" t="str">
            <v>Helpers--Painters, Paperhangers, Plasterers, and Stucco Masons</v>
          </cell>
          <cell r="C1027">
            <v>8630</v>
          </cell>
          <cell r="D1027">
            <v>8.3000000000000007</v>
          </cell>
          <cell r="E1027">
            <v>38040</v>
          </cell>
          <cell r="F1027">
            <v>3</v>
          </cell>
          <cell r="G1027">
            <v>36080</v>
          </cell>
        </row>
        <row r="1028">
          <cell r="A1028" t="str">
            <v>47-3015</v>
          </cell>
          <cell r="B1028" t="str">
            <v>Helpers--Pipelayers, Plumbers, Pipefitters, and Steamfitters</v>
          </cell>
          <cell r="C1028">
            <v>46760</v>
          </cell>
          <cell r="D1028">
            <v>4.5</v>
          </cell>
          <cell r="E1028">
            <v>37590</v>
          </cell>
          <cell r="F1028">
            <v>0.5</v>
          </cell>
          <cell r="G1028">
            <v>36340</v>
          </cell>
        </row>
        <row r="1029">
          <cell r="A1029" t="str">
            <v>47-3016</v>
          </cell>
          <cell r="B1029" t="str">
            <v>Helpers--Roofers</v>
          </cell>
          <cell r="C1029">
            <v>5790</v>
          </cell>
          <cell r="D1029">
            <v>5.9</v>
          </cell>
          <cell r="E1029">
            <v>40880</v>
          </cell>
          <cell r="F1029">
            <v>3.4</v>
          </cell>
          <cell r="G1029">
            <v>37020</v>
          </cell>
        </row>
        <row r="1030">
          <cell r="A1030" t="str">
            <v>47-3019</v>
          </cell>
          <cell r="B1030" t="str">
            <v>Helpers, Construction Trades, All Other</v>
          </cell>
          <cell r="C1030">
            <v>27920</v>
          </cell>
          <cell r="D1030">
            <v>4.5</v>
          </cell>
          <cell r="E1030">
            <v>40790</v>
          </cell>
          <cell r="F1030">
            <v>1</v>
          </cell>
          <cell r="G1030">
            <v>37820</v>
          </cell>
        </row>
        <row r="1031">
          <cell r="A1031" t="str">
            <v>47-4000</v>
          </cell>
          <cell r="B1031" t="str">
            <v>Other Construction and Related Workers</v>
          </cell>
          <cell r="C1031">
            <v>446630</v>
          </cell>
          <cell r="D1031">
            <v>0.7</v>
          </cell>
          <cell r="E1031">
            <v>56990</v>
          </cell>
          <cell r="F1031">
            <v>0.7</v>
          </cell>
          <cell r="G1031">
            <v>49660</v>
          </cell>
        </row>
        <row r="1032">
          <cell r="A1032" t="str">
            <v>47-4010</v>
          </cell>
          <cell r="B1032" t="str">
            <v>Construction and Building Inspectors</v>
          </cell>
          <cell r="C1032">
            <v>128950</v>
          </cell>
          <cell r="D1032">
            <v>1.3</v>
          </cell>
          <cell r="E1032">
            <v>70130</v>
          </cell>
          <cell r="F1032">
            <v>0.8</v>
          </cell>
          <cell r="G1032">
            <v>64480</v>
          </cell>
        </row>
        <row r="1033">
          <cell r="A1033" t="str">
            <v>47-4011</v>
          </cell>
          <cell r="B1033" t="str">
            <v>Construction and Building Inspectors</v>
          </cell>
          <cell r="C1033">
            <v>128950</v>
          </cell>
          <cell r="D1033">
            <v>1.3</v>
          </cell>
          <cell r="E1033">
            <v>70130</v>
          </cell>
          <cell r="F1033">
            <v>0.8</v>
          </cell>
          <cell r="G1033">
            <v>64480</v>
          </cell>
        </row>
        <row r="1034">
          <cell r="A1034" t="str">
            <v>47-4020</v>
          </cell>
          <cell r="B1034" t="str">
            <v>Elevator and Escalator Installers and Repairers</v>
          </cell>
          <cell r="C1034">
            <v>24380</v>
          </cell>
          <cell r="D1034">
            <v>4.7</v>
          </cell>
          <cell r="E1034">
            <v>93960</v>
          </cell>
          <cell r="F1034">
            <v>1.3</v>
          </cell>
          <cell r="G1034">
            <v>99000</v>
          </cell>
        </row>
        <row r="1035">
          <cell r="A1035" t="str">
            <v>47-4021</v>
          </cell>
          <cell r="B1035" t="str">
            <v>Elevator and Escalator Installers and Repairers</v>
          </cell>
          <cell r="C1035">
            <v>24380</v>
          </cell>
          <cell r="D1035">
            <v>4.7</v>
          </cell>
          <cell r="E1035">
            <v>93960</v>
          </cell>
          <cell r="F1035">
            <v>1.3</v>
          </cell>
          <cell r="G1035">
            <v>99000</v>
          </cell>
        </row>
        <row r="1036">
          <cell r="A1036" t="str">
            <v>47-4030</v>
          </cell>
          <cell r="B1036" t="str">
            <v>Fence Erectors</v>
          </cell>
          <cell r="C1036">
            <v>27060</v>
          </cell>
          <cell r="D1036">
            <v>4.5999999999999996</v>
          </cell>
          <cell r="E1036">
            <v>43780</v>
          </cell>
          <cell r="F1036">
            <v>1.4</v>
          </cell>
          <cell r="G1036">
            <v>39840</v>
          </cell>
        </row>
        <row r="1037">
          <cell r="A1037" t="str">
            <v>47-4031</v>
          </cell>
          <cell r="B1037" t="str">
            <v>Fence Erectors</v>
          </cell>
          <cell r="C1037">
            <v>27060</v>
          </cell>
          <cell r="D1037">
            <v>4.5999999999999996</v>
          </cell>
          <cell r="E1037">
            <v>43780</v>
          </cell>
          <cell r="F1037">
            <v>1.4</v>
          </cell>
          <cell r="G1037">
            <v>39840</v>
          </cell>
        </row>
        <row r="1038">
          <cell r="A1038" t="str">
            <v>47-4040</v>
          </cell>
          <cell r="B1038" t="str">
            <v>Hazardous Materials Removal Workers</v>
          </cell>
          <cell r="C1038">
            <v>46780</v>
          </cell>
          <cell r="D1038">
            <v>2.4</v>
          </cell>
          <cell r="E1038">
            <v>51620</v>
          </cell>
          <cell r="F1038">
            <v>1.2</v>
          </cell>
          <cell r="G1038">
            <v>46690</v>
          </cell>
        </row>
        <row r="1039">
          <cell r="A1039" t="str">
            <v>47-4041</v>
          </cell>
          <cell r="B1039" t="str">
            <v>Hazardous Materials Removal Workers</v>
          </cell>
          <cell r="C1039">
            <v>46780</v>
          </cell>
          <cell r="D1039">
            <v>2.4</v>
          </cell>
          <cell r="E1039">
            <v>51620</v>
          </cell>
          <cell r="F1039">
            <v>1.2</v>
          </cell>
          <cell r="G1039">
            <v>46690</v>
          </cell>
        </row>
        <row r="1040">
          <cell r="A1040" t="str">
            <v>47-4050</v>
          </cell>
          <cell r="B1040" t="str">
            <v>Highway Maintenance Workers</v>
          </cell>
          <cell r="C1040">
            <v>143330</v>
          </cell>
          <cell r="D1040">
            <v>0.9</v>
          </cell>
          <cell r="E1040">
            <v>45790</v>
          </cell>
          <cell r="F1040">
            <v>0.3</v>
          </cell>
          <cell r="G1040">
            <v>44930</v>
          </cell>
        </row>
        <row r="1041">
          <cell r="A1041" t="str">
            <v>47-4051</v>
          </cell>
          <cell r="B1041" t="str">
            <v>Highway Maintenance Workers</v>
          </cell>
          <cell r="C1041">
            <v>143330</v>
          </cell>
          <cell r="D1041">
            <v>0.9</v>
          </cell>
          <cell r="E1041">
            <v>45790</v>
          </cell>
          <cell r="F1041">
            <v>0.3</v>
          </cell>
          <cell r="G1041">
            <v>44930</v>
          </cell>
        </row>
        <row r="1042">
          <cell r="A1042" t="str">
            <v>47-4060</v>
          </cell>
          <cell r="B1042" t="str">
            <v>Rail-Track Laying and Maintenance Equipment Operators</v>
          </cell>
          <cell r="C1042">
            <v>18600</v>
          </cell>
          <cell r="D1042">
            <v>1.7</v>
          </cell>
          <cell r="E1042">
            <v>63840</v>
          </cell>
          <cell r="F1042">
            <v>0.9</v>
          </cell>
          <cell r="G1042">
            <v>63230</v>
          </cell>
        </row>
        <row r="1043">
          <cell r="A1043" t="str">
            <v>47-4061</v>
          </cell>
          <cell r="B1043" t="str">
            <v>Rail-Track Laying and Maintenance Equipment Operators</v>
          </cell>
          <cell r="C1043">
            <v>18600</v>
          </cell>
          <cell r="D1043">
            <v>1.7</v>
          </cell>
          <cell r="E1043">
            <v>63840</v>
          </cell>
          <cell r="F1043">
            <v>0.9</v>
          </cell>
          <cell r="G1043">
            <v>63230</v>
          </cell>
        </row>
        <row r="1044">
          <cell r="A1044" t="str">
            <v>47-4070</v>
          </cell>
          <cell r="B1044" t="str">
            <v>Septic Tank Servicers and Sewer Pipe Cleaners</v>
          </cell>
          <cell r="C1044">
            <v>27660</v>
          </cell>
          <cell r="D1044">
            <v>2.7</v>
          </cell>
          <cell r="E1044">
            <v>47580</v>
          </cell>
          <cell r="F1044">
            <v>0.8</v>
          </cell>
          <cell r="G1044">
            <v>45610</v>
          </cell>
        </row>
        <row r="1045">
          <cell r="A1045" t="str">
            <v>47-4071</v>
          </cell>
          <cell r="B1045" t="str">
            <v>Septic Tank Servicers and Sewer Pipe Cleaners</v>
          </cell>
          <cell r="C1045">
            <v>27660</v>
          </cell>
          <cell r="D1045">
            <v>2.7</v>
          </cell>
          <cell r="E1045">
            <v>47580</v>
          </cell>
          <cell r="F1045">
            <v>0.8</v>
          </cell>
          <cell r="G1045">
            <v>45610</v>
          </cell>
        </row>
        <row r="1046">
          <cell r="A1046" t="str">
            <v>47-4090</v>
          </cell>
          <cell r="B1046" t="str">
            <v>Miscellaneous Construction and Related Workers</v>
          </cell>
          <cell r="C1046">
            <v>29880</v>
          </cell>
          <cell r="D1046">
            <v>5.5</v>
          </cell>
          <cell r="E1046">
            <v>48620</v>
          </cell>
          <cell r="F1046">
            <v>1</v>
          </cell>
          <cell r="G1046">
            <v>44890</v>
          </cell>
        </row>
        <row r="1047">
          <cell r="A1047" t="str">
            <v>47-4090</v>
          </cell>
          <cell r="B1047" t="str">
            <v>Miscellaneous Construction and Related Workers</v>
          </cell>
          <cell r="C1047">
            <v>29880</v>
          </cell>
          <cell r="D1047">
            <v>5.5</v>
          </cell>
          <cell r="E1047">
            <v>48620</v>
          </cell>
          <cell r="F1047">
            <v>1</v>
          </cell>
          <cell r="G1047">
            <v>44890</v>
          </cell>
        </row>
        <row r="1048">
          <cell r="A1048" t="str">
            <v>47-5000</v>
          </cell>
          <cell r="B1048" t="str">
            <v>Extraction Workers</v>
          </cell>
          <cell r="C1048">
            <v>195750</v>
          </cell>
          <cell r="D1048">
            <v>1.5</v>
          </cell>
          <cell r="E1048">
            <v>53850</v>
          </cell>
          <cell r="F1048">
            <v>0.5</v>
          </cell>
          <cell r="G1048">
            <v>49330</v>
          </cell>
        </row>
        <row r="1049">
          <cell r="A1049" t="str">
            <v>47-5010</v>
          </cell>
          <cell r="B1049" t="str">
            <v>Derrick, Rotary Drill, and Service Unit Operators, Oil and Gas</v>
          </cell>
          <cell r="C1049">
            <v>59460</v>
          </cell>
          <cell r="D1049">
            <v>2.8</v>
          </cell>
          <cell r="E1049">
            <v>57210</v>
          </cell>
          <cell r="F1049">
            <v>1</v>
          </cell>
          <cell r="G1049">
            <v>51050</v>
          </cell>
        </row>
        <row r="1050">
          <cell r="A1050" t="str">
            <v>47-5011</v>
          </cell>
          <cell r="B1050" t="str">
            <v>Derrick Operators, Oil and Gas</v>
          </cell>
          <cell r="C1050">
            <v>10950</v>
          </cell>
          <cell r="D1050">
            <v>7.9</v>
          </cell>
          <cell r="E1050">
            <v>53770</v>
          </cell>
          <cell r="F1050">
            <v>1.8</v>
          </cell>
          <cell r="G1050">
            <v>51220</v>
          </cell>
        </row>
        <row r="1051">
          <cell r="A1051" t="str">
            <v>47-5012</v>
          </cell>
          <cell r="B1051" t="str">
            <v>Rotary Drill Operators, Oil and Gas</v>
          </cell>
          <cell r="C1051">
            <v>12190</v>
          </cell>
          <cell r="D1051">
            <v>6.4</v>
          </cell>
          <cell r="E1051">
            <v>60450</v>
          </cell>
          <cell r="F1051">
            <v>2.1</v>
          </cell>
          <cell r="G1051">
            <v>55260</v>
          </cell>
        </row>
        <row r="1052">
          <cell r="A1052" t="str">
            <v>47-5013</v>
          </cell>
          <cell r="B1052" t="str">
            <v>Service Unit Operators, Oil and Gas</v>
          </cell>
          <cell r="C1052">
            <v>36320</v>
          </cell>
          <cell r="D1052">
            <v>4</v>
          </cell>
          <cell r="E1052">
            <v>57170</v>
          </cell>
          <cell r="F1052">
            <v>1.5</v>
          </cell>
          <cell r="G1052">
            <v>50140</v>
          </cell>
        </row>
        <row r="1053">
          <cell r="A1053" t="str">
            <v>47-5020</v>
          </cell>
          <cell r="B1053" t="str">
            <v>Surface Mining Machine Operators and Earth Drillers</v>
          </cell>
          <cell r="C1053">
            <v>52680</v>
          </cell>
          <cell r="D1053">
            <v>2.8</v>
          </cell>
          <cell r="E1053">
            <v>54850</v>
          </cell>
          <cell r="F1053">
            <v>0.7</v>
          </cell>
          <cell r="G1053">
            <v>49590</v>
          </cell>
        </row>
        <row r="1054">
          <cell r="A1054" t="str">
            <v>47-5022</v>
          </cell>
          <cell r="B1054" t="str">
            <v>Excavating and Loading Machine and Dragline Operators, Surface Mining</v>
          </cell>
          <cell r="C1054">
            <v>33670</v>
          </cell>
          <cell r="D1054">
            <v>2.6</v>
          </cell>
          <cell r="E1054">
            <v>53490</v>
          </cell>
          <cell r="F1054">
            <v>0.8</v>
          </cell>
          <cell r="G1054">
            <v>48350</v>
          </cell>
        </row>
        <row r="1055">
          <cell r="A1055" t="str">
            <v>47-5023</v>
          </cell>
          <cell r="B1055" t="str">
            <v>Earth Drillers, Except Oil and Gas</v>
          </cell>
          <cell r="C1055">
            <v>19010</v>
          </cell>
          <cell r="D1055">
            <v>4.8</v>
          </cell>
          <cell r="E1055">
            <v>57250</v>
          </cell>
          <cell r="F1055">
            <v>0.9</v>
          </cell>
          <cell r="G1055">
            <v>51740</v>
          </cell>
        </row>
        <row r="1056">
          <cell r="A1056" t="str">
            <v>47-5030</v>
          </cell>
          <cell r="B1056" t="str">
            <v>Explosives Workers, Ordnance Handling Experts, and Blasters</v>
          </cell>
          <cell r="C1056">
            <v>4710</v>
          </cell>
          <cell r="D1056">
            <v>6.2</v>
          </cell>
          <cell r="E1056">
            <v>61560</v>
          </cell>
          <cell r="F1056">
            <v>1.2</v>
          </cell>
          <cell r="G1056">
            <v>56670</v>
          </cell>
        </row>
        <row r="1057">
          <cell r="A1057" t="str">
            <v>47-5032</v>
          </cell>
          <cell r="B1057" t="str">
            <v>Explosives Workers, Ordnance Handling Experts, and Blasters</v>
          </cell>
          <cell r="C1057">
            <v>4710</v>
          </cell>
          <cell r="D1057">
            <v>6.2</v>
          </cell>
          <cell r="E1057">
            <v>61560</v>
          </cell>
          <cell r="F1057">
            <v>1.2</v>
          </cell>
          <cell r="G1057">
            <v>56670</v>
          </cell>
        </row>
        <row r="1058">
          <cell r="A1058" t="str">
            <v>47-5040</v>
          </cell>
          <cell r="B1058" t="str">
            <v>Underground Mining Machine Operators</v>
          </cell>
          <cell r="C1058">
            <v>22680</v>
          </cell>
          <cell r="D1058">
            <v>2.8</v>
          </cell>
          <cell r="E1058">
            <v>59340</v>
          </cell>
          <cell r="F1058">
            <v>0.7</v>
          </cell>
          <cell r="G1058">
            <v>60670</v>
          </cell>
        </row>
        <row r="1059">
          <cell r="A1059" t="str">
            <v>47-5041</v>
          </cell>
          <cell r="B1059" t="str">
            <v>Continuous Mining Machine Operators</v>
          </cell>
          <cell r="C1059">
            <v>13500</v>
          </cell>
          <cell r="D1059">
            <v>2.8</v>
          </cell>
          <cell r="E1059">
            <v>57120</v>
          </cell>
          <cell r="F1059">
            <v>0.9</v>
          </cell>
          <cell r="G1059">
            <v>57360</v>
          </cell>
        </row>
        <row r="1060">
          <cell r="A1060" t="str">
            <v>47-5043</v>
          </cell>
          <cell r="B1060" t="str">
            <v>Roof Bolters, Mining</v>
          </cell>
          <cell r="C1060">
            <v>1700</v>
          </cell>
          <cell r="D1060">
            <v>6.6</v>
          </cell>
          <cell r="E1060">
            <v>63990</v>
          </cell>
          <cell r="F1060">
            <v>2</v>
          </cell>
          <cell r="G1060">
            <v>60210</v>
          </cell>
        </row>
        <row r="1061">
          <cell r="A1061" t="str">
            <v>47-5044</v>
          </cell>
          <cell r="B1061" t="str">
            <v>Loading and Moving Machine Operators, Underground Mining</v>
          </cell>
          <cell r="C1061">
            <v>5210</v>
          </cell>
          <cell r="D1061">
            <v>4.9000000000000004</v>
          </cell>
          <cell r="E1061">
            <v>62420</v>
          </cell>
          <cell r="F1061">
            <v>1</v>
          </cell>
          <cell r="G1061">
            <v>63920</v>
          </cell>
        </row>
        <row r="1062">
          <cell r="A1062" t="str">
            <v>47-5049</v>
          </cell>
          <cell r="B1062" t="str">
            <v>Underground Mining Machine Operators, All Other</v>
          </cell>
          <cell r="C1062">
            <v>2270</v>
          </cell>
          <cell r="D1062">
            <v>12.2</v>
          </cell>
          <cell r="E1062">
            <v>61990</v>
          </cell>
          <cell r="F1062">
            <v>2</v>
          </cell>
          <cell r="G1062">
            <v>64180</v>
          </cell>
        </row>
        <row r="1063">
          <cell r="A1063" t="str">
            <v>47-5050</v>
          </cell>
          <cell r="B1063" t="str">
            <v>Rock Splitters, Quarry</v>
          </cell>
          <cell r="C1063">
            <v>3910</v>
          </cell>
          <cell r="D1063">
            <v>5.8</v>
          </cell>
          <cell r="E1063">
            <v>47010</v>
          </cell>
          <cell r="F1063">
            <v>2.1</v>
          </cell>
          <cell r="G1063">
            <v>46010</v>
          </cell>
        </row>
        <row r="1064">
          <cell r="A1064" t="str">
            <v>47-5051</v>
          </cell>
          <cell r="B1064" t="str">
            <v>Rock Splitters, Quarry</v>
          </cell>
          <cell r="C1064">
            <v>3910</v>
          </cell>
          <cell r="D1064">
            <v>5.8</v>
          </cell>
          <cell r="E1064">
            <v>47010</v>
          </cell>
          <cell r="F1064">
            <v>2.1</v>
          </cell>
          <cell r="G1064">
            <v>46010</v>
          </cell>
        </row>
        <row r="1065">
          <cell r="A1065" t="str">
            <v>47-5070</v>
          </cell>
          <cell r="B1065" t="str">
            <v>Roustabouts, Oil and Gas</v>
          </cell>
          <cell r="C1065">
            <v>39100</v>
          </cell>
          <cell r="D1065">
            <v>3.9</v>
          </cell>
          <cell r="E1065">
            <v>45750</v>
          </cell>
          <cell r="F1065">
            <v>0.8</v>
          </cell>
          <cell r="G1065">
            <v>43590</v>
          </cell>
        </row>
        <row r="1066">
          <cell r="A1066" t="str">
            <v>47-5071</v>
          </cell>
          <cell r="B1066" t="str">
            <v>Roustabouts, Oil and Gas</v>
          </cell>
          <cell r="C1066">
            <v>39100</v>
          </cell>
          <cell r="D1066">
            <v>3.9</v>
          </cell>
          <cell r="E1066">
            <v>45750</v>
          </cell>
          <cell r="F1066">
            <v>0.8</v>
          </cell>
          <cell r="G1066">
            <v>43590</v>
          </cell>
        </row>
        <row r="1067">
          <cell r="A1067" t="str">
            <v>47-5080</v>
          </cell>
          <cell r="B1067" t="str">
            <v>Helpers--Extraction Workers</v>
          </cell>
          <cell r="C1067">
            <v>6910</v>
          </cell>
          <cell r="D1067">
            <v>7.3</v>
          </cell>
          <cell r="E1067">
            <v>44410</v>
          </cell>
          <cell r="F1067">
            <v>2</v>
          </cell>
          <cell r="G1067">
            <v>43110</v>
          </cell>
        </row>
        <row r="1068">
          <cell r="A1068" t="str">
            <v>47-5081</v>
          </cell>
          <cell r="B1068" t="str">
            <v>Helpers--Extraction Workers</v>
          </cell>
          <cell r="C1068">
            <v>6910</v>
          </cell>
          <cell r="D1068">
            <v>7.3</v>
          </cell>
          <cell r="E1068">
            <v>44410</v>
          </cell>
          <cell r="F1068">
            <v>2</v>
          </cell>
          <cell r="G1068">
            <v>43110</v>
          </cell>
        </row>
        <row r="1069">
          <cell r="A1069" t="str">
            <v>47-5090</v>
          </cell>
          <cell r="B1069" t="str">
            <v>Miscellaneous Extraction Workers</v>
          </cell>
          <cell r="C1069">
            <v>6290</v>
          </cell>
          <cell r="D1069">
            <v>6</v>
          </cell>
          <cell r="E1069">
            <v>53220</v>
          </cell>
          <cell r="F1069">
            <v>1.5</v>
          </cell>
          <cell r="G1069">
            <v>51600</v>
          </cell>
        </row>
        <row r="1070">
          <cell r="A1070" t="str">
            <v>47-5099</v>
          </cell>
          <cell r="B1070" t="str">
            <v>Extraction Workers, All Other</v>
          </cell>
          <cell r="C1070">
            <v>6290</v>
          </cell>
          <cell r="D1070">
            <v>6</v>
          </cell>
          <cell r="E1070">
            <v>53220</v>
          </cell>
          <cell r="F1070">
            <v>1.5</v>
          </cell>
          <cell r="G1070">
            <v>51600</v>
          </cell>
        </row>
        <row r="1071">
          <cell r="A1071" t="str">
            <v>49-0000</v>
          </cell>
          <cell r="B1071" t="str">
            <v>Installation, Maintenance, and Repair Occupations</v>
          </cell>
          <cell r="C1071">
            <v>5823400</v>
          </cell>
          <cell r="D1071">
            <v>0.4</v>
          </cell>
          <cell r="E1071">
            <v>55680</v>
          </cell>
          <cell r="F1071">
            <v>0.2</v>
          </cell>
          <cell r="G1071">
            <v>50080</v>
          </cell>
        </row>
        <row r="1072">
          <cell r="A1072" t="str">
            <v>49-1000</v>
          </cell>
          <cell r="B1072" t="str">
            <v>Supervisors of Installation, Maintenance, and Repair Workers</v>
          </cell>
          <cell r="C1072">
            <v>559050</v>
          </cell>
          <cell r="D1072">
            <v>0.5</v>
          </cell>
          <cell r="E1072">
            <v>76020</v>
          </cell>
          <cell r="F1072">
            <v>0.3</v>
          </cell>
          <cell r="G1072">
            <v>73140</v>
          </cell>
        </row>
        <row r="1073">
          <cell r="A1073" t="str">
            <v>49-1010</v>
          </cell>
          <cell r="B1073" t="str">
            <v>First-Line Supervisors of Mechanics, Installers, and Repairers</v>
          </cell>
          <cell r="C1073">
            <v>559050</v>
          </cell>
          <cell r="D1073">
            <v>0.5</v>
          </cell>
          <cell r="E1073">
            <v>76020</v>
          </cell>
          <cell r="F1073">
            <v>0.3</v>
          </cell>
          <cell r="G1073">
            <v>73140</v>
          </cell>
        </row>
        <row r="1074">
          <cell r="A1074" t="str">
            <v>49-1011</v>
          </cell>
          <cell r="B1074" t="str">
            <v>First-Line Supervisors of Mechanics, Installers, and Repairers</v>
          </cell>
          <cell r="C1074">
            <v>559050</v>
          </cell>
          <cell r="D1074">
            <v>0.5</v>
          </cell>
          <cell r="E1074">
            <v>76020</v>
          </cell>
          <cell r="F1074">
            <v>0.3</v>
          </cell>
          <cell r="G1074">
            <v>73140</v>
          </cell>
        </row>
        <row r="1075">
          <cell r="A1075" t="str">
            <v>49-2000</v>
          </cell>
          <cell r="B1075" t="str">
            <v>Electrical and Electronic Equipment Mechanics, Installers, and Repairers</v>
          </cell>
          <cell r="C1075">
            <v>496220</v>
          </cell>
          <cell r="D1075">
            <v>0.8</v>
          </cell>
          <cell r="E1075">
            <v>59500</v>
          </cell>
          <cell r="F1075">
            <v>0.4</v>
          </cell>
          <cell r="G1075">
            <v>56950</v>
          </cell>
        </row>
        <row r="1076">
          <cell r="A1076" t="str">
            <v>49-2010</v>
          </cell>
          <cell r="B1076" t="str">
            <v>Computer, Automated Teller, and Office Machine Repairers</v>
          </cell>
          <cell r="C1076">
            <v>81440</v>
          </cell>
          <cell r="D1076">
            <v>2.2000000000000002</v>
          </cell>
          <cell r="E1076">
            <v>47120</v>
          </cell>
          <cell r="F1076">
            <v>0.7</v>
          </cell>
          <cell r="G1076">
            <v>44910</v>
          </cell>
        </row>
        <row r="1077">
          <cell r="A1077" t="str">
            <v>49-2011</v>
          </cell>
          <cell r="B1077" t="str">
            <v>Computer, Automated Teller, and Office Machine Repairers</v>
          </cell>
          <cell r="C1077">
            <v>81440</v>
          </cell>
          <cell r="D1077">
            <v>2.2000000000000002</v>
          </cell>
          <cell r="E1077">
            <v>47120</v>
          </cell>
          <cell r="F1077">
            <v>0.7</v>
          </cell>
          <cell r="G1077">
            <v>44910</v>
          </cell>
        </row>
        <row r="1078">
          <cell r="A1078" t="str">
            <v>49-2020</v>
          </cell>
          <cell r="B1078" t="str">
            <v>Radio and Telecommunications Equipment Installers and Repairers</v>
          </cell>
          <cell r="C1078">
            <v>181200</v>
          </cell>
          <cell r="D1078">
            <v>1.6</v>
          </cell>
          <cell r="E1078">
            <v>61730</v>
          </cell>
          <cell r="F1078">
            <v>0.6</v>
          </cell>
          <cell r="G1078">
            <v>59940</v>
          </cell>
        </row>
        <row r="1079">
          <cell r="A1079" t="str">
            <v>49-2021</v>
          </cell>
          <cell r="B1079" t="str">
            <v>Radio, Cellular, and Tower Equipment Installers and Repairers</v>
          </cell>
          <cell r="C1079">
            <v>13020</v>
          </cell>
          <cell r="D1079">
            <v>4.5</v>
          </cell>
          <cell r="E1079">
            <v>62570</v>
          </cell>
          <cell r="F1079">
            <v>1.2</v>
          </cell>
          <cell r="G1079">
            <v>59720</v>
          </cell>
        </row>
        <row r="1080">
          <cell r="A1080" t="str">
            <v>49-2022</v>
          </cell>
          <cell r="B1080" t="str">
            <v>Telecommunications Equipment Installers and Repairers, Except Line Installers</v>
          </cell>
          <cell r="C1080">
            <v>168180</v>
          </cell>
          <cell r="D1080">
            <v>1.7</v>
          </cell>
          <cell r="E1080">
            <v>61670</v>
          </cell>
          <cell r="F1080">
            <v>0.6</v>
          </cell>
          <cell r="G1080">
            <v>59960</v>
          </cell>
        </row>
        <row r="1081">
          <cell r="A1081" t="str">
            <v>49-2090</v>
          </cell>
          <cell r="B1081" t="str">
            <v>Miscellaneous Electrical and Electronic Equipment Mechanics, Installers, and Repairers</v>
          </cell>
          <cell r="C1081">
            <v>233590</v>
          </cell>
          <cell r="D1081">
            <v>1.2</v>
          </cell>
          <cell r="E1081">
            <v>62090</v>
          </cell>
          <cell r="F1081">
            <v>0.6</v>
          </cell>
          <cell r="G1081">
            <v>59270</v>
          </cell>
        </row>
        <row r="1082">
          <cell r="A1082" t="str">
            <v>49-2091</v>
          </cell>
          <cell r="B1082" t="str">
            <v>Avionics Technicians</v>
          </cell>
          <cell r="C1082">
            <v>20200</v>
          </cell>
          <cell r="D1082">
            <v>5.2</v>
          </cell>
          <cell r="E1082">
            <v>74730</v>
          </cell>
          <cell r="F1082">
            <v>1.7</v>
          </cell>
          <cell r="G1082">
            <v>75450</v>
          </cell>
        </row>
        <row r="1083">
          <cell r="A1083" t="str">
            <v>49-2092</v>
          </cell>
          <cell r="B1083" t="str">
            <v>Electric Motor, Power Tool, and Related Repairers</v>
          </cell>
          <cell r="C1083">
            <v>15390</v>
          </cell>
          <cell r="D1083">
            <v>4.7</v>
          </cell>
          <cell r="E1083">
            <v>51500</v>
          </cell>
          <cell r="F1083">
            <v>1.2</v>
          </cell>
          <cell r="G1083">
            <v>48260</v>
          </cell>
        </row>
        <row r="1084">
          <cell r="A1084" t="str">
            <v>49-2093</v>
          </cell>
          <cell r="B1084" t="str">
            <v>Electrical and Electronics Installers and Repairers, Transportation Equipment</v>
          </cell>
          <cell r="C1084">
            <v>8530</v>
          </cell>
          <cell r="D1084">
            <v>3.2</v>
          </cell>
          <cell r="E1084">
            <v>71740</v>
          </cell>
          <cell r="F1084">
            <v>0.9</v>
          </cell>
          <cell r="G1084">
            <v>73630</v>
          </cell>
        </row>
        <row r="1085">
          <cell r="A1085" t="str">
            <v>49-2094</v>
          </cell>
          <cell r="B1085" t="str">
            <v>Electrical and Electronics Repairers, Commercial and Industrial Equipment</v>
          </cell>
          <cell r="C1085">
            <v>51650</v>
          </cell>
          <cell r="D1085">
            <v>1.9</v>
          </cell>
          <cell r="E1085">
            <v>66650</v>
          </cell>
          <cell r="F1085">
            <v>0.6</v>
          </cell>
          <cell r="G1085">
            <v>64030</v>
          </cell>
        </row>
        <row r="1086">
          <cell r="A1086" t="str">
            <v>49-2095</v>
          </cell>
          <cell r="B1086" t="str">
            <v>Electrical and Electronics Repairers, Powerhouse, Substation, and Relay</v>
          </cell>
          <cell r="C1086">
            <v>25440</v>
          </cell>
          <cell r="D1086">
            <v>3.1</v>
          </cell>
          <cell r="E1086">
            <v>88770</v>
          </cell>
          <cell r="F1086">
            <v>1.1000000000000001</v>
          </cell>
          <cell r="G1086">
            <v>93720</v>
          </cell>
        </row>
        <row r="1087">
          <cell r="A1087" t="str">
            <v>49-2096</v>
          </cell>
          <cell r="B1087" t="str">
            <v>Electronic Equipment Installers and Repairers, Motor Vehicles</v>
          </cell>
          <cell r="C1087">
            <v>9450</v>
          </cell>
          <cell r="D1087">
            <v>5.9</v>
          </cell>
          <cell r="E1087">
            <v>45720</v>
          </cell>
          <cell r="F1087">
            <v>2.2000000000000002</v>
          </cell>
          <cell r="G1087">
            <v>41600</v>
          </cell>
        </row>
        <row r="1088">
          <cell r="A1088" t="str">
            <v>49-2097</v>
          </cell>
          <cell r="B1088" t="str">
            <v>Audiovisual Equipment Installers and Repairers</v>
          </cell>
          <cell r="C1088">
            <v>22200</v>
          </cell>
          <cell r="D1088">
            <v>5.2</v>
          </cell>
          <cell r="E1088">
            <v>48450</v>
          </cell>
          <cell r="F1088">
            <v>1.8</v>
          </cell>
          <cell r="G1088">
            <v>44960</v>
          </cell>
        </row>
        <row r="1089">
          <cell r="A1089" t="str">
            <v>49-2098</v>
          </cell>
          <cell r="B1089" t="str">
            <v>Security and Fire Alarm Systems Installers</v>
          </cell>
          <cell r="C1089">
            <v>80720</v>
          </cell>
          <cell r="D1089">
            <v>2</v>
          </cell>
          <cell r="E1089">
            <v>54280</v>
          </cell>
          <cell r="F1089">
            <v>0.8</v>
          </cell>
          <cell r="G1089">
            <v>50130</v>
          </cell>
        </row>
        <row r="1090">
          <cell r="A1090" t="str">
            <v>49-3000</v>
          </cell>
          <cell r="B1090" t="str">
            <v>Vehicle and Mobile Equipment Mechanics, Installers, and Repairers</v>
          </cell>
          <cell r="C1090">
            <v>1645580</v>
          </cell>
          <cell r="D1090">
            <v>0.3</v>
          </cell>
          <cell r="E1090">
            <v>52750</v>
          </cell>
          <cell r="F1090">
            <v>0.2</v>
          </cell>
          <cell r="G1090">
            <v>48630</v>
          </cell>
        </row>
        <row r="1091">
          <cell r="A1091" t="str">
            <v>49-3010</v>
          </cell>
          <cell r="B1091" t="str">
            <v>Aircraft Mechanics and Service Technicians</v>
          </cell>
          <cell r="C1091">
            <v>134070</v>
          </cell>
          <cell r="D1091">
            <v>1.5</v>
          </cell>
          <cell r="E1091">
            <v>72640</v>
          </cell>
          <cell r="F1091">
            <v>0.4</v>
          </cell>
          <cell r="G1091">
            <v>70010</v>
          </cell>
        </row>
        <row r="1092">
          <cell r="A1092" t="str">
            <v>49-3011</v>
          </cell>
          <cell r="B1092" t="str">
            <v>Aircraft Mechanics and Service Technicians</v>
          </cell>
          <cell r="C1092">
            <v>134070</v>
          </cell>
          <cell r="D1092">
            <v>1.5</v>
          </cell>
          <cell r="E1092">
            <v>72640</v>
          </cell>
          <cell r="F1092">
            <v>0.4</v>
          </cell>
          <cell r="G1092">
            <v>70010</v>
          </cell>
        </row>
        <row r="1093">
          <cell r="A1093" t="str">
            <v>49-3020</v>
          </cell>
          <cell r="B1093" t="str">
            <v>Automotive Technicians and Repairers</v>
          </cell>
          <cell r="C1093">
            <v>820200</v>
          </cell>
          <cell r="D1093">
            <v>0.5</v>
          </cell>
          <cell r="E1093">
            <v>50170</v>
          </cell>
          <cell r="F1093">
            <v>0.3</v>
          </cell>
          <cell r="G1093">
            <v>47040</v>
          </cell>
        </row>
        <row r="1094">
          <cell r="A1094" t="str">
            <v>49-3021</v>
          </cell>
          <cell r="B1094" t="str">
            <v>Automotive Body and Related Repairers</v>
          </cell>
          <cell r="C1094">
            <v>138760</v>
          </cell>
          <cell r="D1094">
            <v>1.2</v>
          </cell>
          <cell r="E1094">
            <v>53220</v>
          </cell>
          <cell r="F1094">
            <v>0.6</v>
          </cell>
          <cell r="G1094">
            <v>47670</v>
          </cell>
        </row>
        <row r="1095">
          <cell r="A1095" t="str">
            <v>49-3022</v>
          </cell>
          <cell r="B1095" t="str">
            <v>Automotive Glass Installers and Repairers</v>
          </cell>
          <cell r="C1095">
            <v>17370</v>
          </cell>
          <cell r="D1095">
            <v>7.2</v>
          </cell>
          <cell r="E1095">
            <v>43900</v>
          </cell>
          <cell r="F1095">
            <v>1</v>
          </cell>
          <cell r="G1095">
            <v>43700</v>
          </cell>
        </row>
        <row r="1096">
          <cell r="A1096" t="str">
            <v>49-3023</v>
          </cell>
          <cell r="B1096" t="str">
            <v>Automotive Service Technicians and Mechanics</v>
          </cell>
          <cell r="C1096">
            <v>664070</v>
          </cell>
          <cell r="D1096">
            <v>0.5</v>
          </cell>
          <cell r="E1096">
            <v>49690</v>
          </cell>
          <cell r="F1096">
            <v>0.3</v>
          </cell>
          <cell r="G1096">
            <v>46970</v>
          </cell>
        </row>
        <row r="1097">
          <cell r="A1097" t="str">
            <v>49-3030</v>
          </cell>
          <cell r="B1097" t="str">
            <v>Bus and Truck Mechanics and Diesel Engine Specialists</v>
          </cell>
          <cell r="C1097">
            <v>271720</v>
          </cell>
          <cell r="D1097">
            <v>0.9</v>
          </cell>
          <cell r="E1097">
            <v>56140</v>
          </cell>
          <cell r="F1097">
            <v>0.3</v>
          </cell>
          <cell r="G1097">
            <v>54360</v>
          </cell>
        </row>
        <row r="1098">
          <cell r="A1098" t="str">
            <v>49-3031</v>
          </cell>
          <cell r="B1098" t="str">
            <v>Bus and Truck Mechanics and Diesel Engine Specialists</v>
          </cell>
          <cell r="C1098">
            <v>271720</v>
          </cell>
          <cell r="D1098">
            <v>0.9</v>
          </cell>
          <cell r="E1098">
            <v>56140</v>
          </cell>
          <cell r="F1098">
            <v>0.3</v>
          </cell>
          <cell r="G1098">
            <v>54360</v>
          </cell>
        </row>
        <row r="1099">
          <cell r="A1099" t="str">
            <v>49-3040</v>
          </cell>
          <cell r="B1099" t="str">
            <v>Heavy Vehicle and Mobile Equipment Service Technicians and Mechanics</v>
          </cell>
          <cell r="C1099">
            <v>213460</v>
          </cell>
          <cell r="D1099">
            <v>0.9</v>
          </cell>
          <cell r="E1099">
            <v>58190</v>
          </cell>
          <cell r="F1099">
            <v>0.3</v>
          </cell>
          <cell r="G1099">
            <v>58350</v>
          </cell>
        </row>
        <row r="1100">
          <cell r="A1100" t="str">
            <v>49-3041</v>
          </cell>
          <cell r="B1100" t="str">
            <v>Farm Equipment Mechanics and Service Technicians</v>
          </cell>
          <cell r="C1100">
            <v>35280</v>
          </cell>
          <cell r="D1100">
            <v>1.5</v>
          </cell>
          <cell r="E1100">
            <v>49930</v>
          </cell>
          <cell r="F1100">
            <v>0.7</v>
          </cell>
          <cell r="G1100">
            <v>48010</v>
          </cell>
        </row>
        <row r="1101">
          <cell r="A1101" t="str">
            <v>49-3042</v>
          </cell>
          <cell r="B1101" t="str">
            <v>Mobile Heavy Equipment Mechanics, Except Engines</v>
          </cell>
          <cell r="C1101">
            <v>158350</v>
          </cell>
          <cell r="D1101">
            <v>1.2</v>
          </cell>
          <cell r="E1101">
            <v>59560</v>
          </cell>
          <cell r="F1101">
            <v>0.3</v>
          </cell>
          <cell r="G1101">
            <v>59440</v>
          </cell>
        </row>
        <row r="1102">
          <cell r="A1102" t="str">
            <v>49-3043</v>
          </cell>
          <cell r="B1102" t="str">
            <v>Rail Car Repairers</v>
          </cell>
          <cell r="C1102">
            <v>19830</v>
          </cell>
          <cell r="D1102">
            <v>1.6</v>
          </cell>
          <cell r="E1102">
            <v>61960</v>
          </cell>
          <cell r="F1102">
            <v>0.5</v>
          </cell>
          <cell r="G1102">
            <v>62510</v>
          </cell>
        </row>
        <row r="1103">
          <cell r="A1103" t="str">
            <v>49-3050</v>
          </cell>
          <cell r="B1103" t="str">
            <v>Small Engine Mechanics</v>
          </cell>
          <cell r="C1103">
            <v>75190</v>
          </cell>
          <cell r="D1103">
            <v>2.1</v>
          </cell>
          <cell r="E1103">
            <v>45560</v>
          </cell>
          <cell r="F1103">
            <v>0.4</v>
          </cell>
          <cell r="G1103">
            <v>44080</v>
          </cell>
        </row>
        <row r="1104">
          <cell r="A1104" t="str">
            <v>49-3051</v>
          </cell>
          <cell r="B1104" t="str">
            <v>Motorboat Mechanics and Service Technicians</v>
          </cell>
          <cell r="C1104">
            <v>24920</v>
          </cell>
          <cell r="D1104">
            <v>2</v>
          </cell>
          <cell r="E1104">
            <v>50280</v>
          </cell>
          <cell r="F1104">
            <v>0.6</v>
          </cell>
          <cell r="G1104">
            <v>48280</v>
          </cell>
        </row>
        <row r="1105">
          <cell r="A1105" t="str">
            <v>49-3052</v>
          </cell>
          <cell r="B1105" t="str">
            <v>Motorcycle Mechanics</v>
          </cell>
          <cell r="C1105">
            <v>14700</v>
          </cell>
          <cell r="D1105">
            <v>3.4</v>
          </cell>
          <cell r="E1105">
            <v>44740</v>
          </cell>
          <cell r="F1105">
            <v>1.2</v>
          </cell>
          <cell r="G1105">
            <v>43370</v>
          </cell>
        </row>
        <row r="1106">
          <cell r="A1106" t="str">
            <v>49-3053</v>
          </cell>
          <cell r="B1106" t="str">
            <v>Outdoor Power Equipment and Other Small Engine Mechanics</v>
          </cell>
          <cell r="C1106">
            <v>35570</v>
          </cell>
          <cell r="D1106">
            <v>3</v>
          </cell>
          <cell r="E1106">
            <v>42590</v>
          </cell>
          <cell r="F1106">
            <v>0.5</v>
          </cell>
          <cell r="G1106">
            <v>40030</v>
          </cell>
        </row>
        <row r="1107">
          <cell r="A1107" t="str">
            <v>49-3090</v>
          </cell>
          <cell r="B1107" t="str">
            <v>Miscellaneous Vehicle and Mobile Equipment Mechanics, Installers, and Repairers</v>
          </cell>
          <cell r="C1107">
            <v>130940</v>
          </cell>
          <cell r="D1107">
            <v>1.2</v>
          </cell>
          <cell r="E1107">
            <v>36780</v>
          </cell>
          <cell r="F1107">
            <v>0.3</v>
          </cell>
          <cell r="G1107">
            <v>35250</v>
          </cell>
        </row>
        <row r="1108">
          <cell r="A1108" t="str">
            <v>49-3091</v>
          </cell>
          <cell r="B1108" t="str">
            <v>Bicycle Repairers</v>
          </cell>
          <cell r="C1108">
            <v>13760</v>
          </cell>
          <cell r="D1108">
            <v>6.6</v>
          </cell>
          <cell r="E1108">
            <v>36770</v>
          </cell>
          <cell r="F1108">
            <v>0.7</v>
          </cell>
          <cell r="G1108">
            <v>36250</v>
          </cell>
        </row>
        <row r="1109">
          <cell r="A1109" t="str">
            <v>49-3092</v>
          </cell>
          <cell r="B1109" t="str">
            <v>Recreational Vehicle Service Technicians</v>
          </cell>
          <cell r="C1109">
            <v>17190</v>
          </cell>
          <cell r="D1109">
            <v>2.2000000000000002</v>
          </cell>
          <cell r="E1109">
            <v>47320</v>
          </cell>
          <cell r="F1109">
            <v>0.8</v>
          </cell>
          <cell r="G1109">
            <v>45030</v>
          </cell>
        </row>
        <row r="1110">
          <cell r="A1110" t="str">
            <v>49-3093</v>
          </cell>
          <cell r="B1110" t="str">
            <v>Tire Repairers and Changers</v>
          </cell>
          <cell r="C1110">
            <v>99980</v>
          </cell>
          <cell r="D1110">
            <v>1.3</v>
          </cell>
          <cell r="E1110">
            <v>34970</v>
          </cell>
          <cell r="F1110">
            <v>0.4</v>
          </cell>
          <cell r="G1110">
            <v>34240</v>
          </cell>
        </row>
        <row r="1111">
          <cell r="A1111" t="str">
            <v>49-9000</v>
          </cell>
          <cell r="B1111" t="str">
            <v>Other Installation, Maintenance, and Repair Occupations</v>
          </cell>
          <cell r="C1111">
            <v>3122550</v>
          </cell>
          <cell r="D1111">
            <v>0.6</v>
          </cell>
          <cell r="E1111">
            <v>52970</v>
          </cell>
          <cell r="F1111">
            <v>0.2</v>
          </cell>
          <cell r="G1111">
            <v>48360</v>
          </cell>
        </row>
        <row r="1112">
          <cell r="A1112" t="str">
            <v>49-9010</v>
          </cell>
          <cell r="B1112" t="str">
            <v>Control and Valve Installers and Repairers</v>
          </cell>
          <cell r="C1112">
            <v>73740</v>
          </cell>
          <cell r="D1112">
            <v>2.2000000000000002</v>
          </cell>
          <cell r="E1112">
            <v>61620</v>
          </cell>
          <cell r="F1112">
            <v>0.6</v>
          </cell>
          <cell r="G1112">
            <v>55790</v>
          </cell>
        </row>
        <row r="1113">
          <cell r="A1113" t="str">
            <v>49-9011</v>
          </cell>
          <cell r="B1113" t="str">
            <v>Mechanical Door Repairers</v>
          </cell>
          <cell r="C1113">
            <v>27330</v>
          </cell>
          <cell r="D1113">
            <v>3.9</v>
          </cell>
          <cell r="E1113">
            <v>48400</v>
          </cell>
          <cell r="F1113">
            <v>0.9</v>
          </cell>
          <cell r="G1113">
            <v>47010</v>
          </cell>
        </row>
        <row r="1114">
          <cell r="A1114" t="str">
            <v>49-9012</v>
          </cell>
          <cell r="B1114" t="str">
            <v>Control and Valve Installers and Repairers, Except Mechanical Door</v>
          </cell>
          <cell r="C1114">
            <v>46410</v>
          </cell>
          <cell r="D1114">
            <v>2.4</v>
          </cell>
          <cell r="E1114">
            <v>69410</v>
          </cell>
          <cell r="F1114">
            <v>0.9</v>
          </cell>
          <cell r="G1114">
            <v>64810</v>
          </cell>
        </row>
        <row r="1115">
          <cell r="A1115" t="str">
            <v>49-9020</v>
          </cell>
          <cell r="B1115" t="str">
            <v>Heating, Air Conditioning, and Refrigeration Mechanics and Installers</v>
          </cell>
          <cell r="C1115">
            <v>374770</v>
          </cell>
          <cell r="D1115">
            <v>1.1000000000000001</v>
          </cell>
          <cell r="E1115">
            <v>57460</v>
          </cell>
          <cell r="F1115">
            <v>0.6</v>
          </cell>
          <cell r="G1115">
            <v>51390</v>
          </cell>
        </row>
        <row r="1116">
          <cell r="A1116" t="str">
            <v>49-9021</v>
          </cell>
          <cell r="B1116" t="str">
            <v>Heating, Air Conditioning, and Refrigeration Mechanics and Installers</v>
          </cell>
          <cell r="C1116">
            <v>374770</v>
          </cell>
          <cell r="D1116">
            <v>1.1000000000000001</v>
          </cell>
          <cell r="E1116">
            <v>57460</v>
          </cell>
          <cell r="F1116">
            <v>0.6</v>
          </cell>
          <cell r="G1116">
            <v>51390</v>
          </cell>
        </row>
        <row r="1117">
          <cell r="A1117" t="str">
            <v>49-9030</v>
          </cell>
          <cell r="B1117" t="str">
            <v>Home Appliance Repairers</v>
          </cell>
          <cell r="C1117">
            <v>29370</v>
          </cell>
          <cell r="D1117">
            <v>3.3</v>
          </cell>
          <cell r="E1117">
            <v>47500</v>
          </cell>
          <cell r="F1117">
            <v>0.9</v>
          </cell>
          <cell r="G1117">
            <v>46000</v>
          </cell>
        </row>
        <row r="1118">
          <cell r="A1118" t="str">
            <v>49-9031</v>
          </cell>
          <cell r="B1118" t="str">
            <v>Home Appliance Repairers</v>
          </cell>
          <cell r="C1118">
            <v>29370</v>
          </cell>
          <cell r="D1118">
            <v>3.3</v>
          </cell>
          <cell r="E1118">
            <v>47500</v>
          </cell>
          <cell r="F1118">
            <v>0.9</v>
          </cell>
          <cell r="G1118">
            <v>46000</v>
          </cell>
        </row>
        <row r="1119">
          <cell r="A1119" t="str">
            <v>49-9040</v>
          </cell>
          <cell r="B1119" t="str">
            <v>Industrial Machinery Installation, Repair, and Maintenance Workers</v>
          </cell>
          <cell r="C1119">
            <v>490410</v>
          </cell>
          <cell r="D1119">
            <v>0.7</v>
          </cell>
          <cell r="E1119">
            <v>60390</v>
          </cell>
          <cell r="F1119">
            <v>0.3</v>
          </cell>
          <cell r="G1119">
            <v>59470</v>
          </cell>
        </row>
        <row r="1120">
          <cell r="A1120" t="str">
            <v>49-9041</v>
          </cell>
          <cell r="B1120" t="str">
            <v>Industrial Machinery Mechanics</v>
          </cell>
          <cell r="C1120">
            <v>386120</v>
          </cell>
          <cell r="D1120">
            <v>0.7</v>
          </cell>
          <cell r="E1120">
            <v>60990</v>
          </cell>
          <cell r="F1120">
            <v>0.3</v>
          </cell>
          <cell r="G1120">
            <v>59830</v>
          </cell>
        </row>
        <row r="1121">
          <cell r="A1121" t="str">
            <v>49-9043</v>
          </cell>
          <cell r="B1121" t="str">
            <v>Maintenance Workers, Machinery</v>
          </cell>
          <cell r="C1121">
            <v>62770</v>
          </cell>
          <cell r="D1121">
            <v>1.4</v>
          </cell>
          <cell r="E1121">
            <v>55910</v>
          </cell>
          <cell r="F1121">
            <v>0.5</v>
          </cell>
          <cell r="G1121">
            <v>53310</v>
          </cell>
        </row>
        <row r="1122">
          <cell r="A1122" t="str">
            <v>49-9044</v>
          </cell>
          <cell r="B1122" t="str">
            <v>Millwrights</v>
          </cell>
          <cell r="C1122">
            <v>40930</v>
          </cell>
          <cell r="D1122">
            <v>2.7</v>
          </cell>
          <cell r="E1122">
            <v>61750</v>
          </cell>
          <cell r="F1122">
            <v>0.8</v>
          </cell>
          <cell r="G1122">
            <v>60930</v>
          </cell>
        </row>
        <row r="1123">
          <cell r="A1123" t="str">
            <v>49-9045</v>
          </cell>
          <cell r="B1123" t="str">
            <v>Refractory Materials Repairers, Except Brickmasons</v>
          </cell>
          <cell r="C1123">
            <v>580</v>
          </cell>
          <cell r="D1123">
            <v>8.6999999999999993</v>
          </cell>
          <cell r="E1123">
            <v>51010</v>
          </cell>
          <cell r="F1123">
            <v>2.2999999999999998</v>
          </cell>
          <cell r="G1123">
            <v>50550</v>
          </cell>
        </row>
        <row r="1124">
          <cell r="A1124" t="str">
            <v>49-9050</v>
          </cell>
          <cell r="B1124" t="str">
            <v>Line Installers and Repairers</v>
          </cell>
          <cell r="C1124">
            <v>227190</v>
          </cell>
          <cell r="D1124">
            <v>1</v>
          </cell>
          <cell r="E1124">
            <v>74010</v>
          </cell>
          <cell r="F1124">
            <v>0.5</v>
          </cell>
          <cell r="G1124">
            <v>75230</v>
          </cell>
        </row>
        <row r="1125">
          <cell r="A1125" t="str">
            <v>49-9051</v>
          </cell>
          <cell r="B1125" t="str">
            <v>Electrical Power-Line Installers and Repairers</v>
          </cell>
          <cell r="C1125">
            <v>119510</v>
          </cell>
          <cell r="D1125">
            <v>1.1000000000000001</v>
          </cell>
          <cell r="E1125">
            <v>82770</v>
          </cell>
          <cell r="F1125">
            <v>0.5</v>
          </cell>
          <cell r="G1125">
            <v>82340</v>
          </cell>
        </row>
        <row r="1126">
          <cell r="A1126" t="str">
            <v>49-9052</v>
          </cell>
          <cell r="B1126" t="str">
            <v>Telecommunications Line Installers and Repairers</v>
          </cell>
          <cell r="C1126">
            <v>107670</v>
          </cell>
          <cell r="D1126">
            <v>2</v>
          </cell>
          <cell r="E1126">
            <v>64280</v>
          </cell>
          <cell r="F1126">
            <v>0.8</v>
          </cell>
          <cell r="G1126">
            <v>60580</v>
          </cell>
        </row>
        <row r="1127">
          <cell r="A1127" t="str">
            <v>49-9060</v>
          </cell>
          <cell r="B1127" t="str">
            <v>Precision Instrument and Equipment Repairers</v>
          </cell>
          <cell r="C1127">
            <v>79970</v>
          </cell>
          <cell r="D1127">
            <v>2.1</v>
          </cell>
          <cell r="E1127">
            <v>59300</v>
          </cell>
          <cell r="F1127">
            <v>0.8</v>
          </cell>
          <cell r="G1127">
            <v>56070</v>
          </cell>
        </row>
        <row r="1128">
          <cell r="A1128" t="str">
            <v>49-9061</v>
          </cell>
          <cell r="B1128" t="str">
            <v>Camera and Photographic Equipment Repairers</v>
          </cell>
          <cell r="C1128">
            <v>2120</v>
          </cell>
          <cell r="D1128">
            <v>21.4</v>
          </cell>
          <cell r="E1128">
            <v>46870</v>
          </cell>
          <cell r="F1128">
            <v>3.2</v>
          </cell>
          <cell r="G1128">
            <v>44060</v>
          </cell>
        </row>
        <row r="1129">
          <cell r="A1129" t="str">
            <v>49-9062</v>
          </cell>
          <cell r="B1129" t="str">
            <v>Medical Equipment Repairers</v>
          </cell>
          <cell r="C1129">
            <v>58830</v>
          </cell>
          <cell r="D1129">
            <v>2.5</v>
          </cell>
          <cell r="E1129">
            <v>60950</v>
          </cell>
          <cell r="F1129">
            <v>1</v>
          </cell>
          <cell r="G1129">
            <v>57860</v>
          </cell>
        </row>
        <row r="1130">
          <cell r="A1130" t="str">
            <v>49-9063</v>
          </cell>
          <cell r="B1130" t="str">
            <v>Musical Instrument Repairers and Tuners</v>
          </cell>
          <cell r="C1130">
            <v>6330</v>
          </cell>
          <cell r="D1130">
            <v>3.8</v>
          </cell>
          <cell r="E1130">
            <v>43120</v>
          </cell>
          <cell r="F1130">
            <v>1.4</v>
          </cell>
          <cell r="G1130">
            <v>38150</v>
          </cell>
        </row>
        <row r="1131">
          <cell r="A1131" t="str">
            <v>49-9064</v>
          </cell>
          <cell r="B1131" t="str">
            <v>Watch and Clock Repairers</v>
          </cell>
          <cell r="C1131">
            <v>1880</v>
          </cell>
          <cell r="D1131">
            <v>15.5</v>
          </cell>
          <cell r="E1131">
            <v>49580</v>
          </cell>
          <cell r="F1131">
            <v>5</v>
          </cell>
          <cell r="G1131">
            <v>48370</v>
          </cell>
        </row>
        <row r="1132">
          <cell r="A1132" t="str">
            <v>49-9069</v>
          </cell>
          <cell r="B1132" t="str">
            <v>Precision Instrument and Equipment Repairers, All Other</v>
          </cell>
          <cell r="C1132">
            <v>10810</v>
          </cell>
          <cell r="D1132">
            <v>4.9000000000000004</v>
          </cell>
          <cell r="E1132">
            <v>63970</v>
          </cell>
          <cell r="F1132">
            <v>1.5</v>
          </cell>
          <cell r="G1132">
            <v>61690</v>
          </cell>
        </row>
        <row r="1133">
          <cell r="A1133" t="str">
            <v>49-9070</v>
          </cell>
          <cell r="B1133" t="str">
            <v>Maintenance and Repair Workers, General</v>
          </cell>
          <cell r="C1133">
            <v>1485990</v>
          </cell>
          <cell r="D1133">
            <v>0.8</v>
          </cell>
          <cell r="E1133">
            <v>47130</v>
          </cell>
          <cell r="F1133">
            <v>0.2</v>
          </cell>
          <cell r="G1133">
            <v>44980</v>
          </cell>
        </row>
        <row r="1134">
          <cell r="A1134" t="str">
            <v>49-9071</v>
          </cell>
          <cell r="B1134" t="str">
            <v>Maintenance and Repair Workers, General</v>
          </cell>
          <cell r="C1134">
            <v>1485990</v>
          </cell>
          <cell r="D1134">
            <v>0.8</v>
          </cell>
          <cell r="E1134">
            <v>47130</v>
          </cell>
          <cell r="F1134">
            <v>0.2</v>
          </cell>
          <cell r="G1134">
            <v>44980</v>
          </cell>
        </row>
        <row r="1135">
          <cell r="A1135" t="str">
            <v>49-9080</v>
          </cell>
          <cell r="B1135" t="str">
            <v>Wind Turbine Service Technicians</v>
          </cell>
          <cell r="C1135">
            <v>9830</v>
          </cell>
          <cell r="D1135">
            <v>8.4</v>
          </cell>
          <cell r="E1135">
            <v>59880</v>
          </cell>
          <cell r="F1135">
            <v>1.6</v>
          </cell>
          <cell r="G1135">
            <v>57320</v>
          </cell>
        </row>
        <row r="1136">
          <cell r="A1136" t="str">
            <v>49-9081</v>
          </cell>
          <cell r="B1136" t="str">
            <v>Wind Turbine Service Technicians</v>
          </cell>
          <cell r="C1136">
            <v>9830</v>
          </cell>
          <cell r="D1136">
            <v>8.4</v>
          </cell>
          <cell r="E1136">
            <v>59880</v>
          </cell>
          <cell r="F1136">
            <v>1.6</v>
          </cell>
          <cell r="G1136">
            <v>57320</v>
          </cell>
        </row>
        <row r="1137">
          <cell r="A1137" t="str">
            <v>49-9090</v>
          </cell>
          <cell r="B1137" t="str">
            <v>Miscellaneous Installation, Maintenance, and Repair Workers</v>
          </cell>
          <cell r="C1137">
            <v>351290</v>
          </cell>
          <cell r="D1137">
            <v>0.8</v>
          </cell>
          <cell r="E1137">
            <v>45910</v>
          </cell>
          <cell r="F1137">
            <v>0.4</v>
          </cell>
          <cell r="G1137">
            <v>40770</v>
          </cell>
        </row>
        <row r="1138">
          <cell r="A1138" t="str">
            <v>49-9091</v>
          </cell>
          <cell r="B1138" t="str">
            <v>Coin, Vending, and Amusement Machine Servicers and Repairers</v>
          </cell>
          <cell r="C1138">
            <v>35790</v>
          </cell>
          <cell r="D1138">
            <v>4</v>
          </cell>
          <cell r="E1138">
            <v>42500</v>
          </cell>
          <cell r="F1138">
            <v>1</v>
          </cell>
          <cell r="G1138">
            <v>39690</v>
          </cell>
        </row>
        <row r="1139">
          <cell r="A1139" t="str">
            <v>49-9092</v>
          </cell>
          <cell r="B1139" t="str">
            <v>Commercial Divers</v>
          </cell>
          <cell r="C1139">
            <v>3860</v>
          </cell>
          <cell r="D1139">
            <v>15.7</v>
          </cell>
          <cell r="E1139">
            <v>85630</v>
          </cell>
          <cell r="F1139">
            <v>8.5</v>
          </cell>
          <cell r="G1139">
            <v>68300</v>
          </cell>
        </row>
        <row r="1140">
          <cell r="A1140" t="str">
            <v>49-9094</v>
          </cell>
          <cell r="B1140" t="str">
            <v>Locksmiths and Safe Repairers</v>
          </cell>
          <cell r="C1140">
            <v>15240</v>
          </cell>
          <cell r="D1140">
            <v>1.4</v>
          </cell>
          <cell r="E1140">
            <v>50210</v>
          </cell>
          <cell r="F1140">
            <v>0.7</v>
          </cell>
          <cell r="G1140">
            <v>47400</v>
          </cell>
        </row>
        <row r="1141">
          <cell r="A1141" t="str">
            <v>49-9095</v>
          </cell>
          <cell r="B1141" t="str">
            <v>Manufactured Building and Mobile Home Installers</v>
          </cell>
          <cell r="C1141">
            <v>3630</v>
          </cell>
          <cell r="D1141">
            <v>11.6</v>
          </cell>
          <cell r="E1141">
            <v>38020</v>
          </cell>
          <cell r="F1141">
            <v>1.8</v>
          </cell>
          <cell r="G1141">
            <v>36820</v>
          </cell>
        </row>
        <row r="1142">
          <cell r="A1142" t="str">
            <v>49-9096</v>
          </cell>
          <cell r="B1142" t="str">
            <v>Riggers</v>
          </cell>
          <cell r="C1142">
            <v>19260</v>
          </cell>
          <cell r="D1142">
            <v>3.6</v>
          </cell>
          <cell r="E1142">
            <v>58700</v>
          </cell>
          <cell r="F1142">
            <v>1</v>
          </cell>
          <cell r="G1142">
            <v>54680</v>
          </cell>
        </row>
        <row r="1143">
          <cell r="A1143" t="str">
            <v>49-9097</v>
          </cell>
          <cell r="B1143" t="str">
            <v>Signal and Track Switch Repairers</v>
          </cell>
          <cell r="C1143">
            <v>6880</v>
          </cell>
          <cell r="D1143">
            <v>0.7</v>
          </cell>
          <cell r="E1143">
            <v>77370</v>
          </cell>
          <cell r="F1143">
            <v>0.6</v>
          </cell>
          <cell r="G1143">
            <v>81300</v>
          </cell>
        </row>
        <row r="1144">
          <cell r="A1144" t="str">
            <v>49-9098</v>
          </cell>
          <cell r="B1144" t="str">
            <v>Helpers--Installation, Maintenance, and Repair Workers</v>
          </cell>
          <cell r="C1144">
            <v>93650</v>
          </cell>
          <cell r="D1144">
            <v>1.6</v>
          </cell>
          <cell r="E1144">
            <v>36750</v>
          </cell>
          <cell r="F1144">
            <v>0.4</v>
          </cell>
          <cell r="G1144">
            <v>35100</v>
          </cell>
        </row>
        <row r="1145">
          <cell r="A1145" t="str">
            <v>49-9099</v>
          </cell>
          <cell r="B1145" t="str">
            <v>Installation, Maintenance, and Repair Workers, All Other</v>
          </cell>
          <cell r="C1145">
            <v>172980</v>
          </cell>
          <cell r="D1145">
            <v>1.3</v>
          </cell>
          <cell r="E1145">
            <v>47800</v>
          </cell>
          <cell r="F1145">
            <v>0.4</v>
          </cell>
          <cell r="G1145">
            <v>44500</v>
          </cell>
        </row>
        <row r="1146">
          <cell r="A1146" t="str">
            <v>51-0000</v>
          </cell>
          <cell r="B1146" t="str">
            <v>Production Occupations</v>
          </cell>
          <cell r="C1146">
            <v>8738980</v>
          </cell>
          <cell r="D1146">
            <v>0.2</v>
          </cell>
          <cell r="E1146">
            <v>45370</v>
          </cell>
          <cell r="F1146">
            <v>0.2</v>
          </cell>
          <cell r="G1146">
            <v>39910</v>
          </cell>
        </row>
        <row r="1147">
          <cell r="A1147" t="str">
            <v>51-1000</v>
          </cell>
          <cell r="B1147" t="str">
            <v>Supervisors of Production Workers</v>
          </cell>
          <cell r="C1147">
            <v>659930</v>
          </cell>
          <cell r="D1147">
            <v>0.3</v>
          </cell>
          <cell r="E1147">
            <v>69100</v>
          </cell>
          <cell r="F1147">
            <v>0.2</v>
          </cell>
          <cell r="G1147">
            <v>63510</v>
          </cell>
        </row>
        <row r="1148">
          <cell r="A1148" t="str">
            <v>51-1010</v>
          </cell>
          <cell r="B1148" t="str">
            <v>First-Line Supervisors of Production and Operating Workers</v>
          </cell>
          <cell r="C1148">
            <v>659930</v>
          </cell>
          <cell r="D1148">
            <v>0.3</v>
          </cell>
          <cell r="E1148">
            <v>69100</v>
          </cell>
          <cell r="F1148">
            <v>0.2</v>
          </cell>
          <cell r="G1148">
            <v>63510</v>
          </cell>
        </row>
        <row r="1149">
          <cell r="A1149" t="str">
            <v>51-1011</v>
          </cell>
          <cell r="B1149" t="str">
            <v>First-Line Supervisors of Production and Operating Workers</v>
          </cell>
          <cell r="C1149">
            <v>659930</v>
          </cell>
          <cell r="D1149">
            <v>0.3</v>
          </cell>
          <cell r="E1149">
            <v>69100</v>
          </cell>
          <cell r="F1149">
            <v>0.2</v>
          </cell>
          <cell r="G1149">
            <v>63510</v>
          </cell>
        </row>
        <row r="1150">
          <cell r="A1150" t="str">
            <v>51-2000</v>
          </cell>
          <cell r="B1150" t="str">
            <v>Assemblers and Fabricators</v>
          </cell>
          <cell r="C1150">
            <v>1903910</v>
          </cell>
          <cell r="D1150">
            <v>0.6</v>
          </cell>
          <cell r="E1150">
            <v>41420</v>
          </cell>
          <cell r="F1150">
            <v>0.3</v>
          </cell>
          <cell r="G1150">
            <v>37930</v>
          </cell>
        </row>
        <row r="1151">
          <cell r="A1151" t="str">
            <v>51-2010</v>
          </cell>
          <cell r="B1151" t="str">
            <v>Aircraft Structure, Surfaces, Rigging, and Systems Assemblers</v>
          </cell>
          <cell r="C1151">
            <v>32140</v>
          </cell>
          <cell r="D1151">
            <v>2.7</v>
          </cell>
          <cell r="E1151">
            <v>60110</v>
          </cell>
          <cell r="F1151">
            <v>0.8</v>
          </cell>
          <cell r="G1151">
            <v>58430</v>
          </cell>
        </row>
        <row r="1152">
          <cell r="A1152" t="str">
            <v>51-2011</v>
          </cell>
          <cell r="B1152" t="str">
            <v>Aircraft Structure, Surfaces, Rigging, and Systems Assemblers</v>
          </cell>
          <cell r="C1152">
            <v>32140</v>
          </cell>
          <cell r="D1152">
            <v>2.7</v>
          </cell>
          <cell r="E1152">
            <v>60110</v>
          </cell>
          <cell r="F1152">
            <v>0.8</v>
          </cell>
          <cell r="G1152">
            <v>58430</v>
          </cell>
        </row>
        <row r="1153">
          <cell r="A1153" t="str">
            <v>51-2020</v>
          </cell>
          <cell r="B1153" t="str">
            <v>Electrical, Electronics, and Electromechanical Assemblers</v>
          </cell>
          <cell r="C1153">
            <v>286380</v>
          </cell>
          <cell r="D1153">
            <v>1.3</v>
          </cell>
          <cell r="E1153">
            <v>41890</v>
          </cell>
          <cell r="F1153">
            <v>0.3</v>
          </cell>
          <cell r="G1153">
            <v>38640</v>
          </cell>
        </row>
        <row r="1154">
          <cell r="A1154" t="str">
            <v>51-2021</v>
          </cell>
          <cell r="B1154" t="str">
            <v>Coil Winders, Tapers, and Finishers</v>
          </cell>
          <cell r="C1154">
            <v>10860</v>
          </cell>
          <cell r="D1154">
            <v>3.8</v>
          </cell>
          <cell r="E1154">
            <v>44850</v>
          </cell>
          <cell r="F1154">
            <v>0.9</v>
          </cell>
          <cell r="G1154">
            <v>43160</v>
          </cell>
        </row>
        <row r="1155">
          <cell r="A1155" t="str">
            <v>51-2028</v>
          </cell>
          <cell r="B1155" t="str">
            <v>Electrical, Electronic, and Electromechanical Assemblers, Except Coil Winders, Tapers, and Finishers</v>
          </cell>
          <cell r="C1155">
            <v>275510</v>
          </cell>
          <cell r="D1155">
            <v>1.3</v>
          </cell>
          <cell r="E1155">
            <v>41770</v>
          </cell>
          <cell r="F1155">
            <v>0.3</v>
          </cell>
          <cell r="G1155">
            <v>38580</v>
          </cell>
        </row>
        <row r="1156">
          <cell r="A1156" t="str">
            <v>51-2030</v>
          </cell>
          <cell r="B1156" t="str">
            <v>Engine and Other Machine Assemblers</v>
          </cell>
          <cell r="C1156">
            <v>50120</v>
          </cell>
          <cell r="D1156">
            <v>2.9</v>
          </cell>
          <cell r="E1156">
            <v>51980</v>
          </cell>
          <cell r="F1156">
            <v>0.5</v>
          </cell>
          <cell r="G1156">
            <v>50850</v>
          </cell>
        </row>
        <row r="1157">
          <cell r="A1157" t="str">
            <v>51-2031</v>
          </cell>
          <cell r="B1157" t="str">
            <v>Engine and Other Machine Assemblers</v>
          </cell>
          <cell r="C1157">
            <v>50120</v>
          </cell>
          <cell r="D1157">
            <v>2.9</v>
          </cell>
          <cell r="E1157">
            <v>51980</v>
          </cell>
          <cell r="F1157">
            <v>0.5</v>
          </cell>
          <cell r="G1157">
            <v>50850</v>
          </cell>
        </row>
        <row r="1158">
          <cell r="A1158" t="str">
            <v>51-2040</v>
          </cell>
          <cell r="B1158" t="str">
            <v>Structural Metal Fabricators and Fitters</v>
          </cell>
          <cell r="C1158">
            <v>58870</v>
          </cell>
          <cell r="D1158">
            <v>2.1</v>
          </cell>
          <cell r="E1158">
            <v>48870</v>
          </cell>
          <cell r="F1158">
            <v>0.6</v>
          </cell>
          <cell r="G1158">
            <v>47200</v>
          </cell>
        </row>
        <row r="1159">
          <cell r="A1159" t="str">
            <v>51-2041</v>
          </cell>
          <cell r="B1159" t="str">
            <v>Structural Metal Fabricators and Fitters</v>
          </cell>
          <cell r="C1159">
            <v>58870</v>
          </cell>
          <cell r="D1159">
            <v>2.1</v>
          </cell>
          <cell r="E1159">
            <v>48870</v>
          </cell>
          <cell r="F1159">
            <v>0.6</v>
          </cell>
          <cell r="G1159">
            <v>47200</v>
          </cell>
        </row>
        <row r="1160">
          <cell r="A1160" t="str">
            <v>51-2050</v>
          </cell>
          <cell r="B1160" t="str">
            <v>Fiberglass Laminators and Fabricators</v>
          </cell>
          <cell r="C1160">
            <v>21910</v>
          </cell>
          <cell r="D1160">
            <v>2.9</v>
          </cell>
          <cell r="E1160">
            <v>41280</v>
          </cell>
          <cell r="F1160">
            <v>0.8</v>
          </cell>
          <cell r="G1160">
            <v>38110</v>
          </cell>
        </row>
        <row r="1161">
          <cell r="A1161" t="str">
            <v>51-2051</v>
          </cell>
          <cell r="B1161" t="str">
            <v>Fiberglass Laminators and Fabricators</v>
          </cell>
          <cell r="C1161">
            <v>21910</v>
          </cell>
          <cell r="D1161">
            <v>2.9</v>
          </cell>
          <cell r="E1161">
            <v>41280</v>
          </cell>
          <cell r="F1161">
            <v>0.8</v>
          </cell>
          <cell r="G1161">
            <v>38110</v>
          </cell>
        </row>
        <row r="1162">
          <cell r="A1162" t="str">
            <v>51-2060</v>
          </cell>
          <cell r="B1162" t="str">
            <v>Timing Device Assemblers and Adjusters</v>
          </cell>
          <cell r="C1162">
            <v>370</v>
          </cell>
          <cell r="D1162">
            <v>12.3</v>
          </cell>
          <cell r="E1162">
            <v>46480</v>
          </cell>
          <cell r="F1162">
            <v>7.3</v>
          </cell>
          <cell r="G1162">
            <v>42290</v>
          </cell>
        </row>
        <row r="1163">
          <cell r="A1163" t="str">
            <v>51-2061</v>
          </cell>
          <cell r="B1163" t="str">
            <v>Timing Device Assemblers and Adjusters</v>
          </cell>
          <cell r="C1163">
            <v>370</v>
          </cell>
          <cell r="D1163">
            <v>12.3</v>
          </cell>
          <cell r="E1163">
            <v>46480</v>
          </cell>
          <cell r="F1163">
            <v>7.3</v>
          </cell>
          <cell r="G1163">
            <v>42290</v>
          </cell>
        </row>
        <row r="1164">
          <cell r="A1164" t="str">
            <v>51-2090</v>
          </cell>
          <cell r="B1164" t="str">
            <v>Miscellaneous Assemblers and Fabricators</v>
          </cell>
          <cell r="C1164">
            <v>1454130</v>
          </cell>
          <cell r="D1164">
            <v>0.8</v>
          </cell>
          <cell r="E1164">
            <v>40250</v>
          </cell>
          <cell r="F1164">
            <v>0.3</v>
          </cell>
          <cell r="G1164">
            <v>37280</v>
          </cell>
        </row>
        <row r="1165">
          <cell r="A1165" t="str">
            <v>51-2090</v>
          </cell>
          <cell r="B1165" t="str">
            <v>Miscellaneous Assemblers and Fabricators</v>
          </cell>
          <cell r="C1165">
            <v>1454130</v>
          </cell>
          <cell r="D1165">
            <v>0.8</v>
          </cell>
          <cell r="E1165">
            <v>40250</v>
          </cell>
          <cell r="F1165">
            <v>0.3</v>
          </cell>
          <cell r="G1165">
            <v>37280</v>
          </cell>
        </row>
        <row r="1166">
          <cell r="A1166" t="str">
            <v>51-3000</v>
          </cell>
          <cell r="B1166" t="str">
            <v>Food Processing Workers</v>
          </cell>
          <cell r="C1166">
            <v>807880</v>
          </cell>
          <cell r="D1166">
            <v>0.9</v>
          </cell>
          <cell r="E1166">
            <v>36300</v>
          </cell>
          <cell r="F1166">
            <v>0.3</v>
          </cell>
          <cell r="G1166">
            <v>35320</v>
          </cell>
        </row>
        <row r="1167">
          <cell r="A1167" t="str">
            <v>51-3010</v>
          </cell>
          <cell r="B1167" t="str">
            <v>Bakers</v>
          </cell>
          <cell r="C1167">
            <v>205300</v>
          </cell>
          <cell r="D1167">
            <v>2.1</v>
          </cell>
          <cell r="E1167">
            <v>34140</v>
          </cell>
          <cell r="F1167">
            <v>0.7</v>
          </cell>
          <cell r="G1167">
            <v>32780</v>
          </cell>
        </row>
        <row r="1168">
          <cell r="A1168" t="str">
            <v>51-3011</v>
          </cell>
          <cell r="B1168" t="str">
            <v>Bakers</v>
          </cell>
          <cell r="C1168">
            <v>205300</v>
          </cell>
          <cell r="D1168">
            <v>2.1</v>
          </cell>
          <cell r="E1168">
            <v>34140</v>
          </cell>
          <cell r="F1168">
            <v>0.7</v>
          </cell>
          <cell r="G1168">
            <v>32780</v>
          </cell>
        </row>
        <row r="1169">
          <cell r="A1169" t="str">
            <v>51-3020</v>
          </cell>
          <cell r="B1169" t="str">
            <v>Butchers and Other Meat, Poultry, and Fish Processing Workers</v>
          </cell>
          <cell r="C1169">
            <v>341520</v>
          </cell>
          <cell r="D1169">
            <v>0.8</v>
          </cell>
          <cell r="E1169">
            <v>36230</v>
          </cell>
          <cell r="F1169">
            <v>0.3</v>
          </cell>
          <cell r="G1169">
            <v>35870</v>
          </cell>
        </row>
        <row r="1170">
          <cell r="A1170" t="str">
            <v>51-3021</v>
          </cell>
          <cell r="B1170" t="str">
            <v>Butchers and Meat Cutters</v>
          </cell>
          <cell r="C1170">
            <v>129400</v>
          </cell>
          <cell r="D1170">
            <v>1.5</v>
          </cell>
          <cell r="E1170">
            <v>38200</v>
          </cell>
          <cell r="F1170">
            <v>0.4</v>
          </cell>
          <cell r="G1170">
            <v>36930</v>
          </cell>
        </row>
        <row r="1171">
          <cell r="A1171" t="str">
            <v>51-3022</v>
          </cell>
          <cell r="B1171" t="str">
            <v>Meat, Poultry, and Fish Cutters and Trimmers</v>
          </cell>
          <cell r="C1171">
            <v>133460</v>
          </cell>
          <cell r="D1171">
            <v>1.1000000000000001</v>
          </cell>
          <cell r="E1171">
            <v>35090</v>
          </cell>
          <cell r="F1171">
            <v>0.3</v>
          </cell>
          <cell r="G1171">
            <v>35070</v>
          </cell>
        </row>
        <row r="1172">
          <cell r="A1172" t="str">
            <v>51-3023</v>
          </cell>
          <cell r="B1172" t="str">
            <v>Slaughterers and Meat Packers</v>
          </cell>
          <cell r="C1172">
            <v>78660</v>
          </cell>
          <cell r="D1172">
            <v>1.5</v>
          </cell>
          <cell r="E1172">
            <v>34920</v>
          </cell>
          <cell r="F1172">
            <v>0.4</v>
          </cell>
          <cell r="G1172">
            <v>35240</v>
          </cell>
        </row>
        <row r="1173">
          <cell r="A1173" t="str">
            <v>51-3090</v>
          </cell>
          <cell r="B1173" t="str">
            <v>Miscellaneous Food Processing Workers</v>
          </cell>
          <cell r="C1173">
            <v>261060</v>
          </cell>
          <cell r="D1173">
            <v>1.1000000000000001</v>
          </cell>
          <cell r="E1173">
            <v>38090</v>
          </cell>
          <cell r="F1173">
            <v>0.4</v>
          </cell>
          <cell r="G1173">
            <v>36190</v>
          </cell>
        </row>
        <row r="1174">
          <cell r="A1174" t="str">
            <v>51-3091</v>
          </cell>
          <cell r="B1174" t="str">
            <v>Food and Tobacco Roasting, Baking, and Drying Machine Operators and Tenders</v>
          </cell>
          <cell r="C1174">
            <v>20010</v>
          </cell>
          <cell r="D1174">
            <v>2.9</v>
          </cell>
          <cell r="E1174">
            <v>39770</v>
          </cell>
          <cell r="F1174">
            <v>0.8</v>
          </cell>
          <cell r="G1174">
            <v>37790</v>
          </cell>
        </row>
        <row r="1175">
          <cell r="A1175" t="str">
            <v>51-3092</v>
          </cell>
          <cell r="B1175" t="str">
            <v>Food Batchmakers</v>
          </cell>
          <cell r="C1175">
            <v>166520</v>
          </cell>
          <cell r="D1175">
            <v>1.6</v>
          </cell>
          <cell r="E1175">
            <v>38710</v>
          </cell>
          <cell r="F1175">
            <v>0.5</v>
          </cell>
          <cell r="G1175">
            <v>36580</v>
          </cell>
        </row>
        <row r="1176">
          <cell r="A1176" t="str">
            <v>51-3093</v>
          </cell>
          <cell r="B1176" t="str">
            <v>Food Cooking Machine Operators and Tenders</v>
          </cell>
          <cell r="C1176">
            <v>26740</v>
          </cell>
          <cell r="D1176">
            <v>3.8</v>
          </cell>
          <cell r="E1176">
            <v>37760</v>
          </cell>
          <cell r="F1176">
            <v>0.8</v>
          </cell>
          <cell r="G1176">
            <v>36700</v>
          </cell>
        </row>
        <row r="1177">
          <cell r="A1177" t="str">
            <v>51-3099</v>
          </cell>
          <cell r="B1177" t="str">
            <v>Food Processing Workers, All Other</v>
          </cell>
          <cell r="C1177">
            <v>47790</v>
          </cell>
          <cell r="D1177">
            <v>2.2000000000000002</v>
          </cell>
          <cell r="E1177">
            <v>35430</v>
          </cell>
          <cell r="F1177">
            <v>0.5</v>
          </cell>
          <cell r="G1177">
            <v>34710</v>
          </cell>
        </row>
        <row r="1178">
          <cell r="A1178" t="str">
            <v>51-4000</v>
          </cell>
          <cell r="B1178" t="str">
            <v>Metal Workers and Plastic Workers</v>
          </cell>
          <cell r="C1178">
            <v>1644250</v>
          </cell>
          <cell r="D1178">
            <v>0.4</v>
          </cell>
          <cell r="E1178">
            <v>47020</v>
          </cell>
          <cell r="F1178">
            <v>0.2</v>
          </cell>
          <cell r="G1178">
            <v>45080</v>
          </cell>
        </row>
        <row r="1179">
          <cell r="A1179" t="str">
            <v>51-4020</v>
          </cell>
          <cell r="B1179" t="str">
            <v>Forming Machine Setters, Operators, and Tenders, Metal and Plastic</v>
          </cell>
          <cell r="C1179">
            <v>102040</v>
          </cell>
          <cell r="D1179">
            <v>1.7</v>
          </cell>
          <cell r="E1179">
            <v>44580</v>
          </cell>
          <cell r="F1179">
            <v>0.4</v>
          </cell>
          <cell r="G1179">
            <v>42540</v>
          </cell>
        </row>
        <row r="1180">
          <cell r="A1180" t="str">
            <v>51-4021</v>
          </cell>
          <cell r="B1180" t="str">
            <v>Extruding and Drawing Machine Setters, Operators, and Tenders, Metal and Plastic</v>
          </cell>
          <cell r="C1180">
            <v>63490</v>
          </cell>
          <cell r="D1180">
            <v>2</v>
          </cell>
          <cell r="E1180">
            <v>42580</v>
          </cell>
          <cell r="F1180">
            <v>0.5</v>
          </cell>
          <cell r="G1180">
            <v>39970</v>
          </cell>
        </row>
        <row r="1181">
          <cell r="A1181" t="str">
            <v>51-4022</v>
          </cell>
          <cell r="B1181" t="str">
            <v>Forging Machine Setters, Operators, and Tenders, Metal and Plastic</v>
          </cell>
          <cell r="C1181">
            <v>10650</v>
          </cell>
          <cell r="D1181">
            <v>4</v>
          </cell>
          <cell r="E1181">
            <v>46940</v>
          </cell>
          <cell r="F1181">
            <v>0.7</v>
          </cell>
          <cell r="G1181">
            <v>46540</v>
          </cell>
        </row>
        <row r="1182">
          <cell r="A1182" t="str">
            <v>51-4023</v>
          </cell>
          <cell r="B1182" t="str">
            <v>Rolling Machine Setters, Operators, and Tenders, Metal and Plastic</v>
          </cell>
          <cell r="C1182">
            <v>27900</v>
          </cell>
          <cell r="D1182">
            <v>3.5</v>
          </cell>
          <cell r="E1182">
            <v>48250</v>
          </cell>
          <cell r="F1182">
            <v>0.7</v>
          </cell>
          <cell r="G1182">
            <v>46310</v>
          </cell>
        </row>
        <row r="1183">
          <cell r="A1183" t="str">
            <v>51-4030</v>
          </cell>
          <cell r="B1183" t="str">
            <v>Machine Tool Cutting Setters, Operators, and Tenders, Metal and Plastic</v>
          </cell>
          <cell r="C1183">
            <v>297630</v>
          </cell>
          <cell r="D1183">
            <v>0.9</v>
          </cell>
          <cell r="E1183">
            <v>42990</v>
          </cell>
          <cell r="F1183">
            <v>0.3</v>
          </cell>
          <cell r="G1183">
            <v>39880</v>
          </cell>
        </row>
        <row r="1184">
          <cell r="A1184" t="str">
            <v>51-4031</v>
          </cell>
          <cell r="B1184" t="str">
            <v>Cutting, Punching, and Press Machine Setters, Operators, and Tenders, Metal and Plastic</v>
          </cell>
          <cell r="C1184">
            <v>182460</v>
          </cell>
          <cell r="D1184">
            <v>1.4</v>
          </cell>
          <cell r="E1184">
            <v>42240</v>
          </cell>
          <cell r="F1184">
            <v>0.3</v>
          </cell>
          <cell r="G1184">
            <v>39340</v>
          </cell>
        </row>
        <row r="1185">
          <cell r="A1185" t="str">
            <v>51-4032</v>
          </cell>
          <cell r="B1185" t="str">
            <v>Drilling and Boring Machine Tool Setters, Operators, and Tenders, Metal and Plastic</v>
          </cell>
          <cell r="C1185">
            <v>6470</v>
          </cell>
          <cell r="D1185">
            <v>4.0999999999999996</v>
          </cell>
          <cell r="E1185">
            <v>45350</v>
          </cell>
          <cell r="F1185">
            <v>1.1000000000000001</v>
          </cell>
          <cell r="G1185">
            <v>42450</v>
          </cell>
        </row>
        <row r="1186">
          <cell r="A1186" t="str">
            <v>51-4033</v>
          </cell>
          <cell r="B1186" t="str">
            <v>Grinding, Lapping, Polishing, and Buffing Machine Tool Setters, Operators, and Tenders, Metal and Plastic</v>
          </cell>
          <cell r="C1186">
            <v>73800</v>
          </cell>
          <cell r="D1186">
            <v>1.2</v>
          </cell>
          <cell r="E1186">
            <v>42050</v>
          </cell>
          <cell r="F1186">
            <v>0.5</v>
          </cell>
          <cell r="G1186">
            <v>38910</v>
          </cell>
        </row>
        <row r="1187">
          <cell r="A1187" t="str">
            <v>51-4034</v>
          </cell>
          <cell r="B1187" t="str">
            <v>Lathe and Turning Machine Tool Setters, Operators, and Tenders, Metal and Plastic</v>
          </cell>
          <cell r="C1187">
            <v>19410</v>
          </cell>
          <cell r="D1187">
            <v>3.1</v>
          </cell>
          <cell r="E1187">
            <v>47820</v>
          </cell>
          <cell r="F1187">
            <v>0.8</v>
          </cell>
          <cell r="G1187">
            <v>47020</v>
          </cell>
        </row>
        <row r="1188">
          <cell r="A1188" t="str">
            <v>51-4035</v>
          </cell>
          <cell r="B1188" t="str">
            <v>Milling and Planing Machine Setters, Operators, and Tenders, Metal and Plastic</v>
          </cell>
          <cell r="C1188">
            <v>15480</v>
          </cell>
          <cell r="D1188">
            <v>3.3</v>
          </cell>
          <cell r="E1188">
            <v>49200</v>
          </cell>
          <cell r="F1188">
            <v>0.7</v>
          </cell>
          <cell r="G1188">
            <v>46870</v>
          </cell>
        </row>
        <row r="1189">
          <cell r="A1189" t="str">
            <v>51-4040</v>
          </cell>
          <cell r="B1189" t="str">
            <v>Machinists</v>
          </cell>
          <cell r="C1189">
            <v>316860</v>
          </cell>
          <cell r="D1189">
            <v>0.9</v>
          </cell>
          <cell r="E1189">
            <v>51430</v>
          </cell>
          <cell r="F1189">
            <v>0.3</v>
          </cell>
          <cell r="G1189">
            <v>48510</v>
          </cell>
        </row>
        <row r="1190">
          <cell r="A1190" t="str">
            <v>51-4041</v>
          </cell>
          <cell r="B1190" t="str">
            <v>Machinists</v>
          </cell>
          <cell r="C1190">
            <v>316860</v>
          </cell>
          <cell r="D1190">
            <v>0.9</v>
          </cell>
          <cell r="E1190">
            <v>51430</v>
          </cell>
          <cell r="F1190">
            <v>0.3</v>
          </cell>
          <cell r="G1190">
            <v>48510</v>
          </cell>
        </row>
        <row r="1191">
          <cell r="A1191" t="str">
            <v>51-4050</v>
          </cell>
          <cell r="B1191" t="str">
            <v>Metal Furnace Operators, Tenders, Pourers, and Casters</v>
          </cell>
          <cell r="C1191">
            <v>25390</v>
          </cell>
          <cell r="D1191">
            <v>2.6</v>
          </cell>
          <cell r="E1191">
            <v>51810</v>
          </cell>
          <cell r="F1191">
            <v>0.6</v>
          </cell>
          <cell r="G1191">
            <v>49110</v>
          </cell>
        </row>
        <row r="1192">
          <cell r="A1192" t="str">
            <v>51-4051</v>
          </cell>
          <cell r="B1192" t="str">
            <v>Metal-Refining Furnace Operators and Tenders</v>
          </cell>
          <cell r="C1192">
            <v>19320</v>
          </cell>
          <cell r="D1192">
            <v>3.3</v>
          </cell>
          <cell r="E1192">
            <v>53450</v>
          </cell>
          <cell r="F1192">
            <v>0.8</v>
          </cell>
          <cell r="G1192">
            <v>50280</v>
          </cell>
        </row>
        <row r="1193">
          <cell r="A1193" t="str">
            <v>51-4052</v>
          </cell>
          <cell r="B1193" t="str">
            <v>Pourers and Casters, Metal</v>
          </cell>
          <cell r="C1193">
            <v>6070</v>
          </cell>
          <cell r="D1193">
            <v>3.1</v>
          </cell>
          <cell r="E1193">
            <v>46600</v>
          </cell>
          <cell r="F1193">
            <v>0.8</v>
          </cell>
          <cell r="G1193">
            <v>45070</v>
          </cell>
        </row>
        <row r="1194">
          <cell r="A1194" t="str">
            <v>51-4060</v>
          </cell>
          <cell r="B1194" t="str">
            <v>Model Makers and Patternmakers, Metal and Plastic</v>
          </cell>
          <cell r="C1194">
            <v>5580</v>
          </cell>
          <cell r="D1194">
            <v>5</v>
          </cell>
          <cell r="E1194">
            <v>58320</v>
          </cell>
          <cell r="F1194">
            <v>1.1000000000000001</v>
          </cell>
          <cell r="G1194">
            <v>56170</v>
          </cell>
        </row>
        <row r="1195">
          <cell r="A1195" t="str">
            <v>51-4061</v>
          </cell>
          <cell r="B1195" t="str">
            <v>Model Makers, Metal and Plastic</v>
          </cell>
          <cell r="C1195">
            <v>3350</v>
          </cell>
          <cell r="D1195">
            <v>6.8</v>
          </cell>
          <cell r="E1195">
            <v>60220</v>
          </cell>
          <cell r="F1195">
            <v>1.8</v>
          </cell>
          <cell r="G1195">
            <v>57620</v>
          </cell>
        </row>
        <row r="1196">
          <cell r="A1196" t="str">
            <v>51-4062</v>
          </cell>
          <cell r="B1196" t="str">
            <v>Patternmakers, Metal and Plastic</v>
          </cell>
          <cell r="C1196">
            <v>2230</v>
          </cell>
          <cell r="D1196">
            <v>6.4</v>
          </cell>
          <cell r="E1196">
            <v>55470</v>
          </cell>
          <cell r="F1196">
            <v>1</v>
          </cell>
          <cell r="G1196">
            <v>54970</v>
          </cell>
        </row>
        <row r="1197">
          <cell r="A1197" t="str">
            <v>51-4070</v>
          </cell>
          <cell r="B1197" t="str">
            <v>Molders and Molding Machine Setters, Operators, and Tenders, Metal and Plastic</v>
          </cell>
          <cell r="C1197">
            <v>177150</v>
          </cell>
          <cell r="D1197">
            <v>1.2</v>
          </cell>
          <cell r="E1197">
            <v>39830</v>
          </cell>
          <cell r="F1197">
            <v>0.3</v>
          </cell>
          <cell r="G1197">
            <v>37160</v>
          </cell>
        </row>
        <row r="1198">
          <cell r="A1198" t="str">
            <v>51-4071</v>
          </cell>
          <cell r="B1198" t="str">
            <v>Foundry Mold and Coremakers</v>
          </cell>
          <cell r="C1198">
            <v>11330</v>
          </cell>
          <cell r="D1198">
            <v>2.9</v>
          </cell>
          <cell r="E1198">
            <v>42000</v>
          </cell>
          <cell r="F1198">
            <v>0.7</v>
          </cell>
          <cell r="G1198">
            <v>40120</v>
          </cell>
        </row>
        <row r="1199">
          <cell r="A1199" t="str">
            <v>51-4072</v>
          </cell>
          <cell r="B1199" t="str">
            <v>Molding, Coremaking, and Casting Machine Setters, Operators, and Tenders, Metal and Plastic</v>
          </cell>
          <cell r="C1199">
            <v>165820</v>
          </cell>
          <cell r="D1199">
            <v>1.3</v>
          </cell>
          <cell r="E1199">
            <v>39690</v>
          </cell>
          <cell r="F1199">
            <v>0.3</v>
          </cell>
          <cell r="G1199">
            <v>37050</v>
          </cell>
        </row>
        <row r="1200">
          <cell r="A1200" t="str">
            <v>51-4080</v>
          </cell>
          <cell r="B1200" t="str">
            <v>Multiple Machine Tool Setters, Operators, and Tenders, Metal and Plastic</v>
          </cell>
          <cell r="C1200">
            <v>137060</v>
          </cell>
          <cell r="D1200">
            <v>1.3</v>
          </cell>
          <cell r="E1200">
            <v>42040</v>
          </cell>
          <cell r="F1200">
            <v>0.4</v>
          </cell>
          <cell r="G1200">
            <v>39210</v>
          </cell>
        </row>
        <row r="1201">
          <cell r="A1201" t="str">
            <v>51-4081</v>
          </cell>
          <cell r="B1201" t="str">
            <v>Multiple Machine Tool Setters, Operators, and Tenders, Metal and Plastic</v>
          </cell>
          <cell r="C1201">
            <v>137060</v>
          </cell>
          <cell r="D1201">
            <v>1.3</v>
          </cell>
          <cell r="E1201">
            <v>42040</v>
          </cell>
          <cell r="F1201">
            <v>0.4</v>
          </cell>
          <cell r="G1201">
            <v>39210</v>
          </cell>
        </row>
        <row r="1202">
          <cell r="A1202" t="str">
            <v>51-4110</v>
          </cell>
          <cell r="B1202" t="str">
            <v>Tool and Die Makers</v>
          </cell>
          <cell r="C1202">
            <v>61730</v>
          </cell>
          <cell r="D1202">
            <v>1.5</v>
          </cell>
          <cell r="E1202">
            <v>59390</v>
          </cell>
          <cell r="F1202">
            <v>0.4</v>
          </cell>
          <cell r="G1202">
            <v>59800</v>
          </cell>
        </row>
        <row r="1203">
          <cell r="A1203" t="str">
            <v>51-4111</v>
          </cell>
          <cell r="B1203" t="str">
            <v>Tool and Die Makers</v>
          </cell>
          <cell r="C1203">
            <v>61730</v>
          </cell>
          <cell r="D1203">
            <v>1.5</v>
          </cell>
          <cell r="E1203">
            <v>59390</v>
          </cell>
          <cell r="F1203">
            <v>0.4</v>
          </cell>
          <cell r="G1203">
            <v>59800</v>
          </cell>
        </row>
        <row r="1204">
          <cell r="A1204" t="str">
            <v>51-4120</v>
          </cell>
          <cell r="B1204" t="str">
            <v>Welding, Soldering, and Brazing Workers</v>
          </cell>
          <cell r="C1204">
            <v>439930</v>
          </cell>
          <cell r="D1204">
            <v>1.1000000000000001</v>
          </cell>
          <cell r="E1204">
            <v>50160</v>
          </cell>
          <cell r="F1204">
            <v>0.2</v>
          </cell>
          <cell r="G1204">
            <v>47430</v>
          </cell>
        </row>
        <row r="1205">
          <cell r="A1205" t="str">
            <v>51-4121</v>
          </cell>
          <cell r="B1205" t="str">
            <v>Welders, Cutters, Solderers, and Brazers</v>
          </cell>
          <cell r="C1205">
            <v>408990</v>
          </cell>
          <cell r="D1205">
            <v>1.2</v>
          </cell>
          <cell r="E1205">
            <v>50460</v>
          </cell>
          <cell r="F1205">
            <v>0.2</v>
          </cell>
          <cell r="G1205">
            <v>47540</v>
          </cell>
        </row>
        <row r="1206">
          <cell r="A1206" t="str">
            <v>51-4122</v>
          </cell>
          <cell r="B1206" t="str">
            <v>Welding, Soldering, and Brazing Machine Setters, Operators, and Tenders</v>
          </cell>
          <cell r="C1206">
            <v>30940</v>
          </cell>
          <cell r="D1206">
            <v>2.1</v>
          </cell>
          <cell r="E1206">
            <v>46110</v>
          </cell>
          <cell r="F1206">
            <v>0.6</v>
          </cell>
          <cell r="G1206">
            <v>44920</v>
          </cell>
        </row>
        <row r="1207">
          <cell r="A1207" t="str">
            <v>51-4190</v>
          </cell>
          <cell r="B1207" t="str">
            <v>Miscellaneous Metal Workers and Plastic Workers</v>
          </cell>
          <cell r="C1207">
            <v>80870</v>
          </cell>
          <cell r="D1207">
            <v>1.6</v>
          </cell>
          <cell r="E1207">
            <v>43110</v>
          </cell>
          <cell r="F1207">
            <v>0.4</v>
          </cell>
          <cell r="G1207">
            <v>39520</v>
          </cell>
        </row>
        <row r="1208">
          <cell r="A1208" t="str">
            <v>51-4191</v>
          </cell>
          <cell r="B1208" t="str">
            <v>Heat Treating Equipment Setters, Operators, and Tenders, Metal and Plastic</v>
          </cell>
          <cell r="C1208">
            <v>15600</v>
          </cell>
          <cell r="D1208">
            <v>2.9</v>
          </cell>
          <cell r="E1208">
            <v>43700</v>
          </cell>
          <cell r="F1208">
            <v>0.7</v>
          </cell>
          <cell r="G1208">
            <v>40900</v>
          </cell>
        </row>
        <row r="1209">
          <cell r="A1209" t="str">
            <v>51-4192</v>
          </cell>
          <cell r="B1209" t="str">
            <v>Layout Workers, Metal and Plastic</v>
          </cell>
          <cell r="C1209">
            <v>6890</v>
          </cell>
          <cell r="D1209">
            <v>4.5</v>
          </cell>
          <cell r="E1209">
            <v>56170</v>
          </cell>
          <cell r="F1209">
            <v>0.6</v>
          </cell>
          <cell r="G1209">
            <v>58260</v>
          </cell>
        </row>
        <row r="1210">
          <cell r="A1210" t="str">
            <v>51-4193</v>
          </cell>
          <cell r="B1210" t="str">
            <v>Plating Machine Setters, Operators, and Tenders, Metal and Plastic</v>
          </cell>
          <cell r="C1210">
            <v>32050</v>
          </cell>
          <cell r="D1210">
            <v>2</v>
          </cell>
          <cell r="E1210">
            <v>40290</v>
          </cell>
          <cell r="F1210">
            <v>0.6</v>
          </cell>
          <cell r="G1210">
            <v>37900</v>
          </cell>
        </row>
        <row r="1211">
          <cell r="A1211" t="str">
            <v>51-4194</v>
          </cell>
          <cell r="B1211" t="str">
            <v>Tool Grinders, Filers, and Sharpeners</v>
          </cell>
          <cell r="C1211">
            <v>5320</v>
          </cell>
          <cell r="D1211">
            <v>5.2</v>
          </cell>
          <cell r="E1211">
            <v>46040</v>
          </cell>
          <cell r="F1211">
            <v>1.4</v>
          </cell>
          <cell r="G1211">
            <v>41940</v>
          </cell>
        </row>
        <row r="1212">
          <cell r="A1212" t="str">
            <v>51-4199</v>
          </cell>
          <cell r="B1212" t="str">
            <v>Metal Workers and Plastic Workers, All Other</v>
          </cell>
          <cell r="C1212">
            <v>21030</v>
          </cell>
          <cell r="D1212">
            <v>3.6</v>
          </cell>
          <cell r="E1212">
            <v>41960</v>
          </cell>
          <cell r="F1212">
            <v>0.7</v>
          </cell>
          <cell r="G1212">
            <v>38340</v>
          </cell>
        </row>
        <row r="1213">
          <cell r="A1213" t="str">
            <v>51-5100</v>
          </cell>
          <cell r="B1213" t="str">
            <v>Printing Workers</v>
          </cell>
          <cell r="C1213">
            <v>214280</v>
          </cell>
          <cell r="D1213">
            <v>1</v>
          </cell>
          <cell r="E1213">
            <v>42280</v>
          </cell>
          <cell r="F1213">
            <v>0.3</v>
          </cell>
          <cell r="G1213">
            <v>38890</v>
          </cell>
        </row>
        <row r="1214">
          <cell r="A1214" t="str">
            <v>51-5110</v>
          </cell>
          <cell r="B1214" t="str">
            <v>Printing Workers</v>
          </cell>
          <cell r="C1214">
            <v>214280</v>
          </cell>
          <cell r="D1214">
            <v>1</v>
          </cell>
          <cell r="E1214">
            <v>42280</v>
          </cell>
          <cell r="F1214">
            <v>0.3</v>
          </cell>
          <cell r="G1214">
            <v>38890</v>
          </cell>
        </row>
        <row r="1215">
          <cell r="A1215" t="str">
            <v>51-5111</v>
          </cell>
          <cell r="B1215" t="str">
            <v>Prepress Technicians and Workers</v>
          </cell>
          <cell r="C1215">
            <v>25250</v>
          </cell>
          <cell r="D1215">
            <v>2.9</v>
          </cell>
          <cell r="E1215">
            <v>44880</v>
          </cell>
          <cell r="F1215">
            <v>0.6</v>
          </cell>
          <cell r="G1215">
            <v>43560</v>
          </cell>
        </row>
        <row r="1216">
          <cell r="A1216" t="str">
            <v>51-5112</v>
          </cell>
          <cell r="B1216" t="str">
            <v>Printing Press Operators</v>
          </cell>
          <cell r="C1216">
            <v>150010</v>
          </cell>
          <cell r="D1216">
            <v>1.6</v>
          </cell>
          <cell r="E1216">
            <v>42730</v>
          </cell>
          <cell r="F1216">
            <v>0.3</v>
          </cell>
          <cell r="G1216">
            <v>39350</v>
          </cell>
        </row>
        <row r="1217">
          <cell r="A1217" t="str">
            <v>51-5113</v>
          </cell>
          <cell r="B1217" t="str">
            <v>Print Binding and Finishing Workers</v>
          </cell>
          <cell r="C1217">
            <v>39030</v>
          </cell>
          <cell r="D1217">
            <v>2.2999999999999998</v>
          </cell>
          <cell r="E1217">
            <v>38850</v>
          </cell>
          <cell r="F1217">
            <v>0.7</v>
          </cell>
          <cell r="G1217">
            <v>36970</v>
          </cell>
        </row>
        <row r="1218">
          <cell r="A1218" t="str">
            <v>51-6000</v>
          </cell>
          <cell r="B1218" t="str">
            <v>Textile, Apparel, and Furnishings Workers</v>
          </cell>
          <cell r="C1218">
            <v>468590</v>
          </cell>
          <cell r="D1218">
            <v>0.8</v>
          </cell>
          <cell r="E1218">
            <v>33170</v>
          </cell>
          <cell r="F1218">
            <v>0.2</v>
          </cell>
          <cell r="G1218">
            <v>31200</v>
          </cell>
        </row>
        <row r="1219">
          <cell r="A1219" t="str">
            <v>51-6010</v>
          </cell>
          <cell r="B1219" t="str">
            <v>Laundry and Dry-Cleaning Workers</v>
          </cell>
          <cell r="C1219">
            <v>175730</v>
          </cell>
          <cell r="D1219">
            <v>0.9</v>
          </cell>
          <cell r="E1219">
            <v>29660</v>
          </cell>
          <cell r="F1219">
            <v>0.3</v>
          </cell>
          <cell r="G1219">
            <v>29060</v>
          </cell>
        </row>
        <row r="1220">
          <cell r="A1220" t="str">
            <v>51-6011</v>
          </cell>
          <cell r="B1220" t="str">
            <v>Laundry and Dry-Cleaning Workers</v>
          </cell>
          <cell r="C1220">
            <v>175730</v>
          </cell>
          <cell r="D1220">
            <v>0.9</v>
          </cell>
          <cell r="E1220">
            <v>29660</v>
          </cell>
          <cell r="F1220">
            <v>0.3</v>
          </cell>
          <cell r="G1220">
            <v>29060</v>
          </cell>
        </row>
        <row r="1221">
          <cell r="A1221" t="str">
            <v>51-6020</v>
          </cell>
          <cell r="B1221" t="str">
            <v>Pressers, Textile, Garment, and Related Materials</v>
          </cell>
          <cell r="C1221">
            <v>28570</v>
          </cell>
          <cell r="D1221">
            <v>2.9</v>
          </cell>
          <cell r="E1221">
            <v>30650</v>
          </cell>
          <cell r="F1221">
            <v>0.7</v>
          </cell>
          <cell r="G1221">
            <v>29690</v>
          </cell>
        </row>
        <row r="1222">
          <cell r="A1222" t="str">
            <v>51-6021</v>
          </cell>
          <cell r="B1222" t="str">
            <v>Pressers, Textile, Garment, and Related Materials</v>
          </cell>
          <cell r="C1222">
            <v>28570</v>
          </cell>
          <cell r="D1222">
            <v>2.9</v>
          </cell>
          <cell r="E1222">
            <v>30650</v>
          </cell>
          <cell r="F1222">
            <v>0.7</v>
          </cell>
          <cell r="G1222">
            <v>29690</v>
          </cell>
        </row>
        <row r="1223">
          <cell r="A1223" t="str">
            <v>51-6030</v>
          </cell>
          <cell r="B1223" t="str">
            <v>Sewing Machine Operators</v>
          </cell>
          <cell r="C1223">
            <v>116750</v>
          </cell>
          <cell r="D1223">
            <v>1.5</v>
          </cell>
          <cell r="E1223">
            <v>33130</v>
          </cell>
          <cell r="F1223">
            <v>0.4</v>
          </cell>
          <cell r="G1223">
            <v>31740</v>
          </cell>
        </row>
        <row r="1224">
          <cell r="A1224" t="str">
            <v>51-6031</v>
          </cell>
          <cell r="B1224" t="str">
            <v>Sewing Machine Operators</v>
          </cell>
          <cell r="C1224">
            <v>116750</v>
          </cell>
          <cell r="D1224">
            <v>1.5</v>
          </cell>
          <cell r="E1224">
            <v>33130</v>
          </cell>
          <cell r="F1224">
            <v>0.4</v>
          </cell>
          <cell r="G1224">
            <v>31740</v>
          </cell>
        </row>
        <row r="1225">
          <cell r="A1225" t="str">
            <v>51-6040</v>
          </cell>
          <cell r="B1225" t="str">
            <v>Shoe and Leather Workers</v>
          </cell>
          <cell r="C1225">
            <v>11820</v>
          </cell>
          <cell r="D1225">
            <v>7.2</v>
          </cell>
          <cell r="E1225">
            <v>34490</v>
          </cell>
          <cell r="F1225">
            <v>2.2000000000000002</v>
          </cell>
          <cell r="G1225">
            <v>32790</v>
          </cell>
        </row>
        <row r="1226">
          <cell r="A1226" t="str">
            <v>51-6041</v>
          </cell>
          <cell r="B1226" t="str">
            <v>Shoe and Leather Workers and Repairers</v>
          </cell>
          <cell r="C1226">
            <v>8860</v>
          </cell>
          <cell r="D1226">
            <v>18.399999999999999</v>
          </cell>
          <cell r="E1226">
            <v>34600</v>
          </cell>
          <cell r="F1226">
            <v>4.5</v>
          </cell>
          <cell r="G1226">
            <v>32460</v>
          </cell>
        </row>
        <row r="1227">
          <cell r="A1227" t="str">
            <v>51-6042</v>
          </cell>
          <cell r="B1227" t="str">
            <v>Shoe Machine Operators and Tenders</v>
          </cell>
          <cell r="C1227">
            <v>2960</v>
          </cell>
          <cell r="D1227">
            <v>27.9</v>
          </cell>
          <cell r="E1227">
            <v>34160</v>
          </cell>
          <cell r="F1227">
            <v>2.6</v>
          </cell>
          <cell r="G1227">
            <v>33060</v>
          </cell>
        </row>
        <row r="1228">
          <cell r="A1228" t="str">
            <v>51-6050</v>
          </cell>
          <cell r="B1228" t="str">
            <v>Tailors, Dressmakers, and Sewers</v>
          </cell>
          <cell r="C1228">
            <v>20320</v>
          </cell>
          <cell r="D1228">
            <v>6.7</v>
          </cell>
          <cell r="E1228">
            <v>36590</v>
          </cell>
          <cell r="F1228">
            <v>0.9</v>
          </cell>
          <cell r="G1228">
            <v>33850</v>
          </cell>
        </row>
        <row r="1229">
          <cell r="A1229" t="str">
            <v>51-6051</v>
          </cell>
          <cell r="B1229" t="str">
            <v>Sewers, Hand</v>
          </cell>
          <cell r="C1229">
            <v>3440</v>
          </cell>
          <cell r="D1229">
            <v>10.4</v>
          </cell>
          <cell r="E1229">
            <v>33440</v>
          </cell>
          <cell r="F1229">
            <v>1.3</v>
          </cell>
          <cell r="G1229">
            <v>31530</v>
          </cell>
        </row>
        <row r="1230">
          <cell r="A1230" t="str">
            <v>51-6052</v>
          </cell>
          <cell r="B1230" t="str">
            <v>Tailors, Dressmakers, and Custom Sewers</v>
          </cell>
          <cell r="C1230">
            <v>16870</v>
          </cell>
          <cell r="D1230">
            <v>6.9</v>
          </cell>
          <cell r="E1230">
            <v>37230</v>
          </cell>
          <cell r="F1230">
            <v>1</v>
          </cell>
          <cell r="G1230">
            <v>34280</v>
          </cell>
        </row>
        <row r="1231">
          <cell r="A1231" t="str">
            <v>51-6060</v>
          </cell>
          <cell r="B1231" t="str">
            <v>Textile Machine Setters, Operators, and Tenders</v>
          </cell>
          <cell r="C1231">
            <v>58070</v>
          </cell>
          <cell r="D1231">
            <v>1.1000000000000001</v>
          </cell>
          <cell r="E1231">
            <v>34910</v>
          </cell>
          <cell r="F1231">
            <v>0.4</v>
          </cell>
          <cell r="G1231">
            <v>34170</v>
          </cell>
        </row>
        <row r="1232">
          <cell r="A1232" t="str">
            <v>51-6061</v>
          </cell>
          <cell r="B1232" t="str">
            <v>Textile Bleaching and Dyeing Machine Operators and Tenders</v>
          </cell>
          <cell r="C1232">
            <v>6640</v>
          </cell>
          <cell r="D1232">
            <v>4.9000000000000004</v>
          </cell>
          <cell r="E1232">
            <v>33900</v>
          </cell>
          <cell r="F1232">
            <v>0.9</v>
          </cell>
          <cell r="G1232">
            <v>32680</v>
          </cell>
        </row>
        <row r="1233">
          <cell r="A1233" t="str">
            <v>51-6062</v>
          </cell>
          <cell r="B1233" t="str">
            <v>Textile Cutting Machine Setters, Operators, and Tenders</v>
          </cell>
          <cell r="C1233">
            <v>10700</v>
          </cell>
          <cell r="D1233">
            <v>3.8</v>
          </cell>
          <cell r="E1233">
            <v>34970</v>
          </cell>
          <cell r="F1233">
            <v>0.8</v>
          </cell>
          <cell r="G1233">
            <v>34420</v>
          </cell>
        </row>
        <row r="1234">
          <cell r="A1234" t="str">
            <v>51-6063</v>
          </cell>
          <cell r="B1234" t="str">
            <v>Textile Knitting and Weaving Machine Setters, Operators, and Tenders</v>
          </cell>
          <cell r="C1234">
            <v>16900</v>
          </cell>
          <cell r="D1234">
            <v>3</v>
          </cell>
          <cell r="E1234">
            <v>35710</v>
          </cell>
          <cell r="F1234">
            <v>0.7</v>
          </cell>
          <cell r="G1234">
            <v>35750</v>
          </cell>
        </row>
        <row r="1235">
          <cell r="A1235" t="str">
            <v>51-6064</v>
          </cell>
          <cell r="B1235" t="str">
            <v>Textile Winding, Twisting, and Drawing Out Machine Setters, Operators, and Tenders</v>
          </cell>
          <cell r="C1235">
            <v>23830</v>
          </cell>
          <cell r="D1235">
            <v>1.8</v>
          </cell>
          <cell r="E1235">
            <v>34610</v>
          </cell>
          <cell r="F1235">
            <v>0.6</v>
          </cell>
          <cell r="G1235">
            <v>33720</v>
          </cell>
        </row>
        <row r="1236">
          <cell r="A1236" t="str">
            <v>51-6090</v>
          </cell>
          <cell r="B1236" t="str">
            <v>Miscellaneous Textile, Apparel, and Furnishings Workers</v>
          </cell>
          <cell r="C1236">
            <v>57330</v>
          </cell>
          <cell r="D1236">
            <v>1.7</v>
          </cell>
          <cell r="E1236">
            <v>42030</v>
          </cell>
          <cell r="F1236">
            <v>0.6</v>
          </cell>
          <cell r="G1236">
            <v>38460</v>
          </cell>
        </row>
        <row r="1237">
          <cell r="A1237" t="str">
            <v>51-6091</v>
          </cell>
          <cell r="B1237" t="str">
            <v>Extruding and Forming Machine Setters, Operators, and Tenders, Synthetic and Glass Fibers</v>
          </cell>
          <cell r="C1237">
            <v>14460</v>
          </cell>
          <cell r="D1237">
            <v>4.5999999999999996</v>
          </cell>
          <cell r="E1237">
            <v>42770</v>
          </cell>
          <cell r="F1237">
            <v>0.9</v>
          </cell>
          <cell r="G1237">
            <v>39860</v>
          </cell>
        </row>
        <row r="1238">
          <cell r="A1238" t="str">
            <v>51-6092</v>
          </cell>
          <cell r="B1238" t="str">
            <v>Fabric and Apparel Patternmakers</v>
          </cell>
          <cell r="C1238">
            <v>3070</v>
          </cell>
          <cell r="D1238">
            <v>8.9</v>
          </cell>
          <cell r="E1238">
            <v>66820</v>
          </cell>
          <cell r="F1238">
            <v>3.6</v>
          </cell>
          <cell r="G1238">
            <v>60320</v>
          </cell>
        </row>
        <row r="1239">
          <cell r="A1239" t="str">
            <v>51-6093</v>
          </cell>
          <cell r="B1239" t="str">
            <v>Upholsterers</v>
          </cell>
          <cell r="C1239">
            <v>26990</v>
          </cell>
          <cell r="D1239">
            <v>2.1</v>
          </cell>
          <cell r="E1239">
            <v>41900</v>
          </cell>
          <cell r="F1239">
            <v>0.7</v>
          </cell>
          <cell r="G1239">
            <v>39600</v>
          </cell>
        </row>
        <row r="1240">
          <cell r="A1240" t="str">
            <v>51-6099</v>
          </cell>
          <cell r="B1240" t="str">
            <v>Textile, Apparel, and Furnishings Workers, All Other</v>
          </cell>
          <cell r="C1240">
            <v>12810</v>
          </cell>
          <cell r="D1240">
            <v>4.0999999999999996</v>
          </cell>
          <cell r="E1240">
            <v>35520</v>
          </cell>
          <cell r="F1240">
            <v>1.6</v>
          </cell>
          <cell r="G1240">
            <v>32640</v>
          </cell>
        </row>
        <row r="1241">
          <cell r="A1241" t="str">
            <v>51-7000</v>
          </cell>
          <cell r="B1241" t="str">
            <v>Woodworkers</v>
          </cell>
          <cell r="C1241">
            <v>231230</v>
          </cell>
          <cell r="D1241">
            <v>1.1000000000000001</v>
          </cell>
          <cell r="E1241">
            <v>39750</v>
          </cell>
          <cell r="F1241">
            <v>0.3</v>
          </cell>
          <cell r="G1241">
            <v>37520</v>
          </cell>
        </row>
        <row r="1242">
          <cell r="A1242" t="str">
            <v>51-7010</v>
          </cell>
          <cell r="B1242" t="str">
            <v>Cabinetmakers and Bench Carpenters</v>
          </cell>
          <cell r="C1242">
            <v>95980</v>
          </cell>
          <cell r="D1242">
            <v>2.1</v>
          </cell>
          <cell r="E1242">
            <v>42120</v>
          </cell>
          <cell r="F1242">
            <v>0.5</v>
          </cell>
          <cell r="G1242">
            <v>38810</v>
          </cell>
        </row>
        <row r="1243">
          <cell r="A1243" t="str">
            <v>51-7011</v>
          </cell>
          <cell r="B1243" t="str">
            <v>Cabinetmakers and Bench Carpenters</v>
          </cell>
          <cell r="C1243">
            <v>95980</v>
          </cell>
          <cell r="D1243">
            <v>2.1</v>
          </cell>
          <cell r="E1243">
            <v>42120</v>
          </cell>
          <cell r="F1243">
            <v>0.5</v>
          </cell>
          <cell r="G1243">
            <v>38810</v>
          </cell>
        </row>
        <row r="1244">
          <cell r="A1244" t="str">
            <v>51-7020</v>
          </cell>
          <cell r="B1244" t="str">
            <v>Furniture Finishers</v>
          </cell>
          <cell r="C1244">
            <v>14990</v>
          </cell>
          <cell r="D1244">
            <v>2.2999999999999998</v>
          </cell>
          <cell r="E1244">
            <v>39880</v>
          </cell>
          <cell r="F1244">
            <v>0.7</v>
          </cell>
          <cell r="G1244">
            <v>37960</v>
          </cell>
        </row>
        <row r="1245">
          <cell r="A1245" t="str">
            <v>51-7021</v>
          </cell>
          <cell r="B1245" t="str">
            <v>Furniture Finishers</v>
          </cell>
          <cell r="C1245">
            <v>14990</v>
          </cell>
          <cell r="D1245">
            <v>2.2999999999999998</v>
          </cell>
          <cell r="E1245">
            <v>39880</v>
          </cell>
          <cell r="F1245">
            <v>0.7</v>
          </cell>
          <cell r="G1245">
            <v>37960</v>
          </cell>
        </row>
        <row r="1246">
          <cell r="A1246" t="str">
            <v>51-7030</v>
          </cell>
          <cell r="B1246" t="str">
            <v>Model Makers and Patternmakers, Wood</v>
          </cell>
          <cell r="C1246">
            <v>1050</v>
          </cell>
          <cell r="D1246">
            <v>13.3</v>
          </cell>
          <cell r="E1246">
            <v>50580</v>
          </cell>
          <cell r="F1246">
            <v>2.4</v>
          </cell>
          <cell r="G1246">
            <v>46100</v>
          </cell>
        </row>
        <row r="1247">
          <cell r="A1247" t="str">
            <v>51-7031</v>
          </cell>
          <cell r="B1247" t="str">
            <v>Model Makers, Wood</v>
          </cell>
          <cell r="C1247">
            <v>720</v>
          </cell>
          <cell r="D1247">
            <v>17.100000000000001</v>
          </cell>
          <cell r="E1247">
            <v>52820</v>
          </cell>
          <cell r="F1247">
            <v>3.8</v>
          </cell>
          <cell r="G1247">
            <v>46940</v>
          </cell>
        </row>
        <row r="1248">
          <cell r="A1248" t="str">
            <v>51-7032</v>
          </cell>
          <cell r="B1248" t="str">
            <v>Patternmakers, Wood</v>
          </cell>
          <cell r="C1248">
            <v>330</v>
          </cell>
          <cell r="D1248">
            <v>20.3</v>
          </cell>
          <cell r="E1248">
            <v>45720</v>
          </cell>
          <cell r="F1248">
            <v>3.1</v>
          </cell>
          <cell r="G1248">
            <v>44290</v>
          </cell>
        </row>
        <row r="1249">
          <cell r="A1249" t="str">
            <v>51-7040</v>
          </cell>
          <cell r="B1249" t="str">
            <v>Woodworking Machine Setters, Operators, and Tenders</v>
          </cell>
          <cell r="C1249">
            <v>110080</v>
          </cell>
          <cell r="D1249">
            <v>1.2</v>
          </cell>
          <cell r="E1249">
            <v>37800</v>
          </cell>
          <cell r="F1249">
            <v>0.3</v>
          </cell>
          <cell r="G1249">
            <v>36580</v>
          </cell>
        </row>
        <row r="1250">
          <cell r="A1250" t="str">
            <v>51-7041</v>
          </cell>
          <cell r="B1250" t="str">
            <v>Sawing Machine Setters, Operators, and Tenders, Wood</v>
          </cell>
          <cell r="C1250">
            <v>46400</v>
          </cell>
          <cell r="D1250">
            <v>1.7</v>
          </cell>
          <cell r="E1250">
            <v>37450</v>
          </cell>
          <cell r="F1250">
            <v>0.4</v>
          </cell>
          <cell r="G1250">
            <v>36270</v>
          </cell>
        </row>
        <row r="1251">
          <cell r="A1251" t="str">
            <v>51-7042</v>
          </cell>
          <cell r="B1251" t="str">
            <v>Woodworking Machine Setters, Operators, and Tenders, Except Sawing</v>
          </cell>
          <cell r="C1251">
            <v>63680</v>
          </cell>
          <cell r="D1251">
            <v>1.5</v>
          </cell>
          <cell r="E1251">
            <v>38060</v>
          </cell>
          <cell r="F1251">
            <v>0.4</v>
          </cell>
          <cell r="G1251">
            <v>36830</v>
          </cell>
        </row>
        <row r="1252">
          <cell r="A1252" t="str">
            <v>51-7090</v>
          </cell>
          <cell r="B1252" t="str">
            <v>Miscellaneous Woodworkers</v>
          </cell>
          <cell r="C1252">
            <v>9120</v>
          </cell>
          <cell r="D1252">
            <v>5.4</v>
          </cell>
          <cell r="E1252">
            <v>36870</v>
          </cell>
          <cell r="F1252">
            <v>1.2</v>
          </cell>
          <cell r="G1252">
            <v>35370</v>
          </cell>
        </row>
        <row r="1253">
          <cell r="A1253" t="str">
            <v>51-7099</v>
          </cell>
          <cell r="B1253" t="str">
            <v>Woodworkers, All Other</v>
          </cell>
          <cell r="C1253">
            <v>9120</v>
          </cell>
          <cell r="D1253">
            <v>5.4</v>
          </cell>
          <cell r="E1253">
            <v>36870</v>
          </cell>
          <cell r="F1253">
            <v>1.2</v>
          </cell>
          <cell r="G1253">
            <v>35370</v>
          </cell>
        </row>
        <row r="1254">
          <cell r="A1254" t="str">
            <v>51-8000</v>
          </cell>
          <cell r="B1254" t="str">
            <v>Plant and System Operators</v>
          </cell>
          <cell r="C1254">
            <v>276970</v>
          </cell>
          <cell r="D1254">
            <v>0.7</v>
          </cell>
          <cell r="E1254">
            <v>70400</v>
          </cell>
          <cell r="F1254">
            <v>0.4</v>
          </cell>
          <cell r="G1254">
            <v>64990</v>
          </cell>
        </row>
        <row r="1255">
          <cell r="A1255" t="str">
            <v>51-8010</v>
          </cell>
          <cell r="B1255" t="str">
            <v>Power Plant Operators, Distributors, and Dispatchers</v>
          </cell>
          <cell r="C1255">
            <v>46420</v>
          </cell>
          <cell r="D1255">
            <v>1.5</v>
          </cell>
          <cell r="E1255">
            <v>94820</v>
          </cell>
          <cell r="F1255">
            <v>0.4</v>
          </cell>
          <cell r="G1255">
            <v>97570</v>
          </cell>
        </row>
        <row r="1256">
          <cell r="A1256" t="str">
            <v>51-8011</v>
          </cell>
          <cell r="B1256" t="str">
            <v>Nuclear Power Reactor Operators</v>
          </cell>
          <cell r="C1256">
            <v>5450</v>
          </cell>
          <cell r="D1256">
            <v>1.2</v>
          </cell>
          <cell r="E1256">
            <v>117510</v>
          </cell>
          <cell r="F1256">
            <v>0.3</v>
          </cell>
          <cell r="G1256">
            <v>115870</v>
          </cell>
        </row>
        <row r="1257">
          <cell r="A1257" t="str">
            <v>51-8012</v>
          </cell>
          <cell r="B1257" t="str">
            <v>Power Distributors and Dispatchers</v>
          </cell>
          <cell r="C1257">
            <v>9380</v>
          </cell>
          <cell r="D1257">
            <v>2.9</v>
          </cell>
          <cell r="E1257">
            <v>101360</v>
          </cell>
          <cell r="F1257">
            <v>0.8</v>
          </cell>
          <cell r="G1257">
            <v>101650</v>
          </cell>
        </row>
        <row r="1258">
          <cell r="A1258" t="str">
            <v>51-8013</v>
          </cell>
          <cell r="B1258" t="str">
            <v>Power Plant Operators</v>
          </cell>
          <cell r="C1258">
            <v>31590</v>
          </cell>
          <cell r="D1258">
            <v>2.1</v>
          </cell>
          <cell r="E1258">
            <v>88960</v>
          </cell>
          <cell r="F1258">
            <v>0.5</v>
          </cell>
          <cell r="G1258">
            <v>93060</v>
          </cell>
        </row>
        <row r="1259">
          <cell r="A1259" t="str">
            <v>51-8020</v>
          </cell>
          <cell r="B1259" t="str">
            <v>Stationary Engineers and Boiler Operators</v>
          </cell>
          <cell r="C1259">
            <v>31470</v>
          </cell>
          <cell r="D1259">
            <v>1.7</v>
          </cell>
          <cell r="E1259">
            <v>72570</v>
          </cell>
          <cell r="F1259">
            <v>0.7</v>
          </cell>
          <cell r="G1259">
            <v>67120</v>
          </cell>
        </row>
        <row r="1260">
          <cell r="A1260" t="str">
            <v>51-8021</v>
          </cell>
          <cell r="B1260" t="str">
            <v>Stationary Engineers and Boiler Operators</v>
          </cell>
          <cell r="C1260">
            <v>31470</v>
          </cell>
          <cell r="D1260">
            <v>1.7</v>
          </cell>
          <cell r="E1260">
            <v>72570</v>
          </cell>
          <cell r="F1260">
            <v>0.7</v>
          </cell>
          <cell r="G1260">
            <v>67120</v>
          </cell>
        </row>
        <row r="1261">
          <cell r="A1261" t="str">
            <v>51-8030</v>
          </cell>
          <cell r="B1261" t="str">
            <v>Water and Wastewater Treatment Plant and System Operators</v>
          </cell>
          <cell r="C1261">
            <v>119350</v>
          </cell>
          <cell r="D1261">
            <v>1.2</v>
          </cell>
          <cell r="E1261">
            <v>55690</v>
          </cell>
          <cell r="F1261">
            <v>0.3</v>
          </cell>
          <cell r="G1261">
            <v>51600</v>
          </cell>
        </row>
        <row r="1262">
          <cell r="A1262" t="str">
            <v>51-8031</v>
          </cell>
          <cell r="B1262" t="str">
            <v>Water and Wastewater Treatment Plant and System Operators</v>
          </cell>
          <cell r="C1262">
            <v>119350</v>
          </cell>
          <cell r="D1262">
            <v>1.2</v>
          </cell>
          <cell r="E1262">
            <v>55690</v>
          </cell>
          <cell r="F1262">
            <v>0.3</v>
          </cell>
          <cell r="G1262">
            <v>51600</v>
          </cell>
        </row>
        <row r="1263">
          <cell r="A1263" t="str">
            <v>51-8090</v>
          </cell>
          <cell r="B1263" t="str">
            <v>Miscellaneous Plant and System Operators</v>
          </cell>
          <cell r="C1263">
            <v>79730</v>
          </cell>
          <cell r="D1263">
            <v>2</v>
          </cell>
          <cell r="E1263">
            <v>77340</v>
          </cell>
          <cell r="F1263">
            <v>0.8</v>
          </cell>
          <cell r="G1263">
            <v>79210</v>
          </cell>
        </row>
        <row r="1264">
          <cell r="A1264" t="str">
            <v>51-8091</v>
          </cell>
          <cell r="B1264" t="str">
            <v>Chemical Plant and System Operators</v>
          </cell>
          <cell r="C1264">
            <v>18710</v>
          </cell>
          <cell r="D1264">
            <v>4.9000000000000004</v>
          </cell>
          <cell r="E1264">
            <v>79290</v>
          </cell>
          <cell r="F1264">
            <v>1.4</v>
          </cell>
          <cell r="G1264">
            <v>82670</v>
          </cell>
        </row>
        <row r="1265">
          <cell r="A1265" t="str">
            <v>51-8092</v>
          </cell>
          <cell r="B1265" t="str">
            <v>Gas Plant Operators</v>
          </cell>
          <cell r="C1265">
            <v>14290</v>
          </cell>
          <cell r="D1265">
            <v>5.5</v>
          </cell>
          <cell r="E1265">
            <v>78430</v>
          </cell>
          <cell r="F1265">
            <v>1.6</v>
          </cell>
          <cell r="G1265">
            <v>79460</v>
          </cell>
        </row>
        <row r="1266">
          <cell r="A1266" t="str">
            <v>51-8093</v>
          </cell>
          <cell r="B1266" t="str">
            <v>Petroleum Pump System Operators, Refinery Operators, and Gaugers</v>
          </cell>
          <cell r="C1266">
            <v>31360</v>
          </cell>
          <cell r="D1266">
            <v>2.2000000000000002</v>
          </cell>
          <cell r="E1266">
            <v>84140</v>
          </cell>
          <cell r="F1266">
            <v>0.9</v>
          </cell>
          <cell r="G1266">
            <v>85090</v>
          </cell>
        </row>
        <row r="1267">
          <cell r="A1267" t="str">
            <v>51-8099</v>
          </cell>
          <cell r="B1267" t="str">
            <v>Plant and System Operators, All Other</v>
          </cell>
          <cell r="C1267">
            <v>15370</v>
          </cell>
          <cell r="D1267">
            <v>3.1</v>
          </cell>
          <cell r="E1267">
            <v>60070</v>
          </cell>
          <cell r="F1267">
            <v>1.1000000000000001</v>
          </cell>
          <cell r="G1267">
            <v>57470</v>
          </cell>
        </row>
        <row r="1268">
          <cell r="A1268" t="str">
            <v>51-9000</v>
          </cell>
          <cell r="B1268" t="str">
            <v>Other Production Occupations</v>
          </cell>
          <cell r="C1268">
            <v>2531940</v>
          </cell>
          <cell r="D1268">
            <v>0.3</v>
          </cell>
          <cell r="E1268">
            <v>44260</v>
          </cell>
          <cell r="F1268">
            <v>0.2</v>
          </cell>
          <cell r="G1268">
            <v>39960</v>
          </cell>
        </row>
        <row r="1269">
          <cell r="A1269" t="str">
            <v>51-9010</v>
          </cell>
          <cell r="B1269" t="str">
            <v>Chemical Processing Machine Setters, Operators, and Tenders</v>
          </cell>
          <cell r="C1269">
            <v>167840</v>
          </cell>
          <cell r="D1269">
            <v>1.8</v>
          </cell>
          <cell r="E1269">
            <v>52580</v>
          </cell>
          <cell r="F1269">
            <v>0.5</v>
          </cell>
          <cell r="G1269">
            <v>48260</v>
          </cell>
        </row>
        <row r="1270">
          <cell r="A1270" t="str">
            <v>51-9011</v>
          </cell>
          <cell r="B1270" t="str">
            <v>Chemical Equipment Operators and Tenders</v>
          </cell>
          <cell r="C1270">
            <v>115370</v>
          </cell>
          <cell r="D1270">
            <v>1.7</v>
          </cell>
          <cell r="E1270">
            <v>54210</v>
          </cell>
          <cell r="F1270">
            <v>0.7</v>
          </cell>
          <cell r="G1270">
            <v>49330</v>
          </cell>
        </row>
        <row r="1271">
          <cell r="A1271" t="str">
            <v>51-9012</v>
          </cell>
          <cell r="B1271" t="str">
            <v>Separating, Filtering, Clarifying, Precipitating, and Still Machine Setters, Operators, and Tenders</v>
          </cell>
          <cell r="C1271">
            <v>52470</v>
          </cell>
          <cell r="D1271">
            <v>2.8</v>
          </cell>
          <cell r="E1271">
            <v>48980</v>
          </cell>
          <cell r="F1271">
            <v>0.7</v>
          </cell>
          <cell r="G1271">
            <v>46250</v>
          </cell>
        </row>
        <row r="1272">
          <cell r="A1272" t="str">
            <v>51-9020</v>
          </cell>
          <cell r="B1272" t="str">
            <v>Crushing, Grinding, Polishing, Mixing, and Blending Workers</v>
          </cell>
          <cell r="C1272">
            <v>150410</v>
          </cell>
          <cell r="D1272">
            <v>1.1000000000000001</v>
          </cell>
          <cell r="E1272">
            <v>44630</v>
          </cell>
          <cell r="F1272">
            <v>0.4</v>
          </cell>
          <cell r="G1272">
            <v>42120</v>
          </cell>
        </row>
        <row r="1273">
          <cell r="A1273" t="str">
            <v>51-9021</v>
          </cell>
          <cell r="B1273" t="str">
            <v>Crushing, Grinding, and Polishing Machine Setters, Operators, and Tenders</v>
          </cell>
          <cell r="C1273">
            <v>27320</v>
          </cell>
          <cell r="D1273">
            <v>2.1</v>
          </cell>
          <cell r="E1273">
            <v>45310</v>
          </cell>
          <cell r="F1273">
            <v>0.7</v>
          </cell>
          <cell r="G1273">
            <v>43290</v>
          </cell>
        </row>
        <row r="1274">
          <cell r="A1274" t="str">
            <v>51-9022</v>
          </cell>
          <cell r="B1274" t="str">
            <v>Grinding and Polishing Workers, Hand</v>
          </cell>
          <cell r="C1274">
            <v>14190</v>
          </cell>
          <cell r="D1274">
            <v>3.8</v>
          </cell>
          <cell r="E1274">
            <v>38770</v>
          </cell>
          <cell r="F1274">
            <v>0.8</v>
          </cell>
          <cell r="G1274">
            <v>36960</v>
          </cell>
        </row>
        <row r="1275">
          <cell r="A1275" t="str">
            <v>51-9023</v>
          </cell>
          <cell r="B1275" t="str">
            <v>Mixing and Blending Machine Setters, Operators, and Tenders</v>
          </cell>
          <cell r="C1275">
            <v>108900</v>
          </cell>
          <cell r="D1275">
            <v>1.4</v>
          </cell>
          <cell r="E1275">
            <v>45220</v>
          </cell>
          <cell r="F1275">
            <v>0.5</v>
          </cell>
          <cell r="G1275">
            <v>43410</v>
          </cell>
        </row>
        <row r="1276">
          <cell r="A1276" t="str">
            <v>51-9030</v>
          </cell>
          <cell r="B1276" t="str">
            <v>Cutting Workers</v>
          </cell>
          <cell r="C1276">
            <v>62350</v>
          </cell>
          <cell r="D1276">
            <v>2.1</v>
          </cell>
          <cell r="E1276">
            <v>41430</v>
          </cell>
          <cell r="F1276">
            <v>0.5</v>
          </cell>
          <cell r="G1276">
            <v>39410</v>
          </cell>
        </row>
        <row r="1277">
          <cell r="A1277" t="str">
            <v>51-9031</v>
          </cell>
          <cell r="B1277" t="str">
            <v>Cutters and Trimmers, Hand</v>
          </cell>
          <cell r="C1277">
            <v>8250</v>
          </cell>
          <cell r="D1277">
            <v>3.3</v>
          </cell>
          <cell r="E1277">
            <v>37830</v>
          </cell>
          <cell r="F1277">
            <v>1.2</v>
          </cell>
          <cell r="G1277">
            <v>36130</v>
          </cell>
        </row>
        <row r="1278">
          <cell r="A1278" t="str">
            <v>51-9032</v>
          </cell>
          <cell r="B1278" t="str">
            <v>Cutting and Slicing Machine Setters, Operators, and Tenders</v>
          </cell>
          <cell r="C1278">
            <v>54110</v>
          </cell>
          <cell r="D1278">
            <v>2.2999999999999998</v>
          </cell>
          <cell r="E1278">
            <v>41980</v>
          </cell>
          <cell r="F1278">
            <v>0.5</v>
          </cell>
          <cell r="G1278">
            <v>39880</v>
          </cell>
        </row>
        <row r="1279">
          <cell r="A1279" t="str">
            <v>51-9040</v>
          </cell>
          <cell r="B1279" t="str">
            <v>Extruding, Forming, Pressing, and Compacting Machine Setters, Operators, and Tenders</v>
          </cell>
          <cell r="C1279">
            <v>58740</v>
          </cell>
          <cell r="D1279">
            <v>2</v>
          </cell>
          <cell r="E1279">
            <v>41940</v>
          </cell>
          <cell r="F1279">
            <v>0.5</v>
          </cell>
          <cell r="G1279">
            <v>39480</v>
          </cell>
        </row>
        <row r="1280">
          <cell r="A1280" t="str">
            <v>51-9041</v>
          </cell>
          <cell r="B1280" t="str">
            <v>Extruding, Forming, Pressing, and Compacting Machine Setters, Operators, and Tenders</v>
          </cell>
          <cell r="C1280">
            <v>58740</v>
          </cell>
          <cell r="D1280">
            <v>2</v>
          </cell>
          <cell r="E1280">
            <v>41940</v>
          </cell>
          <cell r="F1280">
            <v>0.5</v>
          </cell>
          <cell r="G1280">
            <v>39480</v>
          </cell>
        </row>
        <row r="1281">
          <cell r="A1281" t="str">
            <v>51-9050</v>
          </cell>
          <cell r="B1281" t="str">
            <v>Furnace, Kiln, Oven, Drier, and Kettle Operators and Tenders</v>
          </cell>
          <cell r="C1281">
            <v>15030</v>
          </cell>
          <cell r="D1281">
            <v>2.6</v>
          </cell>
          <cell r="E1281">
            <v>46180</v>
          </cell>
          <cell r="F1281">
            <v>0.7</v>
          </cell>
          <cell r="G1281">
            <v>44530</v>
          </cell>
        </row>
        <row r="1282">
          <cell r="A1282" t="str">
            <v>51-9051</v>
          </cell>
          <cell r="B1282" t="str">
            <v>Furnace, Kiln, Oven, Drier, and Kettle Operators and Tenders</v>
          </cell>
          <cell r="C1282">
            <v>15030</v>
          </cell>
          <cell r="D1282">
            <v>2.6</v>
          </cell>
          <cell r="E1282">
            <v>46180</v>
          </cell>
          <cell r="F1282">
            <v>0.7</v>
          </cell>
          <cell r="G1282">
            <v>44530</v>
          </cell>
        </row>
        <row r="1283">
          <cell r="A1283" t="str">
            <v>51-9060</v>
          </cell>
          <cell r="B1283" t="str">
            <v>Inspectors, Testers, Sorters, Samplers, and Weighers</v>
          </cell>
          <cell r="C1283">
            <v>579740</v>
          </cell>
          <cell r="D1283">
            <v>0.9</v>
          </cell>
          <cell r="E1283">
            <v>47290</v>
          </cell>
          <cell r="F1283">
            <v>0.3</v>
          </cell>
          <cell r="G1283">
            <v>43900</v>
          </cell>
        </row>
        <row r="1284">
          <cell r="A1284" t="str">
            <v>51-9061</v>
          </cell>
          <cell r="B1284" t="str">
            <v>Inspectors, Testers, Sorters, Samplers, and Weighers</v>
          </cell>
          <cell r="C1284">
            <v>579740</v>
          </cell>
          <cell r="D1284">
            <v>0.9</v>
          </cell>
          <cell r="E1284">
            <v>47290</v>
          </cell>
          <cell r="F1284">
            <v>0.3</v>
          </cell>
          <cell r="G1284">
            <v>43900</v>
          </cell>
        </row>
        <row r="1285">
          <cell r="A1285" t="str">
            <v>51-9070</v>
          </cell>
          <cell r="B1285" t="str">
            <v>Jewelers and Precious Stone and Metal Workers</v>
          </cell>
          <cell r="C1285">
            <v>26280</v>
          </cell>
          <cell r="D1285">
            <v>3.4</v>
          </cell>
          <cell r="E1285">
            <v>50530</v>
          </cell>
          <cell r="F1285">
            <v>1.2</v>
          </cell>
          <cell r="G1285">
            <v>47140</v>
          </cell>
        </row>
        <row r="1286">
          <cell r="A1286" t="str">
            <v>51-9071</v>
          </cell>
          <cell r="B1286" t="str">
            <v>Jewelers and Precious Stone and Metal Workers</v>
          </cell>
          <cell r="C1286">
            <v>26280</v>
          </cell>
          <cell r="D1286">
            <v>3.4</v>
          </cell>
          <cell r="E1286">
            <v>50530</v>
          </cell>
          <cell r="F1286">
            <v>1.2</v>
          </cell>
          <cell r="G1286">
            <v>47140</v>
          </cell>
        </row>
        <row r="1287">
          <cell r="A1287" t="str">
            <v>51-9080</v>
          </cell>
          <cell r="B1287" t="str">
            <v>Dental and Ophthalmic Laboratory Technicians and Medical Appliance Technicians</v>
          </cell>
          <cell r="C1287">
            <v>69220</v>
          </cell>
          <cell r="D1287">
            <v>2.5</v>
          </cell>
          <cell r="E1287">
            <v>46240</v>
          </cell>
          <cell r="F1287">
            <v>0.8</v>
          </cell>
          <cell r="G1287">
            <v>41180</v>
          </cell>
        </row>
        <row r="1288">
          <cell r="A1288" t="str">
            <v>51-9081</v>
          </cell>
          <cell r="B1288" t="str">
            <v>Dental Laboratory Technicians</v>
          </cell>
          <cell r="C1288">
            <v>33330</v>
          </cell>
          <cell r="D1288">
            <v>2.5</v>
          </cell>
          <cell r="E1288">
            <v>49930</v>
          </cell>
          <cell r="F1288">
            <v>0.9</v>
          </cell>
          <cell r="G1288">
            <v>46050</v>
          </cell>
        </row>
        <row r="1289">
          <cell r="A1289" t="str">
            <v>51-9082</v>
          </cell>
          <cell r="B1289" t="str">
            <v>Medical Appliance Technicians</v>
          </cell>
          <cell r="C1289">
            <v>15680</v>
          </cell>
          <cell r="D1289">
            <v>6.2</v>
          </cell>
          <cell r="E1289">
            <v>46240</v>
          </cell>
          <cell r="F1289">
            <v>1.6</v>
          </cell>
          <cell r="G1289">
            <v>42160</v>
          </cell>
        </row>
        <row r="1290">
          <cell r="A1290" t="str">
            <v>51-9083</v>
          </cell>
          <cell r="B1290" t="str">
            <v>Ophthalmic Laboratory Technicians</v>
          </cell>
          <cell r="C1290">
            <v>20200</v>
          </cell>
          <cell r="D1290">
            <v>4.9000000000000004</v>
          </cell>
          <cell r="E1290">
            <v>40140</v>
          </cell>
          <cell r="F1290">
            <v>1.3</v>
          </cell>
          <cell r="G1290">
            <v>36810</v>
          </cell>
        </row>
        <row r="1291">
          <cell r="A1291" t="str">
            <v>51-9110</v>
          </cell>
          <cell r="B1291" t="str">
            <v>Packaging and Filling Machine Operators and Tenders</v>
          </cell>
          <cell r="C1291">
            <v>369330</v>
          </cell>
          <cell r="D1291">
            <v>0.8</v>
          </cell>
          <cell r="E1291">
            <v>39060</v>
          </cell>
          <cell r="F1291">
            <v>0.4</v>
          </cell>
          <cell r="G1291">
            <v>36750</v>
          </cell>
        </row>
        <row r="1292">
          <cell r="A1292" t="str">
            <v>51-9111</v>
          </cell>
          <cell r="B1292" t="str">
            <v>Packaging and Filling Machine Operators and Tenders</v>
          </cell>
          <cell r="C1292">
            <v>369330</v>
          </cell>
          <cell r="D1292">
            <v>0.8</v>
          </cell>
          <cell r="E1292">
            <v>39060</v>
          </cell>
          <cell r="F1292">
            <v>0.4</v>
          </cell>
          <cell r="G1292">
            <v>36750</v>
          </cell>
        </row>
        <row r="1293">
          <cell r="A1293" t="str">
            <v>51-9120</v>
          </cell>
          <cell r="B1293" t="str">
            <v>Painting Workers</v>
          </cell>
          <cell r="C1293">
            <v>164100</v>
          </cell>
          <cell r="D1293">
            <v>1.1000000000000001</v>
          </cell>
          <cell r="E1293">
            <v>46100</v>
          </cell>
          <cell r="F1293">
            <v>0.6</v>
          </cell>
          <cell r="G1293">
            <v>43370</v>
          </cell>
        </row>
        <row r="1294">
          <cell r="A1294" t="str">
            <v>51-9123</v>
          </cell>
          <cell r="B1294" t="str">
            <v>Painting, Coating, and Decorating Workers</v>
          </cell>
          <cell r="C1294">
            <v>11990</v>
          </cell>
          <cell r="D1294">
            <v>4.8</v>
          </cell>
          <cell r="E1294">
            <v>41770</v>
          </cell>
          <cell r="F1294">
            <v>1.6</v>
          </cell>
          <cell r="G1294">
            <v>38270</v>
          </cell>
        </row>
        <row r="1295">
          <cell r="A1295" t="str">
            <v>51-9124</v>
          </cell>
          <cell r="B1295" t="str">
            <v>Coating, Painting, and Spraying Machine Setters, Operators, and Tenders</v>
          </cell>
          <cell r="C1295">
            <v>152120</v>
          </cell>
          <cell r="D1295">
            <v>1.3</v>
          </cell>
          <cell r="E1295">
            <v>46440</v>
          </cell>
          <cell r="F1295">
            <v>0.5</v>
          </cell>
          <cell r="G1295">
            <v>43960</v>
          </cell>
        </row>
        <row r="1296">
          <cell r="A1296" t="str">
            <v>51-9140</v>
          </cell>
          <cell r="B1296" t="str">
            <v>Semiconductor Processing Technicians</v>
          </cell>
          <cell r="C1296">
            <v>23860</v>
          </cell>
          <cell r="D1296">
            <v>3.7</v>
          </cell>
          <cell r="E1296">
            <v>48370</v>
          </cell>
          <cell r="F1296">
            <v>0.5</v>
          </cell>
          <cell r="G1296">
            <v>44690</v>
          </cell>
        </row>
        <row r="1297">
          <cell r="A1297" t="str">
            <v>51-9141</v>
          </cell>
          <cell r="B1297" t="str">
            <v>Semiconductor Processing Technicians</v>
          </cell>
          <cell r="C1297">
            <v>23860</v>
          </cell>
          <cell r="D1297">
            <v>3.7</v>
          </cell>
          <cell r="E1297">
            <v>48370</v>
          </cell>
          <cell r="F1297">
            <v>0.5</v>
          </cell>
          <cell r="G1297">
            <v>44690</v>
          </cell>
        </row>
        <row r="1298">
          <cell r="A1298" t="str">
            <v>51-9150</v>
          </cell>
          <cell r="B1298" t="str">
            <v>Photographic Process Workers and Processing Machine Operators</v>
          </cell>
          <cell r="C1298">
            <v>5380</v>
          </cell>
          <cell r="D1298">
            <v>4.0999999999999996</v>
          </cell>
          <cell r="E1298">
            <v>42750</v>
          </cell>
          <cell r="F1298">
            <v>1.3</v>
          </cell>
          <cell r="G1298">
            <v>36280</v>
          </cell>
        </row>
        <row r="1299">
          <cell r="A1299" t="str">
            <v>51-9151</v>
          </cell>
          <cell r="B1299" t="str">
            <v>Photographic Process Workers and Processing Machine Operators</v>
          </cell>
          <cell r="C1299">
            <v>5380</v>
          </cell>
          <cell r="D1299">
            <v>4.0999999999999996</v>
          </cell>
          <cell r="E1299">
            <v>42750</v>
          </cell>
          <cell r="F1299">
            <v>1.3</v>
          </cell>
          <cell r="G1299">
            <v>36280</v>
          </cell>
        </row>
        <row r="1300">
          <cell r="A1300" t="str">
            <v>51-9160</v>
          </cell>
          <cell r="B1300" t="str">
            <v>Computer Numerically Controlled Tool Operators and Programmers</v>
          </cell>
          <cell r="C1300">
            <v>207480</v>
          </cell>
          <cell r="D1300">
            <v>1.5</v>
          </cell>
          <cell r="E1300">
            <v>50200</v>
          </cell>
          <cell r="F1300">
            <v>0.3</v>
          </cell>
          <cell r="G1300">
            <v>47810</v>
          </cell>
        </row>
        <row r="1301">
          <cell r="A1301" t="str">
            <v>51-9161</v>
          </cell>
          <cell r="B1301" t="str">
            <v>Computer Numerically Controlled Tool Operators</v>
          </cell>
          <cell r="C1301">
            <v>179360</v>
          </cell>
          <cell r="D1301">
            <v>1.6</v>
          </cell>
          <cell r="E1301">
            <v>47940</v>
          </cell>
          <cell r="F1301">
            <v>0.3</v>
          </cell>
          <cell r="G1301">
            <v>46760</v>
          </cell>
        </row>
        <row r="1302">
          <cell r="A1302" t="str">
            <v>51-9162</v>
          </cell>
          <cell r="B1302" t="str">
            <v>Computer Numerically Controlled Tool Programmers</v>
          </cell>
          <cell r="C1302">
            <v>28120</v>
          </cell>
          <cell r="D1302">
            <v>1.9</v>
          </cell>
          <cell r="E1302">
            <v>64580</v>
          </cell>
          <cell r="F1302">
            <v>0.5</v>
          </cell>
          <cell r="G1302">
            <v>60800</v>
          </cell>
        </row>
        <row r="1303">
          <cell r="A1303" t="str">
            <v>51-9190</v>
          </cell>
          <cell r="B1303" t="str">
            <v>Miscellaneous Production Workers</v>
          </cell>
          <cell r="C1303">
            <v>632170</v>
          </cell>
          <cell r="D1303">
            <v>0.7</v>
          </cell>
          <cell r="E1303">
            <v>39640</v>
          </cell>
          <cell r="F1303">
            <v>0.3</v>
          </cell>
          <cell r="G1303">
            <v>36680</v>
          </cell>
        </row>
        <row r="1304">
          <cell r="A1304" t="str">
            <v>51-9191</v>
          </cell>
          <cell r="B1304" t="str">
            <v>Adhesive Bonding Machine Operators and Tenders</v>
          </cell>
          <cell r="C1304">
            <v>11320</v>
          </cell>
          <cell r="D1304">
            <v>3.3</v>
          </cell>
          <cell r="E1304">
            <v>40100</v>
          </cell>
          <cell r="F1304">
            <v>1.1000000000000001</v>
          </cell>
          <cell r="G1304">
            <v>38780</v>
          </cell>
        </row>
        <row r="1305">
          <cell r="A1305" t="str">
            <v>51-9192</v>
          </cell>
          <cell r="B1305" t="str">
            <v>Cleaning, Washing, and Metal Pickling Equipment Operators and Tenders</v>
          </cell>
          <cell r="C1305">
            <v>13200</v>
          </cell>
          <cell r="D1305">
            <v>2.9</v>
          </cell>
          <cell r="E1305">
            <v>39130</v>
          </cell>
          <cell r="F1305">
            <v>0.7</v>
          </cell>
          <cell r="G1305">
            <v>37190</v>
          </cell>
        </row>
        <row r="1306">
          <cell r="A1306" t="str">
            <v>51-9193</v>
          </cell>
          <cell r="B1306" t="str">
            <v>Cooling and Freezing Equipment Operators and Tenders</v>
          </cell>
          <cell r="C1306">
            <v>6420</v>
          </cell>
          <cell r="D1306">
            <v>3</v>
          </cell>
          <cell r="E1306">
            <v>44240</v>
          </cell>
          <cell r="F1306">
            <v>0.9</v>
          </cell>
          <cell r="G1306">
            <v>42890</v>
          </cell>
        </row>
        <row r="1307">
          <cell r="A1307" t="str">
            <v>51-9194</v>
          </cell>
          <cell r="B1307" t="str">
            <v>Etchers and Engravers</v>
          </cell>
          <cell r="C1307">
            <v>8400</v>
          </cell>
          <cell r="D1307">
            <v>9.5</v>
          </cell>
          <cell r="E1307">
            <v>40950</v>
          </cell>
          <cell r="F1307">
            <v>2.2000000000000002</v>
          </cell>
          <cell r="G1307">
            <v>37980</v>
          </cell>
        </row>
        <row r="1308">
          <cell r="A1308" t="str">
            <v>51-9195</v>
          </cell>
          <cell r="B1308" t="str">
            <v>Molders, Shapers, and Casters, Except Metal and Plastic</v>
          </cell>
          <cell r="C1308">
            <v>39060</v>
          </cell>
          <cell r="D1308">
            <v>2.7</v>
          </cell>
          <cell r="E1308">
            <v>41680</v>
          </cell>
          <cell r="F1308">
            <v>0.6</v>
          </cell>
          <cell r="G1308">
            <v>39590</v>
          </cell>
        </row>
        <row r="1309">
          <cell r="A1309" t="str">
            <v>51-9196</v>
          </cell>
          <cell r="B1309" t="str">
            <v>Paper Goods Machine Setters, Operators, and Tenders</v>
          </cell>
          <cell r="C1309">
            <v>92050</v>
          </cell>
          <cell r="D1309">
            <v>1.9</v>
          </cell>
          <cell r="E1309">
            <v>46390</v>
          </cell>
          <cell r="F1309">
            <v>0.5</v>
          </cell>
          <cell r="G1309">
            <v>45710</v>
          </cell>
        </row>
        <row r="1310">
          <cell r="A1310" t="str">
            <v>51-9197</v>
          </cell>
          <cell r="B1310" t="str">
            <v>Tire Builders</v>
          </cell>
          <cell r="C1310">
            <v>18360</v>
          </cell>
          <cell r="D1310">
            <v>1.9</v>
          </cell>
          <cell r="E1310">
            <v>50600</v>
          </cell>
          <cell r="F1310">
            <v>0.5</v>
          </cell>
          <cell r="G1310">
            <v>51650</v>
          </cell>
        </row>
        <row r="1311">
          <cell r="A1311" t="str">
            <v>51-9198</v>
          </cell>
          <cell r="B1311" t="str">
            <v>Helpers--Production Workers</v>
          </cell>
          <cell r="C1311">
            <v>190680</v>
          </cell>
          <cell r="D1311">
            <v>1.1000000000000001</v>
          </cell>
          <cell r="E1311">
            <v>35740</v>
          </cell>
          <cell r="F1311">
            <v>0.4</v>
          </cell>
          <cell r="G1311">
            <v>34670</v>
          </cell>
        </row>
        <row r="1312">
          <cell r="A1312" t="str">
            <v>51-9199</v>
          </cell>
          <cell r="B1312" t="str">
            <v>Production Workers, All Other</v>
          </cell>
          <cell r="C1312">
            <v>252660</v>
          </cell>
          <cell r="D1312">
            <v>1.2</v>
          </cell>
          <cell r="E1312">
            <v>38860</v>
          </cell>
          <cell r="F1312">
            <v>0.3</v>
          </cell>
          <cell r="G1312">
            <v>35490</v>
          </cell>
        </row>
        <row r="1313">
          <cell r="A1313" t="str">
            <v>53-0000</v>
          </cell>
          <cell r="B1313" t="str">
            <v>Transportation and Material Moving Occupations</v>
          </cell>
          <cell r="C1313">
            <v>13560460</v>
          </cell>
          <cell r="D1313">
            <v>0.1</v>
          </cell>
          <cell r="E1313">
            <v>43930</v>
          </cell>
          <cell r="F1313">
            <v>0.4</v>
          </cell>
          <cell r="G1313">
            <v>37940</v>
          </cell>
        </row>
        <row r="1314">
          <cell r="A1314" t="str">
            <v>53-1000</v>
          </cell>
          <cell r="B1314" t="str">
            <v>Supervisors of Transportation and Material Moving Workers</v>
          </cell>
          <cell r="C1314">
            <v>599710</v>
          </cell>
          <cell r="D1314">
            <v>0.7</v>
          </cell>
          <cell r="E1314">
            <v>60850</v>
          </cell>
          <cell r="F1314">
            <v>0.4</v>
          </cell>
          <cell r="G1314">
            <v>57810</v>
          </cell>
        </row>
        <row r="1315">
          <cell r="A1315" t="str">
            <v>53-1040</v>
          </cell>
          <cell r="B1315" t="str">
            <v>First-Line Supervisors of Transportation and Material Moving Workers</v>
          </cell>
          <cell r="C1315">
            <v>599710</v>
          </cell>
          <cell r="D1315">
            <v>0.7</v>
          </cell>
          <cell r="E1315">
            <v>60850</v>
          </cell>
          <cell r="F1315">
            <v>0.4</v>
          </cell>
          <cell r="G1315">
            <v>57810</v>
          </cell>
        </row>
        <row r="1316">
          <cell r="A1316" t="str">
            <v>53-1041</v>
          </cell>
          <cell r="B1316" t="str">
            <v>Aircraft Cargo Handling Supervisors</v>
          </cell>
          <cell r="C1316">
            <v>7950</v>
          </cell>
          <cell r="D1316">
            <v>2.8</v>
          </cell>
          <cell r="E1316">
            <v>61150</v>
          </cell>
          <cell r="F1316">
            <v>0.8</v>
          </cell>
          <cell r="G1316">
            <v>53490</v>
          </cell>
        </row>
        <row r="1317">
          <cell r="A1317" t="str">
            <v>53-1047</v>
          </cell>
          <cell r="B1317" t="str">
            <v>First-Line Supervisors of Transportation and Material Moving Workers, Except Aircraft Cargo Handling Supervisors</v>
          </cell>
          <cell r="C1317">
            <v>591760</v>
          </cell>
          <cell r="D1317">
            <v>0.7</v>
          </cell>
          <cell r="E1317">
            <v>60850</v>
          </cell>
          <cell r="F1317">
            <v>0.4</v>
          </cell>
          <cell r="G1317">
            <v>57860</v>
          </cell>
        </row>
        <row r="1318">
          <cell r="A1318" t="str">
            <v>53-2000</v>
          </cell>
          <cell r="B1318" t="str">
            <v>Air Transportation Workers</v>
          </cell>
          <cell r="C1318">
            <v>282820</v>
          </cell>
          <cell r="D1318">
            <v>0.7</v>
          </cell>
          <cell r="E1318">
            <v>131630</v>
          </cell>
          <cell r="F1318">
            <v>1.5</v>
          </cell>
          <cell r="G1318">
            <v>95010</v>
          </cell>
        </row>
        <row r="1319">
          <cell r="A1319" t="str">
            <v>53-2010</v>
          </cell>
          <cell r="B1319" t="str">
            <v>Aircraft Pilots and Flight Engineers</v>
          </cell>
          <cell r="C1319">
            <v>138330</v>
          </cell>
          <cell r="D1319">
            <v>1</v>
          </cell>
          <cell r="E1319">
            <v>189620</v>
          </cell>
          <cell r="F1319">
            <v>2</v>
          </cell>
          <cell r="G1319">
            <v>148900</v>
          </cell>
        </row>
        <row r="1320">
          <cell r="A1320" t="str">
            <v>53-2011</v>
          </cell>
          <cell r="B1320" t="str">
            <v>Airline Pilots, Copilots, and Flight Engineers</v>
          </cell>
          <cell r="C1320">
            <v>89580</v>
          </cell>
          <cell r="D1320">
            <v>0.9</v>
          </cell>
          <cell r="E1320">
            <v>225740</v>
          </cell>
          <cell r="F1320">
            <v>2.7</v>
          </cell>
          <cell r="G1320">
            <v>211790</v>
          </cell>
        </row>
        <row r="1321">
          <cell r="A1321" t="str">
            <v>53-2012</v>
          </cell>
          <cell r="B1321" t="str">
            <v>Commercial Pilots</v>
          </cell>
          <cell r="C1321">
            <v>48750</v>
          </cell>
          <cell r="D1321">
            <v>2.4</v>
          </cell>
          <cell r="E1321">
            <v>123250</v>
          </cell>
          <cell r="F1321">
            <v>1</v>
          </cell>
          <cell r="G1321">
            <v>103910</v>
          </cell>
        </row>
        <row r="1322">
          <cell r="A1322" t="str">
            <v>53-2020</v>
          </cell>
          <cell r="B1322" t="str">
            <v>Air Traffic Controllers and Airfield Operations Specialists</v>
          </cell>
          <cell r="C1322">
            <v>36010</v>
          </cell>
          <cell r="D1322">
            <v>1.3</v>
          </cell>
          <cell r="E1322">
            <v>103460</v>
          </cell>
          <cell r="F1322">
            <v>0.7</v>
          </cell>
          <cell r="G1322">
            <v>94700</v>
          </cell>
        </row>
        <row r="1323">
          <cell r="A1323" t="str">
            <v>53-2021</v>
          </cell>
          <cell r="B1323" t="str">
            <v>Air Traffic Controllers</v>
          </cell>
          <cell r="C1323">
            <v>21250</v>
          </cell>
          <cell r="D1323">
            <v>0.9</v>
          </cell>
          <cell r="E1323">
            <v>130840</v>
          </cell>
          <cell r="F1323">
            <v>0.4</v>
          </cell>
          <cell r="G1323">
            <v>132250</v>
          </cell>
        </row>
        <row r="1324">
          <cell r="A1324" t="str">
            <v>53-2022</v>
          </cell>
          <cell r="B1324" t="str">
            <v>Airfield Operations Specialists</v>
          </cell>
          <cell r="C1324">
            <v>14760</v>
          </cell>
          <cell r="D1324">
            <v>2.9</v>
          </cell>
          <cell r="E1324">
            <v>64050</v>
          </cell>
          <cell r="F1324">
            <v>1.2</v>
          </cell>
          <cell r="G1324">
            <v>49600</v>
          </cell>
        </row>
        <row r="1325">
          <cell r="A1325" t="str">
            <v>53-2030</v>
          </cell>
          <cell r="B1325" t="str">
            <v>Flight Attendants</v>
          </cell>
          <cell r="C1325">
            <v>108480</v>
          </cell>
          <cell r="D1325">
            <v>0.8</v>
          </cell>
          <cell r="E1325">
            <v>67020</v>
          </cell>
          <cell r="F1325">
            <v>0.4</v>
          </cell>
          <cell r="G1325">
            <v>63760</v>
          </cell>
        </row>
        <row r="1326">
          <cell r="A1326" t="str">
            <v>53-2031</v>
          </cell>
          <cell r="B1326" t="str">
            <v>Flight Attendants</v>
          </cell>
          <cell r="C1326">
            <v>108480</v>
          </cell>
          <cell r="D1326">
            <v>0.8</v>
          </cell>
          <cell r="E1326">
            <v>67020</v>
          </cell>
          <cell r="F1326">
            <v>0.4</v>
          </cell>
          <cell r="G1326">
            <v>63760</v>
          </cell>
        </row>
        <row r="1327">
          <cell r="A1327" t="str">
            <v>53-3000</v>
          </cell>
          <cell r="B1327" t="str">
            <v>Motor Vehicle Operators</v>
          </cell>
          <cell r="C1327">
            <v>4315740</v>
          </cell>
          <cell r="D1327">
            <v>0.6</v>
          </cell>
          <cell r="E1327">
            <v>47110</v>
          </cell>
          <cell r="F1327">
            <v>0.4</v>
          </cell>
          <cell r="G1327">
            <v>45460</v>
          </cell>
        </row>
        <row r="1328">
          <cell r="A1328" t="str">
            <v>53-3010</v>
          </cell>
          <cell r="B1328" t="str">
            <v>Ambulance Drivers and Attendants, Except Emergency Medical Technicians</v>
          </cell>
          <cell r="C1328">
            <v>9910</v>
          </cell>
          <cell r="D1328">
            <v>3.4</v>
          </cell>
          <cell r="E1328">
            <v>33570</v>
          </cell>
          <cell r="F1328">
            <v>2.2999999999999998</v>
          </cell>
          <cell r="G1328">
            <v>30380</v>
          </cell>
        </row>
        <row r="1329">
          <cell r="A1329" t="str">
            <v>53-3011</v>
          </cell>
          <cell r="B1329" t="str">
            <v>Ambulance Drivers and Attendants, Except Emergency Medical Technicians</v>
          </cell>
          <cell r="C1329">
            <v>9910</v>
          </cell>
          <cell r="D1329">
            <v>3.4</v>
          </cell>
          <cell r="E1329">
            <v>33570</v>
          </cell>
          <cell r="F1329">
            <v>2.2999999999999998</v>
          </cell>
          <cell r="G1329">
            <v>30380</v>
          </cell>
        </row>
        <row r="1330">
          <cell r="A1330" t="str">
            <v>53-3030</v>
          </cell>
          <cell r="B1330" t="str">
            <v>Driver/Sales Workers and Truck Drivers</v>
          </cell>
          <cell r="C1330">
            <v>3533530</v>
          </cell>
          <cell r="D1330">
            <v>0.6</v>
          </cell>
          <cell r="E1330">
            <v>48240</v>
          </cell>
          <cell r="F1330">
            <v>0.4</v>
          </cell>
          <cell r="G1330">
            <v>46300</v>
          </cell>
        </row>
        <row r="1331">
          <cell r="A1331" t="str">
            <v>53-3031</v>
          </cell>
          <cell r="B1331" t="str">
            <v>Driver/Sales Workers</v>
          </cell>
          <cell r="C1331">
            <v>489510</v>
          </cell>
          <cell r="D1331">
            <v>2</v>
          </cell>
          <cell r="E1331">
            <v>35560</v>
          </cell>
          <cell r="F1331">
            <v>0.8</v>
          </cell>
          <cell r="G1331">
            <v>32690</v>
          </cell>
        </row>
        <row r="1332">
          <cell r="A1332" t="str">
            <v>53-3032</v>
          </cell>
          <cell r="B1332" t="str">
            <v>Heavy and Tractor-Trailer Truck Drivers</v>
          </cell>
          <cell r="C1332">
            <v>1984180</v>
          </cell>
          <cell r="D1332">
            <v>0.9</v>
          </cell>
          <cell r="E1332">
            <v>53090</v>
          </cell>
          <cell r="F1332">
            <v>0.3</v>
          </cell>
          <cell r="G1332">
            <v>49920</v>
          </cell>
        </row>
        <row r="1333">
          <cell r="A1333" t="str">
            <v>53-3033</v>
          </cell>
          <cell r="B1333" t="str">
            <v>Light Truck Drivers</v>
          </cell>
          <cell r="C1333">
            <v>1059840</v>
          </cell>
          <cell r="D1333">
            <v>0.7</v>
          </cell>
          <cell r="E1333">
            <v>45020</v>
          </cell>
          <cell r="F1333">
            <v>0.3</v>
          </cell>
          <cell r="G1333">
            <v>40410</v>
          </cell>
        </row>
        <row r="1334">
          <cell r="A1334" t="str">
            <v>53-3050</v>
          </cell>
          <cell r="B1334" t="str">
            <v>Passenger Vehicle Drivers</v>
          </cell>
          <cell r="C1334">
            <v>722960</v>
          </cell>
          <cell r="D1334">
            <v>0.7</v>
          </cell>
          <cell r="E1334">
            <v>42420</v>
          </cell>
          <cell r="F1334">
            <v>0.4</v>
          </cell>
          <cell r="G1334">
            <v>39440</v>
          </cell>
        </row>
        <row r="1335">
          <cell r="A1335" t="str">
            <v>53-3051</v>
          </cell>
          <cell r="B1335" t="str">
            <v>Bus Drivers, School</v>
          </cell>
          <cell r="C1335">
            <v>366550</v>
          </cell>
          <cell r="D1335">
            <v>1.3</v>
          </cell>
          <cell r="E1335">
            <v>42400</v>
          </cell>
          <cell r="F1335">
            <v>0.4</v>
          </cell>
          <cell r="G1335">
            <v>41270</v>
          </cell>
        </row>
        <row r="1336">
          <cell r="A1336" t="str">
            <v>53-3052</v>
          </cell>
          <cell r="B1336" t="str">
            <v>Bus Drivers, Transit and Intercity</v>
          </cell>
          <cell r="C1336">
            <v>141530</v>
          </cell>
          <cell r="D1336">
            <v>1.1000000000000001</v>
          </cell>
          <cell r="E1336">
            <v>53920</v>
          </cell>
          <cell r="F1336">
            <v>0.4</v>
          </cell>
          <cell r="G1336">
            <v>50890</v>
          </cell>
        </row>
        <row r="1337">
          <cell r="A1337" t="str">
            <v>53-3053</v>
          </cell>
          <cell r="B1337" t="str">
            <v>Shuttle Drivers and Chauffeurs</v>
          </cell>
          <cell r="C1337">
            <v>201070</v>
          </cell>
          <cell r="D1337">
            <v>1.1000000000000001</v>
          </cell>
          <cell r="E1337">
            <v>35000</v>
          </cell>
          <cell r="F1337">
            <v>0.7</v>
          </cell>
          <cell r="G1337">
            <v>32800</v>
          </cell>
        </row>
        <row r="1338">
          <cell r="A1338" t="str">
            <v>53-3054</v>
          </cell>
          <cell r="B1338" t="str">
            <v>Taxi Drivers</v>
          </cell>
          <cell r="C1338">
            <v>13820</v>
          </cell>
          <cell r="D1338">
            <v>3.6</v>
          </cell>
          <cell r="E1338">
            <v>32710</v>
          </cell>
          <cell r="F1338">
            <v>1.7</v>
          </cell>
          <cell r="G1338">
            <v>30670</v>
          </cell>
        </row>
        <row r="1339">
          <cell r="A1339" t="str">
            <v>53-3090</v>
          </cell>
          <cell r="B1339" t="str">
            <v>Miscellaneous Motor Vehicle Operators</v>
          </cell>
          <cell r="C1339">
            <v>49340</v>
          </cell>
          <cell r="D1339">
            <v>3.3</v>
          </cell>
          <cell r="E1339">
            <v>37650</v>
          </cell>
          <cell r="F1339">
            <v>1.5</v>
          </cell>
          <cell r="G1339">
            <v>33210</v>
          </cell>
        </row>
        <row r="1340">
          <cell r="A1340" t="str">
            <v>53-3099</v>
          </cell>
          <cell r="B1340" t="str">
            <v>Motor Vehicle Operators, All Other</v>
          </cell>
          <cell r="C1340">
            <v>49340</v>
          </cell>
          <cell r="D1340">
            <v>3.3</v>
          </cell>
          <cell r="E1340">
            <v>37650</v>
          </cell>
          <cell r="F1340">
            <v>1.5</v>
          </cell>
          <cell r="G1340">
            <v>33210</v>
          </cell>
        </row>
        <row r="1341">
          <cell r="A1341" t="str">
            <v>53-4000</v>
          </cell>
          <cell r="B1341" t="str">
            <v>Rail Transportation Workers</v>
          </cell>
          <cell r="C1341">
            <v>105620</v>
          </cell>
          <cell r="D1341">
            <v>0.8</v>
          </cell>
          <cell r="E1341">
            <v>70040</v>
          </cell>
          <cell r="F1341">
            <v>0.4</v>
          </cell>
          <cell r="G1341">
            <v>68960</v>
          </cell>
        </row>
        <row r="1342">
          <cell r="A1342" t="str">
            <v>53-4010</v>
          </cell>
          <cell r="B1342" t="str">
            <v>Locomotive Engineers and Operators</v>
          </cell>
          <cell r="C1342">
            <v>39120</v>
          </cell>
          <cell r="D1342">
            <v>1.9</v>
          </cell>
          <cell r="E1342">
            <v>72790</v>
          </cell>
          <cell r="F1342">
            <v>0.6</v>
          </cell>
          <cell r="G1342">
            <v>73770</v>
          </cell>
        </row>
        <row r="1343">
          <cell r="A1343" t="str">
            <v>53-4011</v>
          </cell>
          <cell r="B1343" t="str">
            <v>Locomotive Engineers</v>
          </cell>
          <cell r="C1343">
            <v>36440</v>
          </cell>
          <cell r="D1343">
            <v>2</v>
          </cell>
          <cell r="E1343">
            <v>73850</v>
          </cell>
          <cell r="F1343">
            <v>0.7</v>
          </cell>
          <cell r="G1343">
            <v>74570</v>
          </cell>
        </row>
        <row r="1344">
          <cell r="A1344" t="str">
            <v>53-4013</v>
          </cell>
          <cell r="B1344" t="str">
            <v>Rail Yard Engineers, Dinkey Operators, and Hostlers</v>
          </cell>
          <cell r="C1344">
            <v>2680</v>
          </cell>
          <cell r="D1344">
            <v>4.8</v>
          </cell>
          <cell r="E1344">
            <v>58430</v>
          </cell>
          <cell r="F1344">
            <v>1.4</v>
          </cell>
          <cell r="G1344">
            <v>56340</v>
          </cell>
        </row>
        <row r="1345">
          <cell r="A1345" t="str">
            <v>53-4020</v>
          </cell>
          <cell r="B1345" t="str">
            <v>Railroad Brake, Signal, and Switch Operators and Locomotive Firers</v>
          </cell>
          <cell r="C1345">
            <v>14210</v>
          </cell>
          <cell r="D1345">
            <v>1.4</v>
          </cell>
          <cell r="E1345">
            <v>64810</v>
          </cell>
          <cell r="F1345">
            <v>0.8</v>
          </cell>
          <cell r="G1345">
            <v>67540</v>
          </cell>
        </row>
        <row r="1346">
          <cell r="A1346" t="str">
            <v>53-4022</v>
          </cell>
          <cell r="B1346" t="str">
            <v>Railroad Brake, Signal, and Switch Operators and Locomotive Firers</v>
          </cell>
          <cell r="C1346">
            <v>14210</v>
          </cell>
          <cell r="D1346">
            <v>1.4</v>
          </cell>
          <cell r="E1346">
            <v>64810</v>
          </cell>
          <cell r="F1346">
            <v>0.8</v>
          </cell>
          <cell r="G1346">
            <v>67540</v>
          </cell>
        </row>
        <row r="1347">
          <cell r="A1347" t="str">
            <v>53-4030</v>
          </cell>
          <cell r="B1347" t="str">
            <v>Railroad Conductors and Yardmasters</v>
          </cell>
          <cell r="C1347">
            <v>40940</v>
          </cell>
          <cell r="D1347">
            <v>0.4</v>
          </cell>
          <cell r="E1347">
            <v>69190</v>
          </cell>
          <cell r="F1347">
            <v>0.4</v>
          </cell>
          <cell r="G1347">
            <v>68180</v>
          </cell>
        </row>
        <row r="1348">
          <cell r="A1348" t="str">
            <v>53-4031</v>
          </cell>
          <cell r="B1348" t="str">
            <v>Railroad Conductors and Yardmasters</v>
          </cell>
          <cell r="C1348">
            <v>40940</v>
          </cell>
          <cell r="D1348">
            <v>0.4</v>
          </cell>
          <cell r="E1348">
            <v>69190</v>
          </cell>
          <cell r="F1348">
            <v>0.4</v>
          </cell>
          <cell r="G1348">
            <v>68180</v>
          </cell>
        </row>
        <row r="1349">
          <cell r="A1349" t="str">
            <v>53-4040</v>
          </cell>
          <cell r="B1349" t="str">
            <v>Subway and Streetcar Operators</v>
          </cell>
          <cell r="C1349">
            <v>9120</v>
          </cell>
          <cell r="D1349">
            <v>0.8</v>
          </cell>
          <cell r="E1349">
            <v>75880</v>
          </cell>
          <cell r="F1349">
            <v>0.9</v>
          </cell>
          <cell r="G1349">
            <v>88260</v>
          </cell>
        </row>
        <row r="1350">
          <cell r="A1350" t="str">
            <v>53-4041</v>
          </cell>
          <cell r="B1350" t="str">
            <v>Subway and Streetcar Operators</v>
          </cell>
          <cell r="C1350">
            <v>9120</v>
          </cell>
          <cell r="D1350">
            <v>0.8</v>
          </cell>
          <cell r="E1350">
            <v>75880</v>
          </cell>
          <cell r="F1350">
            <v>0.9</v>
          </cell>
          <cell r="G1350">
            <v>88260</v>
          </cell>
        </row>
        <row r="1351">
          <cell r="A1351" t="str">
            <v>53-4090</v>
          </cell>
          <cell r="B1351" t="str">
            <v>Miscellaneous Rail Transportation Workers</v>
          </cell>
          <cell r="C1351">
            <v>2240</v>
          </cell>
          <cell r="D1351">
            <v>8.8000000000000007</v>
          </cell>
          <cell r="E1351">
            <v>46780</v>
          </cell>
          <cell r="F1351">
            <v>1.3</v>
          </cell>
          <cell r="G1351">
            <v>42280</v>
          </cell>
        </row>
        <row r="1352">
          <cell r="A1352" t="str">
            <v>53-4099</v>
          </cell>
          <cell r="B1352" t="str">
            <v>Rail Transportation Workers, All Other</v>
          </cell>
          <cell r="C1352">
            <v>2240</v>
          </cell>
          <cell r="D1352">
            <v>8.8000000000000007</v>
          </cell>
          <cell r="E1352">
            <v>46780</v>
          </cell>
          <cell r="F1352">
            <v>1.3</v>
          </cell>
          <cell r="G1352">
            <v>42280</v>
          </cell>
        </row>
        <row r="1353">
          <cell r="A1353" t="str">
            <v>53-5000</v>
          </cell>
          <cell r="B1353" t="str">
            <v>Water Transportation Workers</v>
          </cell>
          <cell r="C1353">
            <v>75200</v>
          </cell>
          <cell r="D1353">
            <v>2.9</v>
          </cell>
          <cell r="E1353">
            <v>82200</v>
          </cell>
          <cell r="F1353">
            <v>1.5</v>
          </cell>
          <cell r="G1353">
            <v>66100</v>
          </cell>
        </row>
        <row r="1354">
          <cell r="A1354" t="str">
            <v>53-5010</v>
          </cell>
          <cell r="B1354" t="str">
            <v>Sailors and Marine Oilers</v>
          </cell>
          <cell r="C1354">
            <v>28500</v>
          </cell>
          <cell r="D1354">
            <v>3.6</v>
          </cell>
          <cell r="E1354">
            <v>53350</v>
          </cell>
          <cell r="F1354">
            <v>1.8</v>
          </cell>
          <cell r="G1354">
            <v>47490</v>
          </cell>
        </row>
        <row r="1355">
          <cell r="A1355" t="str">
            <v>53-5011</v>
          </cell>
          <cell r="B1355" t="str">
            <v>Sailors and Marine Oilers</v>
          </cell>
          <cell r="C1355">
            <v>28500</v>
          </cell>
          <cell r="D1355">
            <v>3.6</v>
          </cell>
          <cell r="E1355">
            <v>53350</v>
          </cell>
          <cell r="F1355">
            <v>1.8</v>
          </cell>
          <cell r="G1355">
            <v>47490</v>
          </cell>
        </row>
        <row r="1356">
          <cell r="A1356" t="str">
            <v>53-5020</v>
          </cell>
          <cell r="B1356" t="str">
            <v>Ship and Boat Captains and Operators</v>
          </cell>
          <cell r="C1356">
            <v>38050</v>
          </cell>
          <cell r="D1356">
            <v>3.5</v>
          </cell>
          <cell r="E1356">
            <v>99540</v>
          </cell>
          <cell r="F1356">
            <v>1.5</v>
          </cell>
          <cell r="G1356">
            <v>87320</v>
          </cell>
        </row>
        <row r="1357">
          <cell r="A1357" t="str">
            <v>53-5021</v>
          </cell>
          <cell r="B1357" t="str">
            <v>Captains, Mates, and Pilots of Water Vessels</v>
          </cell>
          <cell r="C1357">
            <v>34940</v>
          </cell>
          <cell r="D1357">
            <v>3.7</v>
          </cell>
          <cell r="E1357">
            <v>104190</v>
          </cell>
          <cell r="F1357">
            <v>1.5</v>
          </cell>
          <cell r="G1357">
            <v>95210</v>
          </cell>
        </row>
        <row r="1358">
          <cell r="A1358" t="str">
            <v>53-5022</v>
          </cell>
          <cell r="B1358" t="str">
            <v>Motorboat Operators</v>
          </cell>
          <cell r="C1358">
            <v>3110</v>
          </cell>
          <cell r="D1358">
            <v>7</v>
          </cell>
          <cell r="E1358">
            <v>47300</v>
          </cell>
          <cell r="F1358">
            <v>2.6</v>
          </cell>
          <cell r="G1358">
            <v>41430</v>
          </cell>
        </row>
        <row r="1359">
          <cell r="A1359" t="str">
            <v>53-5030</v>
          </cell>
          <cell r="B1359" t="str">
            <v>Ship Engineers</v>
          </cell>
          <cell r="C1359">
            <v>8650</v>
          </cell>
          <cell r="D1359">
            <v>6.1</v>
          </cell>
          <cell r="E1359">
            <v>100980</v>
          </cell>
          <cell r="F1359">
            <v>2.6</v>
          </cell>
          <cell r="G1359">
            <v>87300</v>
          </cell>
        </row>
        <row r="1360">
          <cell r="A1360" t="str">
            <v>53-5031</v>
          </cell>
          <cell r="B1360" t="str">
            <v>Ship Engineers</v>
          </cell>
          <cell r="C1360">
            <v>8650</v>
          </cell>
          <cell r="D1360">
            <v>6.1</v>
          </cell>
          <cell r="E1360">
            <v>100980</v>
          </cell>
          <cell r="F1360">
            <v>2.6</v>
          </cell>
          <cell r="G1360">
            <v>87300</v>
          </cell>
        </row>
        <row r="1361">
          <cell r="A1361" t="str">
            <v>53-6000</v>
          </cell>
          <cell r="B1361" t="str">
            <v>Other Transportation Workers</v>
          </cell>
          <cell r="C1361">
            <v>284810</v>
          </cell>
          <cell r="D1361">
            <v>2.6</v>
          </cell>
          <cell r="E1361">
            <v>37750</v>
          </cell>
          <cell r="F1361">
            <v>0.9</v>
          </cell>
          <cell r="G1361">
            <v>32680</v>
          </cell>
        </row>
        <row r="1362">
          <cell r="A1362" t="str">
            <v>53-6010</v>
          </cell>
          <cell r="B1362" t="str">
            <v>Bridge and Lock Tenders</v>
          </cell>
          <cell r="C1362">
            <v>3690</v>
          </cell>
          <cell r="D1362">
            <v>5.8</v>
          </cell>
          <cell r="E1362">
            <v>46910</v>
          </cell>
          <cell r="F1362">
            <v>1.9</v>
          </cell>
          <cell r="G1362">
            <v>47280</v>
          </cell>
        </row>
        <row r="1363">
          <cell r="A1363" t="str">
            <v>53-6011</v>
          </cell>
          <cell r="B1363" t="str">
            <v>Bridge and Lock Tenders</v>
          </cell>
          <cell r="C1363">
            <v>3690</v>
          </cell>
          <cell r="D1363">
            <v>5.8</v>
          </cell>
          <cell r="E1363">
            <v>46910</v>
          </cell>
          <cell r="F1363">
            <v>1.9</v>
          </cell>
          <cell r="G1363">
            <v>47280</v>
          </cell>
        </row>
        <row r="1364">
          <cell r="A1364" t="str">
            <v>53-6020</v>
          </cell>
          <cell r="B1364" t="str">
            <v>Parking Attendants</v>
          </cell>
          <cell r="C1364">
            <v>105290</v>
          </cell>
          <cell r="D1364">
            <v>6.4</v>
          </cell>
          <cell r="E1364">
            <v>31230</v>
          </cell>
          <cell r="F1364">
            <v>0.7</v>
          </cell>
          <cell r="G1364">
            <v>30570</v>
          </cell>
        </row>
        <row r="1365">
          <cell r="A1365" t="str">
            <v>53-6021</v>
          </cell>
          <cell r="B1365" t="str">
            <v>Parking Attendants</v>
          </cell>
          <cell r="C1365">
            <v>105290</v>
          </cell>
          <cell r="D1365">
            <v>6.4</v>
          </cell>
          <cell r="E1365">
            <v>31230</v>
          </cell>
          <cell r="F1365">
            <v>0.7</v>
          </cell>
          <cell r="G1365">
            <v>30570</v>
          </cell>
        </row>
        <row r="1366">
          <cell r="A1366" t="str">
            <v>53-6030</v>
          </cell>
          <cell r="B1366" t="str">
            <v>Transportation Service Attendants</v>
          </cell>
          <cell r="C1366">
            <v>119320</v>
          </cell>
          <cell r="D1366">
            <v>1.2</v>
          </cell>
          <cell r="E1366">
            <v>33500</v>
          </cell>
          <cell r="F1366">
            <v>0.5</v>
          </cell>
          <cell r="G1366">
            <v>31820</v>
          </cell>
        </row>
        <row r="1367">
          <cell r="A1367" t="str">
            <v>53-6031</v>
          </cell>
          <cell r="B1367" t="str">
            <v>Automotive and Watercraft Service Attendants</v>
          </cell>
          <cell r="C1367">
            <v>99600</v>
          </cell>
          <cell r="D1367">
            <v>1.3</v>
          </cell>
          <cell r="E1367">
            <v>32340</v>
          </cell>
          <cell r="F1367">
            <v>0.5</v>
          </cell>
          <cell r="G1367">
            <v>30850</v>
          </cell>
        </row>
        <row r="1368">
          <cell r="A1368" t="str">
            <v>53-6032</v>
          </cell>
          <cell r="B1368" t="str">
            <v>Aircraft Service Attendants</v>
          </cell>
          <cell r="C1368">
            <v>19720</v>
          </cell>
          <cell r="D1368">
            <v>4</v>
          </cell>
          <cell r="E1368">
            <v>39400</v>
          </cell>
          <cell r="F1368">
            <v>0.8</v>
          </cell>
          <cell r="G1368">
            <v>37050</v>
          </cell>
        </row>
        <row r="1369">
          <cell r="A1369" t="str">
            <v>53-6040</v>
          </cell>
          <cell r="B1369" t="str">
            <v>Traffic Technicians</v>
          </cell>
          <cell r="C1369">
            <v>7310</v>
          </cell>
          <cell r="D1369">
            <v>4.5</v>
          </cell>
          <cell r="E1369">
            <v>54720</v>
          </cell>
          <cell r="F1369">
            <v>1.2</v>
          </cell>
          <cell r="G1369">
            <v>50050</v>
          </cell>
        </row>
        <row r="1370">
          <cell r="A1370" t="str">
            <v>53-6041</v>
          </cell>
          <cell r="B1370" t="str">
            <v>Traffic Technicians</v>
          </cell>
          <cell r="C1370">
            <v>7310</v>
          </cell>
          <cell r="D1370">
            <v>4.5</v>
          </cell>
          <cell r="E1370">
            <v>54720</v>
          </cell>
          <cell r="F1370">
            <v>1.2</v>
          </cell>
          <cell r="G1370">
            <v>50050</v>
          </cell>
        </row>
        <row r="1371">
          <cell r="A1371" t="str">
            <v>53-6050</v>
          </cell>
          <cell r="B1371" t="str">
            <v>Transportation Inspectors</v>
          </cell>
          <cell r="C1371">
            <v>24420</v>
          </cell>
          <cell r="D1371">
            <v>2.5</v>
          </cell>
          <cell r="E1371">
            <v>79770</v>
          </cell>
          <cell r="F1371">
            <v>0.8</v>
          </cell>
          <cell r="G1371">
            <v>79570</v>
          </cell>
        </row>
        <row r="1372">
          <cell r="A1372" t="str">
            <v>53-6051</v>
          </cell>
          <cell r="B1372" t="str">
            <v>Transportation Inspectors</v>
          </cell>
          <cell r="C1372">
            <v>24420</v>
          </cell>
          <cell r="D1372">
            <v>2.5</v>
          </cell>
          <cell r="E1372">
            <v>79770</v>
          </cell>
          <cell r="F1372">
            <v>0.8</v>
          </cell>
          <cell r="G1372">
            <v>79570</v>
          </cell>
        </row>
        <row r="1373">
          <cell r="A1373" t="str">
            <v>53-6060</v>
          </cell>
          <cell r="B1373" t="str">
            <v>Passenger Attendants</v>
          </cell>
          <cell r="C1373">
            <v>13200</v>
          </cell>
          <cell r="D1373">
            <v>5.0999999999999996</v>
          </cell>
          <cell r="E1373">
            <v>36230</v>
          </cell>
          <cell r="F1373">
            <v>2.2000000000000002</v>
          </cell>
          <cell r="G1373">
            <v>34630</v>
          </cell>
        </row>
        <row r="1374">
          <cell r="A1374" t="str">
            <v>53-6061</v>
          </cell>
          <cell r="B1374" t="str">
            <v>Passenger Attendants</v>
          </cell>
          <cell r="C1374">
            <v>13200</v>
          </cell>
          <cell r="D1374">
            <v>5.0999999999999996</v>
          </cell>
          <cell r="E1374">
            <v>36230</v>
          </cell>
          <cell r="F1374">
            <v>2.2000000000000002</v>
          </cell>
          <cell r="G1374">
            <v>34630</v>
          </cell>
        </row>
        <row r="1375">
          <cell r="A1375" t="str">
            <v>53-6090</v>
          </cell>
          <cell r="B1375" t="str">
            <v>Miscellaneous Transportation Workers</v>
          </cell>
          <cell r="C1375">
            <v>11590</v>
          </cell>
          <cell r="D1375">
            <v>5.3</v>
          </cell>
          <cell r="E1375">
            <v>40290</v>
          </cell>
          <cell r="F1375">
            <v>1.7</v>
          </cell>
          <cell r="G1375">
            <v>37430</v>
          </cell>
        </row>
        <row r="1376">
          <cell r="A1376" t="str">
            <v>53-6099</v>
          </cell>
          <cell r="B1376" t="str">
            <v>Transportation Workers, All Other</v>
          </cell>
          <cell r="C1376">
            <v>11590</v>
          </cell>
          <cell r="D1376">
            <v>5.3</v>
          </cell>
          <cell r="E1376">
            <v>40290</v>
          </cell>
          <cell r="F1376">
            <v>1.7</v>
          </cell>
          <cell r="G1376">
            <v>37430</v>
          </cell>
        </row>
        <row r="1377">
          <cell r="A1377" t="str">
            <v>53-7000</v>
          </cell>
          <cell r="B1377" t="str">
            <v>Material Moving Workers</v>
          </cell>
          <cell r="C1377">
            <v>7896560</v>
          </cell>
          <cell r="D1377">
            <v>0.2</v>
          </cell>
          <cell r="E1377">
            <v>37270</v>
          </cell>
          <cell r="F1377">
            <v>0.3</v>
          </cell>
          <cell r="G1377">
            <v>35670</v>
          </cell>
        </row>
        <row r="1378">
          <cell r="A1378" t="str">
            <v>53-7010</v>
          </cell>
          <cell r="B1378" t="str">
            <v>Conveyor Operators and Tenders</v>
          </cell>
          <cell r="C1378">
            <v>27780</v>
          </cell>
          <cell r="D1378">
            <v>2.8</v>
          </cell>
          <cell r="E1378">
            <v>40060</v>
          </cell>
          <cell r="F1378">
            <v>0.5</v>
          </cell>
          <cell r="G1378">
            <v>36890</v>
          </cell>
        </row>
        <row r="1379">
          <cell r="A1379" t="str">
            <v>53-7011</v>
          </cell>
          <cell r="B1379" t="str">
            <v>Conveyor Operators and Tenders</v>
          </cell>
          <cell r="C1379">
            <v>27780</v>
          </cell>
          <cell r="D1379">
            <v>2.8</v>
          </cell>
          <cell r="E1379">
            <v>40060</v>
          </cell>
          <cell r="F1379">
            <v>0.5</v>
          </cell>
          <cell r="G1379">
            <v>36890</v>
          </cell>
        </row>
        <row r="1380">
          <cell r="A1380" t="str">
            <v>53-7020</v>
          </cell>
          <cell r="B1380" t="str">
            <v>Crane and Tower Operators</v>
          </cell>
          <cell r="C1380">
            <v>45210</v>
          </cell>
          <cell r="D1380">
            <v>5.7</v>
          </cell>
          <cell r="E1380">
            <v>65220</v>
          </cell>
          <cell r="F1380">
            <v>1.3</v>
          </cell>
          <cell r="G1380">
            <v>61340</v>
          </cell>
        </row>
        <row r="1381">
          <cell r="A1381" t="str">
            <v>53-7021</v>
          </cell>
          <cell r="B1381" t="str">
            <v>Crane and Tower Operators</v>
          </cell>
          <cell r="C1381">
            <v>45210</v>
          </cell>
          <cell r="D1381">
            <v>5.7</v>
          </cell>
          <cell r="E1381">
            <v>65220</v>
          </cell>
          <cell r="F1381">
            <v>1.3</v>
          </cell>
          <cell r="G1381">
            <v>61340</v>
          </cell>
        </row>
        <row r="1382">
          <cell r="A1382" t="str">
            <v>53-7030</v>
          </cell>
          <cell r="B1382" t="str">
            <v>Dredge Operators</v>
          </cell>
          <cell r="C1382">
            <v>940</v>
          </cell>
          <cell r="D1382">
            <v>11.1</v>
          </cell>
          <cell r="E1382">
            <v>51770</v>
          </cell>
          <cell r="F1382">
            <v>2.4</v>
          </cell>
          <cell r="G1382">
            <v>47090</v>
          </cell>
        </row>
        <row r="1383">
          <cell r="A1383" t="str">
            <v>53-7031</v>
          </cell>
          <cell r="B1383" t="str">
            <v>Dredge Operators</v>
          </cell>
          <cell r="C1383">
            <v>940</v>
          </cell>
          <cell r="D1383">
            <v>11.1</v>
          </cell>
          <cell r="E1383">
            <v>51770</v>
          </cell>
          <cell r="F1383">
            <v>2.4</v>
          </cell>
          <cell r="G1383">
            <v>47090</v>
          </cell>
        </row>
        <row r="1384">
          <cell r="A1384" t="str">
            <v>53-7040</v>
          </cell>
          <cell r="B1384" t="str">
            <v>Hoist and Winch Operators</v>
          </cell>
          <cell r="C1384">
            <v>2440</v>
          </cell>
          <cell r="D1384">
            <v>8.1999999999999993</v>
          </cell>
          <cell r="E1384">
            <v>69120</v>
          </cell>
          <cell r="F1384">
            <v>5.3</v>
          </cell>
          <cell r="G1384">
            <v>58950</v>
          </cell>
        </row>
        <row r="1385">
          <cell r="A1385" t="str">
            <v>53-7041</v>
          </cell>
          <cell r="B1385" t="str">
            <v>Hoist and Winch Operators</v>
          </cell>
          <cell r="C1385">
            <v>2440</v>
          </cell>
          <cell r="D1385">
            <v>8.1999999999999993</v>
          </cell>
          <cell r="E1385">
            <v>69120</v>
          </cell>
          <cell r="F1385">
            <v>5.3</v>
          </cell>
          <cell r="G1385">
            <v>58950</v>
          </cell>
        </row>
        <row r="1386">
          <cell r="A1386" t="str">
            <v>53-7050</v>
          </cell>
          <cell r="B1386" t="str">
            <v>Industrial Truck and Tractor Operators</v>
          </cell>
          <cell r="C1386">
            <v>780890</v>
          </cell>
          <cell r="D1386">
            <v>0.6</v>
          </cell>
          <cell r="E1386">
            <v>43240</v>
          </cell>
          <cell r="F1386">
            <v>0.3</v>
          </cell>
          <cell r="G1386">
            <v>41230</v>
          </cell>
        </row>
        <row r="1387">
          <cell r="A1387" t="str">
            <v>53-7051</v>
          </cell>
          <cell r="B1387" t="str">
            <v>Industrial Truck and Tractor Operators</v>
          </cell>
          <cell r="C1387">
            <v>780890</v>
          </cell>
          <cell r="D1387">
            <v>0.6</v>
          </cell>
          <cell r="E1387">
            <v>43240</v>
          </cell>
          <cell r="F1387">
            <v>0.3</v>
          </cell>
          <cell r="G1387">
            <v>41230</v>
          </cell>
        </row>
        <row r="1388">
          <cell r="A1388" t="str">
            <v>53-7060</v>
          </cell>
          <cell r="B1388" t="str">
            <v>Laborers and Material Movers</v>
          </cell>
          <cell r="C1388">
            <v>6840530</v>
          </cell>
          <cell r="D1388">
            <v>0.2</v>
          </cell>
          <cell r="E1388">
            <v>36050</v>
          </cell>
          <cell r="F1388">
            <v>0.4</v>
          </cell>
          <cell r="G1388">
            <v>34880</v>
          </cell>
        </row>
        <row r="1389">
          <cell r="A1389" t="str">
            <v>53-7061</v>
          </cell>
          <cell r="B1389" t="str">
            <v>Cleaners of Vehicles and Equipment</v>
          </cell>
          <cell r="C1389">
            <v>359530</v>
          </cell>
          <cell r="D1389">
            <v>0.9</v>
          </cell>
          <cell r="E1389">
            <v>32730</v>
          </cell>
          <cell r="F1389">
            <v>0.4</v>
          </cell>
          <cell r="G1389">
            <v>31000</v>
          </cell>
        </row>
        <row r="1390">
          <cell r="A1390" t="str">
            <v>53-7062</v>
          </cell>
          <cell r="B1390" t="str">
            <v>Laborers and Freight, Stock, and Material Movers, Hand</v>
          </cell>
          <cell r="C1390">
            <v>2934050</v>
          </cell>
          <cell r="D1390">
            <v>0.4</v>
          </cell>
          <cell r="E1390">
            <v>37510</v>
          </cell>
          <cell r="F1390">
            <v>0.4</v>
          </cell>
          <cell r="G1390">
            <v>36110</v>
          </cell>
        </row>
        <row r="1391">
          <cell r="A1391" t="str">
            <v>53-7063</v>
          </cell>
          <cell r="B1391" t="str">
            <v>Machine Feeders and Offbearers</v>
          </cell>
          <cell r="C1391">
            <v>51010</v>
          </cell>
          <cell r="D1391">
            <v>1.9</v>
          </cell>
          <cell r="E1391">
            <v>39100</v>
          </cell>
          <cell r="F1391">
            <v>0.6</v>
          </cell>
          <cell r="G1391">
            <v>38040</v>
          </cell>
        </row>
        <row r="1392">
          <cell r="A1392" t="str">
            <v>53-7064</v>
          </cell>
          <cell r="B1392" t="str">
            <v>Packers and Packagers, Hand</v>
          </cell>
          <cell r="C1392">
            <v>653870</v>
          </cell>
          <cell r="D1392">
            <v>0.8</v>
          </cell>
          <cell r="E1392">
            <v>33310</v>
          </cell>
          <cell r="F1392">
            <v>0.4</v>
          </cell>
          <cell r="G1392">
            <v>32920</v>
          </cell>
        </row>
        <row r="1393">
          <cell r="A1393" t="str">
            <v>53-7065</v>
          </cell>
          <cell r="B1393" t="str">
            <v>Stockers and Order Fillers</v>
          </cell>
          <cell r="C1393">
            <v>2842060</v>
          </cell>
          <cell r="D1393">
            <v>0.3</v>
          </cell>
          <cell r="E1393">
            <v>35550</v>
          </cell>
          <cell r="F1393">
            <v>0.4</v>
          </cell>
          <cell r="G1393">
            <v>34220</v>
          </cell>
        </row>
        <row r="1394">
          <cell r="A1394" t="str">
            <v>53-7070</v>
          </cell>
          <cell r="B1394" t="str">
            <v>Pumping Station Operators</v>
          </cell>
          <cell r="C1394">
            <v>29160</v>
          </cell>
          <cell r="D1394">
            <v>4.3</v>
          </cell>
          <cell r="E1394">
            <v>62620</v>
          </cell>
          <cell r="F1394">
            <v>1.9</v>
          </cell>
          <cell r="G1394">
            <v>60180</v>
          </cell>
        </row>
        <row r="1395">
          <cell r="A1395" t="str">
            <v>53-7071</v>
          </cell>
          <cell r="B1395" t="str">
            <v>Gas Compressor and Gas Pumping Station Operators</v>
          </cell>
          <cell r="C1395">
            <v>3740</v>
          </cell>
          <cell r="D1395">
            <v>6.6</v>
          </cell>
          <cell r="E1395">
            <v>61500</v>
          </cell>
          <cell r="F1395">
            <v>1.8</v>
          </cell>
          <cell r="G1395">
            <v>59990</v>
          </cell>
        </row>
        <row r="1396">
          <cell r="A1396" t="str">
            <v>53-7072</v>
          </cell>
          <cell r="B1396" t="str">
            <v>Pump Operators, Except Wellhead Pumpers</v>
          </cell>
          <cell r="C1396">
            <v>10870</v>
          </cell>
          <cell r="D1396">
            <v>6.5</v>
          </cell>
          <cell r="E1396">
            <v>59150</v>
          </cell>
          <cell r="F1396">
            <v>2</v>
          </cell>
          <cell r="G1396">
            <v>55860</v>
          </cell>
        </row>
        <row r="1397">
          <cell r="A1397" t="str">
            <v>53-7073</v>
          </cell>
          <cell r="B1397" t="str">
            <v>Wellhead Pumpers</v>
          </cell>
          <cell r="C1397">
            <v>14550</v>
          </cell>
          <cell r="D1397">
            <v>6.2</v>
          </cell>
          <cell r="E1397">
            <v>65510</v>
          </cell>
          <cell r="F1397">
            <v>2.7</v>
          </cell>
          <cell r="G1397">
            <v>63280</v>
          </cell>
        </row>
        <row r="1398">
          <cell r="A1398" t="str">
            <v>53-7080</v>
          </cell>
          <cell r="B1398" t="str">
            <v>Refuse and Recyclable Material Collectors</v>
          </cell>
          <cell r="C1398">
            <v>132240</v>
          </cell>
          <cell r="D1398">
            <v>1.3</v>
          </cell>
          <cell r="E1398">
            <v>45560</v>
          </cell>
          <cell r="F1398">
            <v>0.6</v>
          </cell>
          <cell r="G1398">
            <v>43540</v>
          </cell>
        </row>
        <row r="1399">
          <cell r="A1399" t="str">
            <v>53-7081</v>
          </cell>
          <cell r="B1399" t="str">
            <v>Refuse and Recyclable Material Collectors</v>
          </cell>
          <cell r="C1399">
            <v>132240</v>
          </cell>
          <cell r="D1399">
            <v>1.3</v>
          </cell>
          <cell r="E1399">
            <v>45560</v>
          </cell>
          <cell r="F1399">
            <v>0.6</v>
          </cell>
          <cell r="G1399">
            <v>43540</v>
          </cell>
        </row>
        <row r="1400">
          <cell r="A1400" t="str">
            <v>53-7120</v>
          </cell>
          <cell r="B1400" t="str">
            <v>Tank Car, Truck, and Ship Loaders</v>
          </cell>
          <cell r="C1400">
            <v>12470</v>
          </cell>
          <cell r="D1400">
            <v>5.6</v>
          </cell>
          <cell r="E1400">
            <v>58680</v>
          </cell>
          <cell r="F1400">
            <v>2.2999999999999998</v>
          </cell>
          <cell r="G1400">
            <v>53930</v>
          </cell>
        </row>
        <row r="1401">
          <cell r="A1401" t="str">
            <v>53-7121</v>
          </cell>
          <cell r="B1401" t="str">
            <v>Tank Car, Truck, and Ship Loaders</v>
          </cell>
          <cell r="C1401">
            <v>12470</v>
          </cell>
          <cell r="D1401">
            <v>5.6</v>
          </cell>
          <cell r="E1401">
            <v>58680</v>
          </cell>
          <cell r="F1401">
            <v>2.2999999999999998</v>
          </cell>
          <cell r="G1401">
            <v>53930</v>
          </cell>
        </row>
        <row r="1402">
          <cell r="A1402" t="str">
            <v>53-7190</v>
          </cell>
          <cell r="B1402" t="str">
            <v>Miscellaneous Material Moving Workers</v>
          </cell>
          <cell r="C1402">
            <v>24880</v>
          </cell>
          <cell r="D1402">
            <v>2.9</v>
          </cell>
          <cell r="E1402">
            <v>43290</v>
          </cell>
          <cell r="F1402">
            <v>1</v>
          </cell>
          <cell r="G1402">
            <v>38800</v>
          </cell>
        </row>
        <row r="1403">
          <cell r="A1403" t="str">
            <v>53-7199</v>
          </cell>
          <cell r="B1403" t="str">
            <v>Material Moving Workers, All Other</v>
          </cell>
          <cell r="C1403">
            <v>24880</v>
          </cell>
          <cell r="D1403">
            <v>2.9</v>
          </cell>
          <cell r="E1403">
            <v>43290</v>
          </cell>
          <cell r="F1403">
            <v>1</v>
          </cell>
          <cell r="G1403">
            <v>38800</v>
          </cell>
        </row>
      </sheetData>
      <sheetData sheetId="2">
        <row r="1">
          <cell r="A1" t="str">
            <v>OCC_CODE</v>
          </cell>
          <cell r="B1" t="str">
            <v>OCC_TITLE</v>
          </cell>
          <cell r="C1" t="str">
            <v>TOT_EMP</v>
          </cell>
          <cell r="D1" t="str">
            <v>EMP_PRSE</v>
          </cell>
          <cell r="E1" t="str">
            <v>A_MEAN</v>
          </cell>
          <cell r="F1" t="str">
            <v>MEAN_PRSE</v>
          </cell>
          <cell r="G1" t="str">
            <v>A_MEDIAN</v>
          </cell>
        </row>
        <row r="2">
          <cell r="A2" t="str">
            <v>00-0000</v>
          </cell>
          <cell r="B2" t="str">
            <v>All Occupations</v>
          </cell>
          <cell r="C2">
            <v>151853870</v>
          </cell>
          <cell r="D2">
            <v>0</v>
          </cell>
          <cell r="E2">
            <v>65470</v>
          </cell>
          <cell r="F2">
            <v>0.3</v>
          </cell>
          <cell r="G2">
            <v>48060</v>
          </cell>
        </row>
        <row r="3">
          <cell r="A3" t="str">
            <v>11-0000</v>
          </cell>
          <cell r="B3" t="str">
            <v>Management Occupations</v>
          </cell>
          <cell r="C3">
            <v>10495770</v>
          </cell>
          <cell r="D3">
            <v>0.4</v>
          </cell>
          <cell r="E3">
            <v>137750</v>
          </cell>
          <cell r="F3">
            <v>0.5</v>
          </cell>
          <cell r="G3">
            <v>116880</v>
          </cell>
        </row>
        <row r="4">
          <cell r="A4" t="str">
            <v>11-1000</v>
          </cell>
          <cell r="B4" t="str">
            <v>Top Executives</v>
          </cell>
          <cell r="C4">
            <v>3751510</v>
          </cell>
          <cell r="D4">
            <v>0.4</v>
          </cell>
          <cell r="E4">
            <v>136100</v>
          </cell>
          <cell r="F4">
            <v>0.9</v>
          </cell>
          <cell r="G4">
            <v>103460</v>
          </cell>
        </row>
        <row r="5">
          <cell r="A5" t="str">
            <v>11-1010</v>
          </cell>
          <cell r="B5" t="str">
            <v>Chief Executives</v>
          </cell>
          <cell r="C5">
            <v>211230</v>
          </cell>
          <cell r="D5">
            <v>1.4</v>
          </cell>
          <cell r="E5">
            <v>258900</v>
          </cell>
          <cell r="F5">
            <v>0.7</v>
          </cell>
          <cell r="G5">
            <v>206680</v>
          </cell>
        </row>
        <row r="6">
          <cell r="A6" t="str">
            <v>11-1011</v>
          </cell>
          <cell r="B6" t="str">
            <v>Chief Executives</v>
          </cell>
          <cell r="C6">
            <v>211230</v>
          </cell>
          <cell r="D6">
            <v>1.4</v>
          </cell>
          <cell r="E6">
            <v>258900</v>
          </cell>
          <cell r="F6">
            <v>0.7</v>
          </cell>
          <cell r="G6">
            <v>206680</v>
          </cell>
        </row>
        <row r="7">
          <cell r="A7" t="str">
            <v>11-1020</v>
          </cell>
          <cell r="B7" t="str">
            <v>General and Operations Managers</v>
          </cell>
          <cell r="C7">
            <v>3507810</v>
          </cell>
          <cell r="D7">
            <v>0.4</v>
          </cell>
          <cell r="E7">
            <v>129330</v>
          </cell>
          <cell r="F7">
            <v>0.9</v>
          </cell>
          <cell r="G7">
            <v>101280</v>
          </cell>
        </row>
        <row r="8">
          <cell r="A8" t="str">
            <v>11-1021</v>
          </cell>
          <cell r="B8" t="str">
            <v>General and Operations Managers</v>
          </cell>
          <cell r="C8">
            <v>3507810</v>
          </cell>
          <cell r="D8">
            <v>0.4</v>
          </cell>
          <cell r="E8">
            <v>129330</v>
          </cell>
          <cell r="F8">
            <v>0.9</v>
          </cell>
          <cell r="G8">
            <v>101280</v>
          </cell>
        </row>
        <row r="9">
          <cell r="A9" t="str">
            <v>11-1030</v>
          </cell>
          <cell r="B9" t="str">
            <v>Legislators</v>
          </cell>
          <cell r="C9">
            <v>32460</v>
          </cell>
          <cell r="D9">
            <v>1.7</v>
          </cell>
          <cell r="E9">
            <v>68140</v>
          </cell>
          <cell r="F9">
            <v>1.3</v>
          </cell>
          <cell r="G9">
            <v>47290</v>
          </cell>
        </row>
        <row r="10">
          <cell r="A10" t="str">
            <v>11-1031</v>
          </cell>
          <cell r="B10" t="str">
            <v>Legislators</v>
          </cell>
          <cell r="C10">
            <v>32460</v>
          </cell>
          <cell r="D10">
            <v>1.7</v>
          </cell>
          <cell r="E10">
            <v>68140</v>
          </cell>
          <cell r="F10">
            <v>1.3</v>
          </cell>
          <cell r="G10">
            <v>47290</v>
          </cell>
        </row>
        <row r="11">
          <cell r="A11" t="str">
            <v>11-2000</v>
          </cell>
          <cell r="B11" t="str">
            <v>Advertising, Marketing, Promotions, Public Relations, and Sales Managers</v>
          </cell>
          <cell r="C11">
            <v>1070030</v>
          </cell>
          <cell r="D11">
            <v>1.5</v>
          </cell>
          <cell r="E11">
            <v>159960</v>
          </cell>
          <cell r="F11">
            <v>0.3</v>
          </cell>
          <cell r="G11">
            <v>139850</v>
          </cell>
        </row>
        <row r="12">
          <cell r="A12" t="str">
            <v>11-2010</v>
          </cell>
          <cell r="B12" t="str">
            <v>Advertising and Promotions Managers</v>
          </cell>
          <cell r="C12">
            <v>20630</v>
          </cell>
          <cell r="D12">
            <v>2.9</v>
          </cell>
          <cell r="E12">
            <v>152620</v>
          </cell>
          <cell r="F12">
            <v>2.7</v>
          </cell>
          <cell r="G12">
            <v>131870</v>
          </cell>
        </row>
        <row r="13">
          <cell r="A13" t="str">
            <v>11-2011</v>
          </cell>
          <cell r="B13" t="str">
            <v>Advertising and Promotions Managers</v>
          </cell>
          <cell r="C13">
            <v>20630</v>
          </cell>
          <cell r="D13">
            <v>2.9</v>
          </cell>
          <cell r="E13">
            <v>152620</v>
          </cell>
          <cell r="F13">
            <v>2.7</v>
          </cell>
          <cell r="G13">
            <v>131870</v>
          </cell>
        </row>
        <row r="14">
          <cell r="A14" t="str">
            <v>11-2020</v>
          </cell>
          <cell r="B14" t="str">
            <v>Marketing and Sales Managers</v>
          </cell>
          <cell r="C14">
            <v>944820</v>
          </cell>
          <cell r="D14">
            <v>1.5</v>
          </cell>
          <cell r="E14">
            <v>161040</v>
          </cell>
          <cell r="F14">
            <v>0.3</v>
          </cell>
          <cell r="G14">
            <v>141780</v>
          </cell>
        </row>
        <row r="15">
          <cell r="A15" t="str">
            <v>11-2021</v>
          </cell>
          <cell r="B15" t="str">
            <v>Marketing Managers</v>
          </cell>
          <cell r="C15">
            <v>368940</v>
          </cell>
          <cell r="D15">
            <v>1.8</v>
          </cell>
          <cell r="E15">
            <v>166410</v>
          </cell>
          <cell r="F15">
            <v>0.3</v>
          </cell>
          <cell r="G15">
            <v>157620</v>
          </cell>
        </row>
        <row r="16">
          <cell r="A16" t="str">
            <v>11-2022</v>
          </cell>
          <cell r="B16" t="str">
            <v>Sales Managers</v>
          </cell>
          <cell r="C16">
            <v>575880</v>
          </cell>
          <cell r="D16">
            <v>1.3</v>
          </cell>
          <cell r="E16">
            <v>157610</v>
          </cell>
          <cell r="F16">
            <v>0.3</v>
          </cell>
          <cell r="G16">
            <v>135160</v>
          </cell>
        </row>
        <row r="17">
          <cell r="A17" t="str">
            <v>11-2030</v>
          </cell>
          <cell r="B17" t="str">
            <v>Public Relations and Fundraising Managers</v>
          </cell>
          <cell r="C17">
            <v>104570</v>
          </cell>
          <cell r="D17">
            <v>2.7</v>
          </cell>
          <cell r="E17">
            <v>151570</v>
          </cell>
          <cell r="F17">
            <v>0.9</v>
          </cell>
          <cell r="G17">
            <v>130480</v>
          </cell>
        </row>
        <row r="18">
          <cell r="A18" t="str">
            <v>11-2032</v>
          </cell>
          <cell r="B18" t="str">
            <v>Public Relations Managers</v>
          </cell>
          <cell r="C18">
            <v>72760</v>
          </cell>
          <cell r="D18">
            <v>3.2</v>
          </cell>
          <cell r="E18">
            <v>159420</v>
          </cell>
          <cell r="F18">
            <v>1</v>
          </cell>
          <cell r="G18">
            <v>134760</v>
          </cell>
        </row>
        <row r="19">
          <cell r="A19" t="str">
            <v>11-2033</v>
          </cell>
          <cell r="B19" t="str">
            <v>Fundraising Managers</v>
          </cell>
          <cell r="C19">
            <v>31810</v>
          </cell>
          <cell r="D19">
            <v>1.9</v>
          </cell>
          <cell r="E19">
            <v>133620</v>
          </cell>
          <cell r="F19">
            <v>0.9</v>
          </cell>
          <cell r="G19">
            <v>119200</v>
          </cell>
        </row>
        <row r="20">
          <cell r="A20" t="str">
            <v>11-3000</v>
          </cell>
          <cell r="B20" t="str">
            <v>Operations Specialties Managers</v>
          </cell>
          <cell r="C20">
            <v>2513900</v>
          </cell>
          <cell r="D20">
            <v>0.6</v>
          </cell>
          <cell r="E20">
            <v>155150</v>
          </cell>
          <cell r="F20">
            <v>0.3</v>
          </cell>
          <cell r="G20">
            <v>136170</v>
          </cell>
        </row>
        <row r="21">
          <cell r="A21" t="str">
            <v>11-3010</v>
          </cell>
          <cell r="B21" t="str">
            <v>Administrative Services and Facilities Managers</v>
          </cell>
          <cell r="C21">
            <v>373920</v>
          </cell>
          <cell r="D21">
            <v>1.2</v>
          </cell>
          <cell r="E21">
            <v>117650</v>
          </cell>
          <cell r="F21">
            <v>0.3</v>
          </cell>
          <cell r="G21">
            <v>104900</v>
          </cell>
        </row>
        <row r="22">
          <cell r="A22" t="str">
            <v>11-3012</v>
          </cell>
          <cell r="B22" t="str">
            <v>Administrative Services Managers</v>
          </cell>
          <cell r="C22">
            <v>242520</v>
          </cell>
          <cell r="D22">
            <v>1.3</v>
          </cell>
          <cell r="E22">
            <v>121200</v>
          </cell>
          <cell r="F22">
            <v>0.4</v>
          </cell>
          <cell r="G22">
            <v>106470</v>
          </cell>
        </row>
        <row r="23">
          <cell r="A23" t="str">
            <v>11-3013</v>
          </cell>
          <cell r="B23" t="str">
            <v>Facilities Managers</v>
          </cell>
          <cell r="C23">
            <v>131400</v>
          </cell>
          <cell r="D23">
            <v>1.2</v>
          </cell>
          <cell r="E23">
            <v>111110</v>
          </cell>
          <cell r="F23">
            <v>0.4</v>
          </cell>
          <cell r="G23">
            <v>102340</v>
          </cell>
        </row>
        <row r="24">
          <cell r="A24" t="str">
            <v>11-3020</v>
          </cell>
          <cell r="B24" t="str">
            <v>Computer and Information Systems Managers</v>
          </cell>
          <cell r="C24">
            <v>592600</v>
          </cell>
          <cell r="D24">
            <v>0.5</v>
          </cell>
          <cell r="E24">
            <v>180720</v>
          </cell>
          <cell r="F24">
            <v>0.3</v>
          </cell>
          <cell r="G24">
            <v>169510</v>
          </cell>
        </row>
        <row r="25">
          <cell r="A25" t="str">
            <v>11-3021</v>
          </cell>
          <cell r="B25" t="str">
            <v>Computer and Information Systems Managers</v>
          </cell>
          <cell r="C25">
            <v>592600</v>
          </cell>
          <cell r="D25">
            <v>0.5</v>
          </cell>
          <cell r="E25">
            <v>180720</v>
          </cell>
          <cell r="F25">
            <v>0.3</v>
          </cell>
          <cell r="G25">
            <v>169510</v>
          </cell>
        </row>
        <row r="26">
          <cell r="A26" t="str">
            <v>11-3030</v>
          </cell>
          <cell r="B26" t="str">
            <v>Financial Managers</v>
          </cell>
          <cell r="C26">
            <v>787340</v>
          </cell>
          <cell r="D26">
            <v>1</v>
          </cell>
          <cell r="E26">
            <v>174820</v>
          </cell>
          <cell r="F26">
            <v>0.5</v>
          </cell>
          <cell r="G26">
            <v>156100</v>
          </cell>
        </row>
        <row r="27">
          <cell r="A27" t="str">
            <v>11-3031</v>
          </cell>
          <cell r="B27" t="str">
            <v>Financial Managers</v>
          </cell>
          <cell r="C27">
            <v>787340</v>
          </cell>
          <cell r="D27">
            <v>1</v>
          </cell>
          <cell r="E27">
            <v>174820</v>
          </cell>
          <cell r="F27">
            <v>0.5</v>
          </cell>
          <cell r="G27">
            <v>156100</v>
          </cell>
        </row>
        <row r="28">
          <cell r="A28" t="str">
            <v>11-3050</v>
          </cell>
          <cell r="B28" t="str">
            <v>Industrial Production Managers</v>
          </cell>
          <cell r="C28">
            <v>222890</v>
          </cell>
          <cell r="D28">
            <v>0.7</v>
          </cell>
          <cell r="E28">
            <v>125900</v>
          </cell>
          <cell r="F28">
            <v>0.3</v>
          </cell>
          <cell r="G28">
            <v>116970</v>
          </cell>
        </row>
        <row r="29">
          <cell r="A29" t="str">
            <v>11-3051</v>
          </cell>
          <cell r="B29" t="str">
            <v>Industrial Production Managers</v>
          </cell>
          <cell r="C29">
            <v>222890</v>
          </cell>
          <cell r="D29">
            <v>0.7</v>
          </cell>
          <cell r="E29">
            <v>125900</v>
          </cell>
          <cell r="F29">
            <v>0.3</v>
          </cell>
          <cell r="G29">
            <v>116970</v>
          </cell>
        </row>
        <row r="30">
          <cell r="A30" t="str">
            <v>11-3060</v>
          </cell>
          <cell r="B30" t="str">
            <v>Purchasing Managers</v>
          </cell>
          <cell r="C30">
            <v>77530</v>
          </cell>
          <cell r="D30">
            <v>1.2</v>
          </cell>
          <cell r="E30">
            <v>146710</v>
          </cell>
          <cell r="F30">
            <v>0.4</v>
          </cell>
          <cell r="G30">
            <v>136380</v>
          </cell>
        </row>
        <row r="31">
          <cell r="A31" t="str">
            <v>11-3061</v>
          </cell>
          <cell r="B31" t="str">
            <v>Purchasing Managers</v>
          </cell>
          <cell r="C31">
            <v>77530</v>
          </cell>
          <cell r="D31">
            <v>1.2</v>
          </cell>
          <cell r="E31">
            <v>146710</v>
          </cell>
          <cell r="F31">
            <v>0.4</v>
          </cell>
          <cell r="G31">
            <v>136380</v>
          </cell>
        </row>
        <row r="32">
          <cell r="A32" t="str">
            <v>11-3070</v>
          </cell>
          <cell r="B32" t="str">
            <v>Transportation, Storage, and Distribution Managers</v>
          </cell>
          <cell r="C32">
            <v>198780</v>
          </cell>
          <cell r="D32">
            <v>0.7</v>
          </cell>
          <cell r="E32">
            <v>111870</v>
          </cell>
          <cell r="F32">
            <v>0.3</v>
          </cell>
          <cell r="G32">
            <v>99200</v>
          </cell>
        </row>
        <row r="33">
          <cell r="A33" t="str">
            <v>11-3071</v>
          </cell>
          <cell r="B33" t="str">
            <v>Transportation, Storage, and Distribution Managers</v>
          </cell>
          <cell r="C33">
            <v>198780</v>
          </cell>
          <cell r="D33">
            <v>0.7</v>
          </cell>
          <cell r="E33">
            <v>111870</v>
          </cell>
          <cell r="F33">
            <v>0.3</v>
          </cell>
          <cell r="G33">
            <v>99200</v>
          </cell>
        </row>
        <row r="34">
          <cell r="A34" t="str">
            <v>11-3110</v>
          </cell>
          <cell r="B34" t="str">
            <v>Compensation and Benefits Managers</v>
          </cell>
          <cell r="C34">
            <v>18690</v>
          </cell>
          <cell r="D34">
            <v>2.6</v>
          </cell>
          <cell r="E34">
            <v>150940</v>
          </cell>
          <cell r="F34">
            <v>1.2</v>
          </cell>
          <cell r="G34">
            <v>136380</v>
          </cell>
        </row>
        <row r="35">
          <cell r="A35" t="str">
            <v>11-3111</v>
          </cell>
          <cell r="B35" t="str">
            <v>Compensation and Benefits Managers</v>
          </cell>
          <cell r="C35">
            <v>18690</v>
          </cell>
          <cell r="D35">
            <v>2.6</v>
          </cell>
          <cell r="E35">
            <v>150940</v>
          </cell>
          <cell r="F35">
            <v>1.2</v>
          </cell>
          <cell r="G35">
            <v>136380</v>
          </cell>
        </row>
        <row r="36">
          <cell r="A36" t="str">
            <v>11-3120</v>
          </cell>
          <cell r="B36" t="str">
            <v>Human Resources Managers</v>
          </cell>
          <cell r="C36">
            <v>200600</v>
          </cell>
          <cell r="D36">
            <v>1.3</v>
          </cell>
          <cell r="E36">
            <v>154740</v>
          </cell>
          <cell r="F36">
            <v>0.4</v>
          </cell>
          <cell r="G36">
            <v>136350</v>
          </cell>
        </row>
        <row r="37">
          <cell r="A37" t="str">
            <v>11-3121</v>
          </cell>
          <cell r="B37" t="str">
            <v>Human Resources Managers</v>
          </cell>
          <cell r="C37">
            <v>200600</v>
          </cell>
          <cell r="D37">
            <v>1.3</v>
          </cell>
          <cell r="E37">
            <v>154740</v>
          </cell>
          <cell r="F37">
            <v>0.4</v>
          </cell>
          <cell r="G37">
            <v>136350</v>
          </cell>
        </row>
        <row r="38">
          <cell r="A38" t="str">
            <v>11-3130</v>
          </cell>
          <cell r="B38" t="str">
            <v>Training and Development Managers</v>
          </cell>
          <cell r="C38">
            <v>41540</v>
          </cell>
          <cell r="D38">
            <v>2.4</v>
          </cell>
          <cell r="E38">
            <v>138450</v>
          </cell>
          <cell r="F38">
            <v>0.4</v>
          </cell>
          <cell r="G38">
            <v>125040</v>
          </cell>
        </row>
        <row r="39">
          <cell r="A39" t="str">
            <v>11-3131</v>
          </cell>
          <cell r="B39" t="str">
            <v>Training and Development Managers</v>
          </cell>
          <cell r="C39">
            <v>41540</v>
          </cell>
          <cell r="D39">
            <v>2.4</v>
          </cell>
          <cell r="E39">
            <v>138450</v>
          </cell>
          <cell r="F39">
            <v>0.4</v>
          </cell>
          <cell r="G39">
            <v>125040</v>
          </cell>
        </row>
        <row r="40">
          <cell r="A40" t="str">
            <v>11-9000</v>
          </cell>
          <cell r="B40" t="str">
            <v>Other Management Occupations</v>
          </cell>
          <cell r="C40">
            <v>3160340</v>
          </cell>
          <cell r="D40">
            <v>0.8</v>
          </cell>
          <cell r="E40">
            <v>118370</v>
          </cell>
          <cell r="F40">
            <v>0.4</v>
          </cell>
          <cell r="G40">
            <v>102510</v>
          </cell>
        </row>
        <row r="41">
          <cell r="A41" t="str">
            <v>11-9010</v>
          </cell>
          <cell r="B41" t="str">
            <v>Farmers, Ranchers, and Other Agricultural Managers</v>
          </cell>
          <cell r="C41">
            <v>6150</v>
          </cell>
          <cell r="D41">
            <v>4.7</v>
          </cell>
          <cell r="E41">
            <v>90160</v>
          </cell>
          <cell r="F41">
            <v>1.4</v>
          </cell>
          <cell r="G41">
            <v>83770</v>
          </cell>
        </row>
        <row r="42">
          <cell r="A42" t="str">
            <v>11-9013</v>
          </cell>
          <cell r="B42" t="str">
            <v>Farmers, Ranchers, and Other Agricultural Managers</v>
          </cell>
          <cell r="C42">
            <v>6150</v>
          </cell>
          <cell r="D42">
            <v>4.7</v>
          </cell>
          <cell r="E42">
            <v>90160</v>
          </cell>
          <cell r="F42">
            <v>1.4</v>
          </cell>
          <cell r="G42">
            <v>83770</v>
          </cell>
        </row>
        <row r="43">
          <cell r="A43" t="str">
            <v>11-9020</v>
          </cell>
          <cell r="B43" t="str">
            <v>Construction Managers</v>
          </cell>
          <cell r="C43">
            <v>329190</v>
          </cell>
          <cell r="D43">
            <v>2.9</v>
          </cell>
          <cell r="E43">
            <v>116960</v>
          </cell>
          <cell r="F43">
            <v>0.5</v>
          </cell>
          <cell r="G43">
            <v>104900</v>
          </cell>
        </row>
        <row r="44">
          <cell r="A44" t="str">
            <v>11-9021</v>
          </cell>
          <cell r="B44" t="str">
            <v>Construction Managers</v>
          </cell>
          <cell r="C44">
            <v>329190</v>
          </cell>
          <cell r="D44">
            <v>2.9</v>
          </cell>
          <cell r="E44">
            <v>116960</v>
          </cell>
          <cell r="F44">
            <v>0.5</v>
          </cell>
          <cell r="G44">
            <v>104900</v>
          </cell>
        </row>
        <row r="45">
          <cell r="A45" t="str">
            <v>11-9030</v>
          </cell>
          <cell r="B45" t="str">
            <v>Education and Childcare Administrators</v>
          </cell>
          <cell r="C45">
            <v>584630</v>
          </cell>
          <cell r="D45">
            <v>0.4</v>
          </cell>
          <cell r="E45">
            <v>107830</v>
          </cell>
          <cell r="F45">
            <v>0.3</v>
          </cell>
          <cell r="G45">
            <v>99940</v>
          </cell>
        </row>
        <row r="46">
          <cell r="A46" t="str">
            <v>11-9031</v>
          </cell>
          <cell r="B46" t="str">
            <v>Education and Childcare Administrators, Preschool and Daycare</v>
          </cell>
          <cell r="C46">
            <v>64090</v>
          </cell>
          <cell r="D46">
            <v>1.7</v>
          </cell>
          <cell r="E46">
            <v>61320</v>
          </cell>
          <cell r="F46">
            <v>1.1000000000000001</v>
          </cell>
          <cell r="G46">
            <v>54290</v>
          </cell>
        </row>
        <row r="47">
          <cell r="A47" t="str">
            <v>11-9032</v>
          </cell>
          <cell r="B47" t="str">
            <v>Education Administrators, Kindergarten through Secondary</v>
          </cell>
          <cell r="C47">
            <v>302580</v>
          </cell>
          <cell r="D47">
            <v>0.6</v>
          </cell>
          <cell r="E47">
            <v>111020</v>
          </cell>
          <cell r="F47">
            <v>0.3</v>
          </cell>
          <cell r="G47">
            <v>103460</v>
          </cell>
        </row>
        <row r="48">
          <cell r="A48" t="str">
            <v>11-9033</v>
          </cell>
          <cell r="B48" t="str">
            <v>Education Administrators, Postsecondary</v>
          </cell>
          <cell r="C48">
            <v>167270</v>
          </cell>
          <cell r="D48">
            <v>0.3</v>
          </cell>
          <cell r="E48">
            <v>122010</v>
          </cell>
          <cell r="F48">
            <v>0.3</v>
          </cell>
          <cell r="G48">
            <v>102610</v>
          </cell>
        </row>
        <row r="49">
          <cell r="A49" t="str">
            <v>11-9039</v>
          </cell>
          <cell r="B49" t="str">
            <v>Education Administrators, All Other</v>
          </cell>
          <cell r="C49">
            <v>50690</v>
          </cell>
          <cell r="D49">
            <v>1.3</v>
          </cell>
          <cell r="E49">
            <v>100720</v>
          </cell>
          <cell r="F49">
            <v>0.7</v>
          </cell>
          <cell r="G49">
            <v>88460</v>
          </cell>
        </row>
        <row r="50">
          <cell r="A50" t="str">
            <v>11-9040</v>
          </cell>
          <cell r="B50" t="str">
            <v>Architectural and Engineering Managers</v>
          </cell>
          <cell r="C50">
            <v>207800</v>
          </cell>
          <cell r="D50">
            <v>2.1</v>
          </cell>
          <cell r="E50">
            <v>172290</v>
          </cell>
          <cell r="F50">
            <v>0.5</v>
          </cell>
          <cell r="G50">
            <v>165370</v>
          </cell>
        </row>
        <row r="51">
          <cell r="A51" t="str">
            <v>11-9041</v>
          </cell>
          <cell r="B51" t="str">
            <v>Architectural and Engineering Managers</v>
          </cell>
          <cell r="C51">
            <v>207800</v>
          </cell>
          <cell r="D51">
            <v>2.1</v>
          </cell>
          <cell r="E51">
            <v>172290</v>
          </cell>
          <cell r="F51">
            <v>0.5</v>
          </cell>
          <cell r="G51">
            <v>165370</v>
          </cell>
        </row>
        <row r="52">
          <cell r="A52" t="str">
            <v>11-9050</v>
          </cell>
          <cell r="B52" t="str">
            <v>Food Service Managers</v>
          </cell>
          <cell r="C52">
            <v>246070</v>
          </cell>
          <cell r="D52">
            <v>2.1</v>
          </cell>
          <cell r="E52">
            <v>69580</v>
          </cell>
          <cell r="F52">
            <v>0.8</v>
          </cell>
          <cell r="G52">
            <v>63060</v>
          </cell>
        </row>
        <row r="53">
          <cell r="A53" t="str">
            <v>11-9051</v>
          </cell>
          <cell r="B53" t="str">
            <v>Food Service Managers</v>
          </cell>
          <cell r="C53">
            <v>246070</v>
          </cell>
          <cell r="D53">
            <v>2.1</v>
          </cell>
          <cell r="E53">
            <v>69580</v>
          </cell>
          <cell r="F53">
            <v>0.8</v>
          </cell>
          <cell r="G53">
            <v>63060</v>
          </cell>
        </row>
        <row r="54">
          <cell r="A54" t="str">
            <v>11-9070</v>
          </cell>
          <cell r="B54" t="str">
            <v>Entertainment and Recreation Managers</v>
          </cell>
          <cell r="C54">
            <v>34290</v>
          </cell>
          <cell r="D54">
            <v>1.9</v>
          </cell>
          <cell r="E54">
            <v>85980</v>
          </cell>
          <cell r="F54">
            <v>1.1000000000000001</v>
          </cell>
          <cell r="G54">
            <v>75210</v>
          </cell>
        </row>
        <row r="55">
          <cell r="A55" t="str">
            <v>11-9071</v>
          </cell>
          <cell r="B55" t="str">
            <v>Gambling Managers</v>
          </cell>
          <cell r="C55">
            <v>4590</v>
          </cell>
          <cell r="D55">
            <v>1.6</v>
          </cell>
          <cell r="E55">
            <v>98270</v>
          </cell>
          <cell r="F55">
            <v>1.1000000000000001</v>
          </cell>
          <cell r="G55">
            <v>82380</v>
          </cell>
        </row>
        <row r="56">
          <cell r="A56" t="str">
            <v>11-9072</v>
          </cell>
          <cell r="B56" t="str">
            <v>Entertainment and Recreation Managers, Except Gambling</v>
          </cell>
          <cell r="C56">
            <v>29690</v>
          </cell>
          <cell r="D56">
            <v>2.1</v>
          </cell>
          <cell r="E56">
            <v>84080</v>
          </cell>
          <cell r="F56">
            <v>1.2</v>
          </cell>
          <cell r="G56">
            <v>73460</v>
          </cell>
        </row>
        <row r="57">
          <cell r="A57" t="str">
            <v>11-9080</v>
          </cell>
          <cell r="B57" t="str">
            <v>Lodging Managers</v>
          </cell>
          <cell r="C57">
            <v>41980</v>
          </cell>
          <cell r="D57">
            <v>1.7</v>
          </cell>
          <cell r="E57">
            <v>76790</v>
          </cell>
          <cell r="F57">
            <v>1.1000000000000001</v>
          </cell>
          <cell r="G57">
            <v>65360</v>
          </cell>
        </row>
        <row r="58">
          <cell r="A58" t="str">
            <v>11-9081</v>
          </cell>
          <cell r="B58" t="str">
            <v>Lodging Managers</v>
          </cell>
          <cell r="C58">
            <v>41980</v>
          </cell>
          <cell r="D58">
            <v>1.7</v>
          </cell>
          <cell r="E58">
            <v>76790</v>
          </cell>
          <cell r="F58">
            <v>1.1000000000000001</v>
          </cell>
          <cell r="G58">
            <v>65360</v>
          </cell>
        </row>
        <row r="59">
          <cell r="A59" t="str">
            <v>11-9110</v>
          </cell>
          <cell r="B59" t="str">
            <v>Medical and Health Services Managers</v>
          </cell>
          <cell r="C59">
            <v>515100</v>
          </cell>
          <cell r="D59">
            <v>0.6</v>
          </cell>
          <cell r="E59">
            <v>134440</v>
          </cell>
          <cell r="F59">
            <v>0.5</v>
          </cell>
          <cell r="G59">
            <v>110680</v>
          </cell>
        </row>
        <row r="60">
          <cell r="A60" t="str">
            <v>11-9111</v>
          </cell>
          <cell r="B60" t="str">
            <v>Medical and Health Services Managers</v>
          </cell>
          <cell r="C60">
            <v>515100</v>
          </cell>
          <cell r="D60">
            <v>0.6</v>
          </cell>
          <cell r="E60">
            <v>134440</v>
          </cell>
          <cell r="F60">
            <v>0.5</v>
          </cell>
          <cell r="G60">
            <v>110680</v>
          </cell>
        </row>
        <row r="61">
          <cell r="A61" t="str">
            <v>11-9120</v>
          </cell>
          <cell r="B61" t="str">
            <v>Natural Sciences Managers</v>
          </cell>
          <cell r="C61">
            <v>96520</v>
          </cell>
          <cell r="D61">
            <v>1.5</v>
          </cell>
          <cell r="E61">
            <v>169120</v>
          </cell>
          <cell r="F61">
            <v>1.1000000000000001</v>
          </cell>
          <cell r="G61">
            <v>157740</v>
          </cell>
        </row>
        <row r="62">
          <cell r="A62" t="str">
            <v>11-9121</v>
          </cell>
          <cell r="B62" t="str">
            <v>Natural Sciences Managers</v>
          </cell>
          <cell r="C62">
            <v>96520</v>
          </cell>
          <cell r="D62">
            <v>1.5</v>
          </cell>
          <cell r="E62">
            <v>169120</v>
          </cell>
          <cell r="F62">
            <v>1.1000000000000001</v>
          </cell>
          <cell r="G62">
            <v>157740</v>
          </cell>
        </row>
        <row r="63">
          <cell r="A63" t="str">
            <v>11-9130</v>
          </cell>
          <cell r="B63" t="str">
            <v>Postmasters and Mail Superintendents</v>
          </cell>
          <cell r="C63">
            <v>13810</v>
          </cell>
          <cell r="D63">
            <v>0</v>
          </cell>
          <cell r="E63">
            <v>89770</v>
          </cell>
          <cell r="F63">
            <v>0</v>
          </cell>
          <cell r="G63">
            <v>88670</v>
          </cell>
        </row>
        <row r="64">
          <cell r="A64" t="str">
            <v>11-9131</v>
          </cell>
          <cell r="B64" t="str">
            <v>Postmasters and Mail Superintendents</v>
          </cell>
          <cell r="C64">
            <v>13810</v>
          </cell>
          <cell r="D64">
            <v>0</v>
          </cell>
          <cell r="E64">
            <v>89770</v>
          </cell>
          <cell r="F64">
            <v>0</v>
          </cell>
          <cell r="G64">
            <v>88670</v>
          </cell>
        </row>
        <row r="65">
          <cell r="A65" t="str">
            <v>11-9140</v>
          </cell>
          <cell r="B65" t="str">
            <v>Property, Real Estate, and Community Association Managers</v>
          </cell>
          <cell r="C65">
            <v>284120</v>
          </cell>
          <cell r="D65">
            <v>1.1000000000000001</v>
          </cell>
          <cell r="E65">
            <v>78400</v>
          </cell>
          <cell r="F65">
            <v>1.2</v>
          </cell>
          <cell r="G65">
            <v>62850</v>
          </cell>
        </row>
        <row r="66">
          <cell r="A66" t="str">
            <v>11-9141</v>
          </cell>
          <cell r="B66" t="str">
            <v>Property, Real Estate, and Community Association Managers</v>
          </cell>
          <cell r="C66">
            <v>284120</v>
          </cell>
          <cell r="D66">
            <v>1.1000000000000001</v>
          </cell>
          <cell r="E66">
            <v>78400</v>
          </cell>
          <cell r="F66">
            <v>1.2</v>
          </cell>
          <cell r="G66">
            <v>62850</v>
          </cell>
        </row>
        <row r="67">
          <cell r="A67" t="str">
            <v>11-9150</v>
          </cell>
          <cell r="B67" t="str">
            <v>Social and Community Service Managers</v>
          </cell>
          <cell r="C67">
            <v>173650</v>
          </cell>
          <cell r="D67">
            <v>0.8</v>
          </cell>
          <cell r="E67">
            <v>83400</v>
          </cell>
          <cell r="F67">
            <v>0.7</v>
          </cell>
          <cell r="G67">
            <v>77030</v>
          </cell>
        </row>
        <row r="68">
          <cell r="A68" t="str">
            <v>11-9151</v>
          </cell>
          <cell r="B68" t="str">
            <v>Social and Community Service Managers</v>
          </cell>
          <cell r="C68">
            <v>173650</v>
          </cell>
          <cell r="D68">
            <v>0.8</v>
          </cell>
          <cell r="E68">
            <v>83400</v>
          </cell>
          <cell r="F68">
            <v>0.7</v>
          </cell>
          <cell r="G68">
            <v>77030</v>
          </cell>
        </row>
        <row r="69">
          <cell r="A69" t="str">
            <v>11-9160</v>
          </cell>
          <cell r="B69" t="str">
            <v>Emergency Management Directors</v>
          </cell>
          <cell r="C69">
            <v>11910</v>
          </cell>
          <cell r="D69">
            <v>2.4</v>
          </cell>
          <cell r="E69">
            <v>93690</v>
          </cell>
          <cell r="F69">
            <v>0.5</v>
          </cell>
          <cell r="G69">
            <v>83960</v>
          </cell>
        </row>
        <row r="70">
          <cell r="A70" t="str">
            <v>11-9161</v>
          </cell>
          <cell r="B70" t="str">
            <v>Emergency Management Directors</v>
          </cell>
          <cell r="C70">
            <v>11910</v>
          </cell>
          <cell r="D70">
            <v>2.4</v>
          </cell>
          <cell r="E70">
            <v>93690</v>
          </cell>
          <cell r="F70">
            <v>0.5</v>
          </cell>
          <cell r="G70">
            <v>83960</v>
          </cell>
        </row>
        <row r="71">
          <cell r="A71" t="str">
            <v>11-9170</v>
          </cell>
          <cell r="B71" t="str">
            <v>Personal Service Managers</v>
          </cell>
          <cell r="C71">
            <v>25370</v>
          </cell>
          <cell r="D71">
            <v>2.4</v>
          </cell>
          <cell r="E71">
            <v>75190</v>
          </cell>
          <cell r="F71">
            <v>1.5</v>
          </cell>
          <cell r="G71">
            <v>64520</v>
          </cell>
        </row>
        <row r="72">
          <cell r="A72" t="str">
            <v>11-9171</v>
          </cell>
          <cell r="B72" t="str">
            <v>Funeral Home Managers</v>
          </cell>
          <cell r="C72">
            <v>14200</v>
          </cell>
          <cell r="D72">
            <v>2.5</v>
          </cell>
          <cell r="E72">
            <v>84800</v>
          </cell>
          <cell r="F72">
            <v>1</v>
          </cell>
          <cell r="G72">
            <v>75660</v>
          </cell>
        </row>
        <row r="73">
          <cell r="A73" t="str">
            <v>11-9179</v>
          </cell>
          <cell r="B73" t="str">
            <v>Personal Service Managers, All Other</v>
          </cell>
          <cell r="C73">
            <v>11170</v>
          </cell>
          <cell r="D73">
            <v>6.6</v>
          </cell>
          <cell r="E73">
            <v>62980</v>
          </cell>
          <cell r="F73">
            <v>2.6</v>
          </cell>
          <cell r="G73">
            <v>57570</v>
          </cell>
        </row>
        <row r="74">
          <cell r="A74" t="str">
            <v>11-9190</v>
          </cell>
          <cell r="B74" t="str">
            <v>Miscellaneous Managers</v>
          </cell>
          <cell r="C74">
            <v>589750</v>
          </cell>
          <cell r="D74">
            <v>1.3</v>
          </cell>
          <cell r="E74">
            <v>146320</v>
          </cell>
          <cell r="F74">
            <v>0.3</v>
          </cell>
          <cell r="G74">
            <v>133560</v>
          </cell>
        </row>
        <row r="75">
          <cell r="A75" t="str">
            <v>11-9199</v>
          </cell>
          <cell r="B75" t="str">
            <v>Managers, All Other</v>
          </cell>
          <cell r="C75">
            <v>589750</v>
          </cell>
          <cell r="D75">
            <v>1.3</v>
          </cell>
          <cell r="E75">
            <v>146320</v>
          </cell>
          <cell r="F75">
            <v>0.3</v>
          </cell>
          <cell r="G75">
            <v>133560</v>
          </cell>
        </row>
        <row r="76">
          <cell r="A76" t="str">
            <v>13-0000</v>
          </cell>
          <cell r="B76" t="str">
            <v>Business and Financial Operations Occupations</v>
          </cell>
          <cell r="C76">
            <v>10087830</v>
          </cell>
          <cell r="D76">
            <v>0.6</v>
          </cell>
          <cell r="E76">
            <v>90580</v>
          </cell>
          <cell r="F76">
            <v>0.3</v>
          </cell>
          <cell r="G76">
            <v>79050</v>
          </cell>
        </row>
        <row r="77">
          <cell r="A77" t="str">
            <v>13-1000</v>
          </cell>
          <cell r="B77" t="str">
            <v>Business Operations Specialists</v>
          </cell>
          <cell r="C77">
            <v>7048350</v>
          </cell>
          <cell r="D77">
            <v>0.8</v>
          </cell>
          <cell r="E77">
            <v>88040</v>
          </cell>
          <cell r="F77">
            <v>0.3</v>
          </cell>
          <cell r="G77">
            <v>78500</v>
          </cell>
        </row>
        <row r="78">
          <cell r="A78" t="str">
            <v>13-1010</v>
          </cell>
          <cell r="B78" t="str">
            <v>Agents and Business Managers of Artists, Performers, and Athletes</v>
          </cell>
          <cell r="C78">
            <v>12870</v>
          </cell>
          <cell r="D78">
            <v>7</v>
          </cell>
          <cell r="E78">
            <v>132810</v>
          </cell>
          <cell r="F78">
            <v>4.5</v>
          </cell>
          <cell r="G78">
            <v>84900</v>
          </cell>
        </row>
        <row r="79">
          <cell r="A79" t="str">
            <v>13-1011</v>
          </cell>
          <cell r="B79" t="str">
            <v>Agents and Business Managers of Artists, Performers, and Athletes</v>
          </cell>
          <cell r="C79">
            <v>12870</v>
          </cell>
          <cell r="D79">
            <v>7</v>
          </cell>
          <cell r="E79">
            <v>132810</v>
          </cell>
          <cell r="F79">
            <v>4.5</v>
          </cell>
          <cell r="G79">
            <v>84900</v>
          </cell>
        </row>
        <row r="80">
          <cell r="A80" t="str">
            <v>13-1020</v>
          </cell>
          <cell r="B80" t="str">
            <v>Buyers and Purchasing Agents</v>
          </cell>
          <cell r="C80">
            <v>477980</v>
          </cell>
          <cell r="D80">
            <v>1</v>
          </cell>
          <cell r="E80">
            <v>77850</v>
          </cell>
          <cell r="F80">
            <v>0.4</v>
          </cell>
          <cell r="G80">
            <v>71950</v>
          </cell>
        </row>
        <row r="81">
          <cell r="A81" t="str">
            <v>13-1020</v>
          </cell>
          <cell r="B81" t="str">
            <v>Buyers and Purchasing Agents</v>
          </cell>
          <cell r="C81">
            <v>477980</v>
          </cell>
          <cell r="D81">
            <v>1</v>
          </cell>
          <cell r="E81">
            <v>77850</v>
          </cell>
          <cell r="F81">
            <v>0.4</v>
          </cell>
          <cell r="G81">
            <v>71950</v>
          </cell>
        </row>
        <row r="82">
          <cell r="A82" t="str">
            <v>13-1030</v>
          </cell>
          <cell r="B82" t="str">
            <v>Claims Adjusters, Appraisers, Examiners, and Investigators</v>
          </cell>
          <cell r="C82">
            <v>302450</v>
          </cell>
          <cell r="D82">
            <v>0.9</v>
          </cell>
          <cell r="E82">
            <v>75760</v>
          </cell>
          <cell r="F82">
            <v>0.3</v>
          </cell>
          <cell r="G82">
            <v>75020</v>
          </cell>
        </row>
        <row r="83">
          <cell r="A83" t="str">
            <v>13-1031</v>
          </cell>
          <cell r="B83" t="str">
            <v>Claims Adjusters, Examiners, and Investigators</v>
          </cell>
          <cell r="C83">
            <v>293780</v>
          </cell>
          <cell r="D83">
            <v>0.9</v>
          </cell>
          <cell r="E83">
            <v>75770</v>
          </cell>
          <cell r="F83">
            <v>0.3</v>
          </cell>
          <cell r="G83">
            <v>75050</v>
          </cell>
        </row>
        <row r="84">
          <cell r="A84" t="str">
            <v>13-1032</v>
          </cell>
          <cell r="B84" t="str">
            <v>Insurance Appraisers, Auto Damage</v>
          </cell>
          <cell r="C84">
            <v>8670</v>
          </cell>
          <cell r="D84">
            <v>4.7</v>
          </cell>
          <cell r="E84">
            <v>75660</v>
          </cell>
          <cell r="F84">
            <v>0.8</v>
          </cell>
          <cell r="G84">
            <v>74520</v>
          </cell>
        </row>
        <row r="85">
          <cell r="A85" t="str">
            <v>13-1040</v>
          </cell>
          <cell r="B85" t="str">
            <v>Compliance Officers</v>
          </cell>
          <cell r="C85">
            <v>383620</v>
          </cell>
          <cell r="D85">
            <v>0.4</v>
          </cell>
          <cell r="E85">
            <v>80190</v>
          </cell>
          <cell r="F85">
            <v>0.3</v>
          </cell>
          <cell r="G85">
            <v>75670</v>
          </cell>
        </row>
        <row r="86">
          <cell r="A86" t="str">
            <v>13-1041</v>
          </cell>
          <cell r="B86" t="str">
            <v>Compliance Officers</v>
          </cell>
          <cell r="C86">
            <v>383620</v>
          </cell>
          <cell r="D86">
            <v>0.4</v>
          </cell>
          <cell r="E86">
            <v>80190</v>
          </cell>
          <cell r="F86">
            <v>0.3</v>
          </cell>
          <cell r="G86">
            <v>75670</v>
          </cell>
        </row>
        <row r="87">
          <cell r="A87" t="str">
            <v>13-1050</v>
          </cell>
          <cell r="B87" t="str">
            <v>Cost Estimators</v>
          </cell>
          <cell r="C87">
            <v>220970</v>
          </cell>
          <cell r="D87">
            <v>0.8</v>
          </cell>
          <cell r="E87">
            <v>79520</v>
          </cell>
          <cell r="F87">
            <v>0.5</v>
          </cell>
          <cell r="G87">
            <v>74740</v>
          </cell>
        </row>
        <row r="88">
          <cell r="A88" t="str">
            <v>13-1051</v>
          </cell>
          <cell r="B88" t="str">
            <v>Cost Estimators</v>
          </cell>
          <cell r="C88">
            <v>220970</v>
          </cell>
          <cell r="D88">
            <v>0.8</v>
          </cell>
          <cell r="E88">
            <v>79520</v>
          </cell>
          <cell r="F88">
            <v>0.5</v>
          </cell>
          <cell r="G88">
            <v>74740</v>
          </cell>
        </row>
        <row r="89">
          <cell r="A89" t="str">
            <v>13-1070</v>
          </cell>
          <cell r="B89" t="str">
            <v>Human Resources Workers</v>
          </cell>
          <cell r="C89">
            <v>959230</v>
          </cell>
          <cell r="D89">
            <v>1.5</v>
          </cell>
          <cell r="E89">
            <v>77260</v>
          </cell>
          <cell r="F89">
            <v>0.3</v>
          </cell>
          <cell r="G89">
            <v>69520</v>
          </cell>
        </row>
        <row r="90">
          <cell r="A90" t="str">
            <v>13-1071</v>
          </cell>
          <cell r="B90" t="str">
            <v>Human Resources Specialists</v>
          </cell>
          <cell r="C90">
            <v>895970</v>
          </cell>
          <cell r="D90">
            <v>1.6</v>
          </cell>
          <cell r="E90">
            <v>76060</v>
          </cell>
          <cell r="F90">
            <v>0.3</v>
          </cell>
          <cell r="G90">
            <v>67650</v>
          </cell>
        </row>
        <row r="91">
          <cell r="A91" t="str">
            <v>13-1074</v>
          </cell>
          <cell r="B91" t="str">
            <v>Farm Labor Contractors</v>
          </cell>
          <cell r="C91">
            <v>460</v>
          </cell>
          <cell r="D91">
            <v>24.9</v>
          </cell>
          <cell r="E91">
            <v>51400</v>
          </cell>
          <cell r="F91">
            <v>10.9</v>
          </cell>
          <cell r="G91">
            <v>45730</v>
          </cell>
        </row>
        <row r="92">
          <cell r="A92" t="str">
            <v>13-1075</v>
          </cell>
          <cell r="B92" t="str">
            <v>Labor Relations Specialists</v>
          </cell>
          <cell r="C92">
            <v>62800</v>
          </cell>
          <cell r="D92">
            <v>1.1000000000000001</v>
          </cell>
          <cell r="E92">
            <v>94620</v>
          </cell>
          <cell r="F92">
            <v>0.9</v>
          </cell>
          <cell r="G92">
            <v>89980</v>
          </cell>
        </row>
        <row r="93">
          <cell r="A93" t="str">
            <v>13-1080</v>
          </cell>
          <cell r="B93" t="str">
            <v>Logisticians and Project Management Specialists</v>
          </cell>
          <cell r="C93">
            <v>1176100</v>
          </cell>
          <cell r="D93">
            <v>1.1000000000000001</v>
          </cell>
          <cell r="E93">
            <v>100980</v>
          </cell>
          <cell r="F93">
            <v>0.5</v>
          </cell>
          <cell r="G93">
            <v>94630</v>
          </cell>
        </row>
        <row r="94">
          <cell r="A94" t="str">
            <v>13-1081</v>
          </cell>
          <cell r="B94" t="str">
            <v>Logisticians</v>
          </cell>
          <cell r="C94">
            <v>228470</v>
          </cell>
          <cell r="D94">
            <v>0.9</v>
          </cell>
          <cell r="E94">
            <v>84640</v>
          </cell>
          <cell r="F94">
            <v>0.4</v>
          </cell>
          <cell r="G94">
            <v>79400</v>
          </cell>
        </row>
        <row r="95">
          <cell r="A95" t="str">
            <v>13-1082</v>
          </cell>
          <cell r="B95" t="str">
            <v>Project Management Specialists</v>
          </cell>
          <cell r="C95">
            <v>947630</v>
          </cell>
          <cell r="D95">
            <v>1.2</v>
          </cell>
          <cell r="E95">
            <v>104920</v>
          </cell>
          <cell r="F95">
            <v>0.5</v>
          </cell>
          <cell r="G95">
            <v>98580</v>
          </cell>
        </row>
        <row r="96">
          <cell r="A96" t="str">
            <v>13-1110</v>
          </cell>
          <cell r="B96" t="str">
            <v>Management Analysts</v>
          </cell>
          <cell r="C96">
            <v>838140</v>
          </cell>
          <cell r="D96">
            <v>1.6</v>
          </cell>
          <cell r="E96">
            <v>115530</v>
          </cell>
          <cell r="F96">
            <v>1.4</v>
          </cell>
          <cell r="G96">
            <v>99410</v>
          </cell>
        </row>
        <row r="97">
          <cell r="A97" t="str">
            <v>13-1111</v>
          </cell>
          <cell r="B97" t="str">
            <v>Management Analysts</v>
          </cell>
          <cell r="C97">
            <v>838140</v>
          </cell>
          <cell r="D97">
            <v>1.6</v>
          </cell>
          <cell r="E97">
            <v>115530</v>
          </cell>
          <cell r="F97">
            <v>1.4</v>
          </cell>
          <cell r="G97">
            <v>99410</v>
          </cell>
        </row>
        <row r="98">
          <cell r="A98" t="str">
            <v>13-1120</v>
          </cell>
          <cell r="B98" t="str">
            <v>Meeting, Convention, and Event Planners</v>
          </cell>
          <cell r="C98">
            <v>122130</v>
          </cell>
          <cell r="D98">
            <v>1.3</v>
          </cell>
          <cell r="E98">
            <v>62280</v>
          </cell>
          <cell r="F98">
            <v>0.7</v>
          </cell>
          <cell r="G98">
            <v>56920</v>
          </cell>
        </row>
        <row r="99">
          <cell r="A99" t="str">
            <v>13-1121</v>
          </cell>
          <cell r="B99" t="str">
            <v>Meeting, Convention, and Event Planners</v>
          </cell>
          <cell r="C99">
            <v>122130</v>
          </cell>
          <cell r="D99">
            <v>1.3</v>
          </cell>
          <cell r="E99">
            <v>62280</v>
          </cell>
          <cell r="F99">
            <v>0.7</v>
          </cell>
          <cell r="G99">
            <v>56920</v>
          </cell>
        </row>
        <row r="100">
          <cell r="A100" t="str">
            <v>13-1130</v>
          </cell>
          <cell r="B100" t="str">
            <v>Fundraisers</v>
          </cell>
          <cell r="C100">
            <v>101730</v>
          </cell>
          <cell r="D100">
            <v>2.2999999999999998</v>
          </cell>
          <cell r="E100">
            <v>70760</v>
          </cell>
          <cell r="F100">
            <v>0.8</v>
          </cell>
          <cell r="G100">
            <v>64160</v>
          </cell>
        </row>
        <row r="101">
          <cell r="A101" t="str">
            <v>13-1131</v>
          </cell>
          <cell r="B101" t="str">
            <v>Fundraisers</v>
          </cell>
          <cell r="C101">
            <v>101730</v>
          </cell>
          <cell r="D101">
            <v>2.2999999999999998</v>
          </cell>
          <cell r="E101">
            <v>70760</v>
          </cell>
          <cell r="F101">
            <v>0.8</v>
          </cell>
          <cell r="G101">
            <v>64160</v>
          </cell>
        </row>
        <row r="102">
          <cell r="A102" t="str">
            <v>13-1140</v>
          </cell>
          <cell r="B102" t="str">
            <v>Compensation, Benefits, and Job Analysis Specialists</v>
          </cell>
          <cell r="C102">
            <v>99850</v>
          </cell>
          <cell r="D102">
            <v>1.3</v>
          </cell>
          <cell r="E102">
            <v>80620</v>
          </cell>
          <cell r="F102">
            <v>0.9</v>
          </cell>
          <cell r="G102">
            <v>74530</v>
          </cell>
        </row>
        <row r="103">
          <cell r="A103" t="str">
            <v>13-1141</v>
          </cell>
          <cell r="B103" t="str">
            <v>Compensation, Benefits, and Job Analysis Specialists</v>
          </cell>
          <cell r="C103">
            <v>99850</v>
          </cell>
          <cell r="D103">
            <v>1.3</v>
          </cell>
          <cell r="E103">
            <v>80620</v>
          </cell>
          <cell r="F103">
            <v>0.9</v>
          </cell>
          <cell r="G103">
            <v>74530</v>
          </cell>
        </row>
        <row r="104">
          <cell r="A104" t="str">
            <v>13-1150</v>
          </cell>
          <cell r="B104" t="str">
            <v>Training and Development Specialists</v>
          </cell>
          <cell r="C104">
            <v>403480</v>
          </cell>
          <cell r="D104">
            <v>0.7</v>
          </cell>
          <cell r="E104">
            <v>71980</v>
          </cell>
          <cell r="F104">
            <v>0.5</v>
          </cell>
          <cell r="G104">
            <v>64340</v>
          </cell>
        </row>
        <row r="105">
          <cell r="A105" t="str">
            <v>13-1151</v>
          </cell>
          <cell r="B105" t="str">
            <v>Training and Development Specialists</v>
          </cell>
          <cell r="C105">
            <v>403480</v>
          </cell>
          <cell r="D105">
            <v>0.7</v>
          </cell>
          <cell r="E105">
            <v>71980</v>
          </cell>
          <cell r="F105">
            <v>0.5</v>
          </cell>
          <cell r="G105">
            <v>64340</v>
          </cell>
        </row>
        <row r="106">
          <cell r="A106" t="str">
            <v>13-1160</v>
          </cell>
          <cell r="B106" t="str">
            <v>Market Research Analysts and Marketing Specialists</v>
          </cell>
          <cell r="C106">
            <v>846370</v>
          </cell>
          <cell r="D106">
            <v>0.9</v>
          </cell>
          <cell r="E106">
            <v>83190</v>
          </cell>
          <cell r="F106">
            <v>0.4</v>
          </cell>
          <cell r="G106">
            <v>74680</v>
          </cell>
        </row>
        <row r="107">
          <cell r="A107" t="str">
            <v>13-1161</v>
          </cell>
          <cell r="B107" t="str">
            <v>Market Research Analysts and Marketing Specialists</v>
          </cell>
          <cell r="C107">
            <v>846370</v>
          </cell>
          <cell r="D107">
            <v>0.9</v>
          </cell>
          <cell r="E107">
            <v>83190</v>
          </cell>
          <cell r="F107">
            <v>0.4</v>
          </cell>
          <cell r="G107">
            <v>74680</v>
          </cell>
        </row>
        <row r="108">
          <cell r="A108" t="str">
            <v>13-1190</v>
          </cell>
          <cell r="B108" t="str">
            <v>Miscellaneous Business Operations Specialists</v>
          </cell>
          <cell r="C108">
            <v>1103440</v>
          </cell>
          <cell r="D108">
            <v>0.4</v>
          </cell>
          <cell r="E108">
            <v>89130</v>
          </cell>
          <cell r="F108">
            <v>0.4</v>
          </cell>
          <cell r="G108">
            <v>79590</v>
          </cell>
        </row>
        <row r="109">
          <cell r="A109" t="str">
            <v>13-1199</v>
          </cell>
          <cell r="B109" t="str">
            <v>Business Operations Specialists, All Other</v>
          </cell>
          <cell r="C109">
            <v>1103440</v>
          </cell>
          <cell r="D109">
            <v>0.4</v>
          </cell>
          <cell r="E109">
            <v>89130</v>
          </cell>
          <cell r="F109">
            <v>0.4</v>
          </cell>
          <cell r="G109">
            <v>79590</v>
          </cell>
        </row>
        <row r="110">
          <cell r="A110" t="str">
            <v>13-2000</v>
          </cell>
          <cell r="B110" t="str">
            <v>Financial Specialists</v>
          </cell>
          <cell r="C110">
            <v>3039480</v>
          </cell>
          <cell r="D110">
            <v>0.5</v>
          </cell>
          <cell r="E110">
            <v>96460</v>
          </cell>
          <cell r="F110">
            <v>0.4</v>
          </cell>
          <cell r="G110">
            <v>80090</v>
          </cell>
        </row>
        <row r="111">
          <cell r="A111" t="str">
            <v>13-2010</v>
          </cell>
          <cell r="B111" t="str">
            <v>Accountants and Auditors</v>
          </cell>
          <cell r="C111">
            <v>1435770</v>
          </cell>
          <cell r="D111">
            <v>0.4</v>
          </cell>
          <cell r="E111">
            <v>90780</v>
          </cell>
          <cell r="F111">
            <v>0.3</v>
          </cell>
          <cell r="G111">
            <v>79880</v>
          </cell>
        </row>
        <row r="112">
          <cell r="A112" t="str">
            <v>13-2011</v>
          </cell>
          <cell r="B112" t="str">
            <v>Accountants and Auditors</v>
          </cell>
          <cell r="C112">
            <v>1435770</v>
          </cell>
          <cell r="D112">
            <v>0.4</v>
          </cell>
          <cell r="E112">
            <v>90780</v>
          </cell>
          <cell r="F112">
            <v>0.3</v>
          </cell>
          <cell r="G112">
            <v>79880</v>
          </cell>
        </row>
        <row r="113">
          <cell r="A113" t="str">
            <v>13-2020</v>
          </cell>
          <cell r="B113" t="str">
            <v>Property Appraisers and Assessors</v>
          </cell>
          <cell r="C113">
            <v>62090</v>
          </cell>
          <cell r="D113">
            <v>6</v>
          </cell>
          <cell r="E113">
            <v>76110</v>
          </cell>
          <cell r="F113">
            <v>4.7</v>
          </cell>
          <cell r="G113">
            <v>61630</v>
          </cell>
        </row>
        <row r="114">
          <cell r="A114" t="str">
            <v>13-2020</v>
          </cell>
          <cell r="B114" t="str">
            <v>Property Appraisers and Assessors</v>
          </cell>
          <cell r="C114">
            <v>62090</v>
          </cell>
          <cell r="D114">
            <v>6</v>
          </cell>
          <cell r="E114">
            <v>76110</v>
          </cell>
          <cell r="F114">
            <v>4.7</v>
          </cell>
          <cell r="G114">
            <v>61630</v>
          </cell>
        </row>
        <row r="115">
          <cell r="A115" t="str">
            <v>13-2030</v>
          </cell>
          <cell r="B115" t="str">
            <v>Budget Analysts</v>
          </cell>
          <cell r="C115">
            <v>47310</v>
          </cell>
          <cell r="D115">
            <v>0.6</v>
          </cell>
          <cell r="E115">
            <v>90880</v>
          </cell>
          <cell r="F115">
            <v>0.4</v>
          </cell>
          <cell r="G115">
            <v>84940</v>
          </cell>
        </row>
        <row r="116">
          <cell r="A116" t="str">
            <v>13-2031</v>
          </cell>
          <cell r="B116" t="str">
            <v>Budget Analysts</v>
          </cell>
          <cell r="C116">
            <v>47310</v>
          </cell>
          <cell r="D116">
            <v>0.6</v>
          </cell>
          <cell r="E116">
            <v>90880</v>
          </cell>
          <cell r="F116">
            <v>0.4</v>
          </cell>
          <cell r="G116">
            <v>84940</v>
          </cell>
        </row>
        <row r="117">
          <cell r="A117" t="str">
            <v>13-2040</v>
          </cell>
          <cell r="B117" t="str">
            <v>Credit Analysts</v>
          </cell>
          <cell r="C117">
            <v>73200</v>
          </cell>
          <cell r="D117">
            <v>1.2</v>
          </cell>
          <cell r="E117">
            <v>94750</v>
          </cell>
          <cell r="F117">
            <v>0.6</v>
          </cell>
          <cell r="G117">
            <v>79420</v>
          </cell>
        </row>
        <row r="118">
          <cell r="A118" t="str">
            <v>13-2041</v>
          </cell>
          <cell r="B118" t="str">
            <v>Credit Analysts</v>
          </cell>
          <cell r="C118">
            <v>73200</v>
          </cell>
          <cell r="D118">
            <v>1.2</v>
          </cell>
          <cell r="E118">
            <v>94750</v>
          </cell>
          <cell r="F118">
            <v>0.6</v>
          </cell>
          <cell r="G118">
            <v>79420</v>
          </cell>
        </row>
        <row r="119">
          <cell r="A119" t="str">
            <v>13-2050</v>
          </cell>
          <cell r="B119" t="str">
            <v>Financial Analysts and Advisors</v>
          </cell>
          <cell r="C119">
            <v>753990</v>
          </cell>
          <cell r="D119">
            <v>0.8</v>
          </cell>
          <cell r="E119">
            <v>123330</v>
          </cell>
          <cell r="F119">
            <v>0.8</v>
          </cell>
          <cell r="G119">
            <v>97450</v>
          </cell>
        </row>
        <row r="120">
          <cell r="A120" t="str">
            <v>13-2051</v>
          </cell>
          <cell r="B120" t="str">
            <v>Financial and Investment Analysts</v>
          </cell>
          <cell r="C120">
            <v>325220</v>
          </cell>
          <cell r="D120">
            <v>0.8</v>
          </cell>
          <cell r="E120">
            <v>112950</v>
          </cell>
          <cell r="F120">
            <v>0.6</v>
          </cell>
          <cell r="G120">
            <v>99010</v>
          </cell>
        </row>
        <row r="121">
          <cell r="A121" t="str">
            <v>13-2052</v>
          </cell>
          <cell r="B121" t="str">
            <v>Personal Financial Advisors</v>
          </cell>
          <cell r="C121">
            <v>272190</v>
          </cell>
          <cell r="D121">
            <v>1.4</v>
          </cell>
          <cell r="E121">
            <v>150670</v>
          </cell>
          <cell r="F121">
            <v>1.7</v>
          </cell>
          <cell r="G121">
            <v>99580</v>
          </cell>
        </row>
        <row r="122">
          <cell r="A122" t="str">
            <v>13-2053</v>
          </cell>
          <cell r="B122" t="str">
            <v>Insurance Underwriters</v>
          </cell>
          <cell r="C122">
            <v>101310</v>
          </cell>
          <cell r="D122">
            <v>3.5</v>
          </cell>
          <cell r="E122">
            <v>85610</v>
          </cell>
          <cell r="F122">
            <v>0.7</v>
          </cell>
          <cell r="G122">
            <v>77860</v>
          </cell>
        </row>
        <row r="123">
          <cell r="A123" t="str">
            <v>13-2054</v>
          </cell>
          <cell r="B123" t="str">
            <v>Financial Risk Specialists</v>
          </cell>
          <cell r="C123">
            <v>55290</v>
          </cell>
          <cell r="D123">
            <v>1.3</v>
          </cell>
          <cell r="E123">
            <v>118950</v>
          </cell>
          <cell r="F123">
            <v>0.6</v>
          </cell>
          <cell r="G123">
            <v>106090</v>
          </cell>
        </row>
        <row r="124">
          <cell r="A124" t="str">
            <v>13-2060</v>
          </cell>
          <cell r="B124" t="str">
            <v>Financial Examiners</v>
          </cell>
          <cell r="C124">
            <v>63440</v>
          </cell>
          <cell r="D124">
            <v>1.3</v>
          </cell>
          <cell r="E124">
            <v>98140</v>
          </cell>
          <cell r="F124">
            <v>0.4</v>
          </cell>
          <cell r="G124">
            <v>84300</v>
          </cell>
        </row>
        <row r="125">
          <cell r="A125" t="str">
            <v>13-2061</v>
          </cell>
          <cell r="B125" t="str">
            <v>Financial Examiners</v>
          </cell>
          <cell r="C125">
            <v>63440</v>
          </cell>
          <cell r="D125">
            <v>1.3</v>
          </cell>
          <cell r="E125">
            <v>98140</v>
          </cell>
          <cell r="F125">
            <v>0.4</v>
          </cell>
          <cell r="G125">
            <v>84300</v>
          </cell>
        </row>
        <row r="126">
          <cell r="A126" t="str">
            <v>13-2070</v>
          </cell>
          <cell r="B126" t="str">
            <v>Credit Counselors and Loan Officers</v>
          </cell>
          <cell r="C126">
            <v>349040</v>
          </cell>
          <cell r="D126">
            <v>0.8</v>
          </cell>
          <cell r="E126">
            <v>82000</v>
          </cell>
          <cell r="F126">
            <v>0.5</v>
          </cell>
          <cell r="G126">
            <v>65280</v>
          </cell>
        </row>
        <row r="127">
          <cell r="A127" t="str">
            <v>13-2071</v>
          </cell>
          <cell r="B127" t="str">
            <v>Credit Counselors</v>
          </cell>
          <cell r="C127">
            <v>27950</v>
          </cell>
          <cell r="D127">
            <v>2.1</v>
          </cell>
          <cell r="E127">
            <v>53440</v>
          </cell>
          <cell r="F127">
            <v>0.6</v>
          </cell>
          <cell r="G127">
            <v>48570</v>
          </cell>
        </row>
        <row r="128">
          <cell r="A128" t="str">
            <v>13-2072</v>
          </cell>
          <cell r="B128" t="str">
            <v>Loan Officers</v>
          </cell>
          <cell r="C128">
            <v>321090</v>
          </cell>
          <cell r="D128">
            <v>0.8</v>
          </cell>
          <cell r="E128">
            <v>84490</v>
          </cell>
          <cell r="F128">
            <v>0.5</v>
          </cell>
          <cell r="G128">
            <v>69990</v>
          </cell>
        </row>
        <row r="129">
          <cell r="A129" t="str">
            <v>13-2080</v>
          </cell>
          <cell r="B129" t="str">
            <v>Tax Examiners, Collectors and Preparers, and Revenue Agents</v>
          </cell>
          <cell r="C129">
            <v>131910</v>
          </cell>
          <cell r="D129">
            <v>1.5</v>
          </cell>
          <cell r="E129">
            <v>60900</v>
          </cell>
          <cell r="F129">
            <v>0.7</v>
          </cell>
          <cell r="G129">
            <v>54080</v>
          </cell>
        </row>
        <row r="130">
          <cell r="A130" t="str">
            <v>13-2081</v>
          </cell>
          <cell r="B130" t="str">
            <v>Tax Examiners and Collectors, and Revenue Agents</v>
          </cell>
          <cell r="C130">
            <v>50250</v>
          </cell>
          <cell r="D130">
            <v>0.4</v>
          </cell>
          <cell r="E130">
            <v>65370</v>
          </cell>
          <cell r="F130">
            <v>0.1</v>
          </cell>
          <cell r="G130">
            <v>58530</v>
          </cell>
        </row>
        <row r="131">
          <cell r="A131" t="str">
            <v>13-2082</v>
          </cell>
          <cell r="B131" t="str">
            <v>Tax Preparers</v>
          </cell>
          <cell r="C131">
            <v>81650</v>
          </cell>
          <cell r="D131">
            <v>2.4</v>
          </cell>
          <cell r="E131">
            <v>58160</v>
          </cell>
          <cell r="F131">
            <v>1.2</v>
          </cell>
          <cell r="G131">
            <v>49010</v>
          </cell>
        </row>
        <row r="132">
          <cell r="A132" t="str">
            <v>13-2090</v>
          </cell>
          <cell r="B132" t="str">
            <v>Miscellaneous Financial Specialists</v>
          </cell>
          <cell r="C132">
            <v>122730</v>
          </cell>
          <cell r="D132">
            <v>1.2</v>
          </cell>
          <cell r="E132">
            <v>89650</v>
          </cell>
          <cell r="F132">
            <v>0.9</v>
          </cell>
          <cell r="G132">
            <v>78310</v>
          </cell>
        </row>
        <row r="133">
          <cell r="A133" t="str">
            <v>13-2099</v>
          </cell>
          <cell r="B133" t="str">
            <v>Financial Specialists, All Other</v>
          </cell>
          <cell r="C133">
            <v>122730</v>
          </cell>
          <cell r="D133">
            <v>1.2</v>
          </cell>
          <cell r="E133">
            <v>89650</v>
          </cell>
          <cell r="F133">
            <v>0.9</v>
          </cell>
          <cell r="G133">
            <v>78310</v>
          </cell>
        </row>
        <row r="134">
          <cell r="A134" t="str">
            <v>15-0000</v>
          </cell>
          <cell r="B134" t="str">
            <v>Computer and Mathematical Occupations</v>
          </cell>
          <cell r="C134">
            <v>5177400</v>
          </cell>
          <cell r="D134">
            <v>0.2</v>
          </cell>
          <cell r="E134">
            <v>113140</v>
          </cell>
          <cell r="F134">
            <v>0.4</v>
          </cell>
          <cell r="G134">
            <v>104200</v>
          </cell>
        </row>
        <row r="135">
          <cell r="A135" t="str">
            <v>15-1200</v>
          </cell>
          <cell r="B135" t="str">
            <v>Computer Occupations</v>
          </cell>
          <cell r="C135">
            <v>4804840</v>
          </cell>
          <cell r="D135">
            <v>0.2</v>
          </cell>
          <cell r="E135">
            <v>113270</v>
          </cell>
          <cell r="F135">
            <v>0.4</v>
          </cell>
          <cell r="G135">
            <v>104420</v>
          </cell>
        </row>
        <row r="136">
          <cell r="A136" t="str">
            <v>15-1210</v>
          </cell>
          <cell r="B136" t="str">
            <v>Computer and Information Analysts</v>
          </cell>
          <cell r="C136">
            <v>674170</v>
          </cell>
          <cell r="D136">
            <v>0.6</v>
          </cell>
          <cell r="E136">
            <v>114420</v>
          </cell>
          <cell r="F136">
            <v>0.4</v>
          </cell>
          <cell r="G136">
            <v>105830</v>
          </cell>
        </row>
        <row r="137">
          <cell r="A137" t="str">
            <v>15-1211</v>
          </cell>
          <cell r="B137" t="str">
            <v>Computer Systems Analysts</v>
          </cell>
          <cell r="C137">
            <v>498810</v>
          </cell>
          <cell r="D137">
            <v>0.8</v>
          </cell>
          <cell r="E137">
            <v>110800</v>
          </cell>
          <cell r="F137">
            <v>0.5</v>
          </cell>
          <cell r="G137">
            <v>103800</v>
          </cell>
        </row>
        <row r="138">
          <cell r="A138" t="str">
            <v>15-1212</v>
          </cell>
          <cell r="B138" t="str">
            <v>Information Security Analysts</v>
          </cell>
          <cell r="C138">
            <v>175350</v>
          </cell>
          <cell r="D138">
            <v>1.1000000000000001</v>
          </cell>
          <cell r="E138">
            <v>124740</v>
          </cell>
          <cell r="F138">
            <v>0.5</v>
          </cell>
          <cell r="G138">
            <v>120360</v>
          </cell>
        </row>
        <row r="139">
          <cell r="A139" t="str">
            <v>15-1220</v>
          </cell>
          <cell r="B139" t="str">
            <v>Computer and Information Research Scientists</v>
          </cell>
          <cell r="C139">
            <v>35210</v>
          </cell>
          <cell r="D139">
            <v>3.7</v>
          </cell>
          <cell r="E139">
            <v>157160</v>
          </cell>
          <cell r="F139">
            <v>1</v>
          </cell>
          <cell r="G139">
            <v>145080</v>
          </cell>
        </row>
        <row r="140">
          <cell r="A140" t="str">
            <v>15-1221</v>
          </cell>
          <cell r="B140" t="str">
            <v>Computer and Information Research Scientists</v>
          </cell>
          <cell r="C140">
            <v>35210</v>
          </cell>
          <cell r="D140">
            <v>3.7</v>
          </cell>
          <cell r="E140">
            <v>157160</v>
          </cell>
          <cell r="F140">
            <v>1</v>
          </cell>
          <cell r="G140">
            <v>145080</v>
          </cell>
        </row>
        <row r="141">
          <cell r="A141" t="str">
            <v>15-1230</v>
          </cell>
          <cell r="B141" t="str">
            <v>Computer Support Specialists</v>
          </cell>
          <cell r="C141">
            <v>848420</v>
          </cell>
          <cell r="D141">
            <v>0.7</v>
          </cell>
          <cell r="E141">
            <v>66450</v>
          </cell>
          <cell r="F141">
            <v>0.4</v>
          </cell>
          <cell r="G141">
            <v>60810</v>
          </cell>
        </row>
        <row r="142">
          <cell r="A142" t="str">
            <v>15-1231</v>
          </cell>
          <cell r="B142" t="str">
            <v>Computer Network Support Specialists</v>
          </cell>
          <cell r="C142">
            <v>158720</v>
          </cell>
          <cell r="D142">
            <v>1.4</v>
          </cell>
          <cell r="E142">
            <v>78640</v>
          </cell>
          <cell r="F142">
            <v>0.7</v>
          </cell>
          <cell r="G142">
            <v>71530</v>
          </cell>
        </row>
        <row r="143">
          <cell r="A143" t="str">
            <v>15-1232</v>
          </cell>
          <cell r="B143" t="str">
            <v>Computer User Support Specialists</v>
          </cell>
          <cell r="C143">
            <v>689700</v>
          </cell>
          <cell r="D143">
            <v>0.9</v>
          </cell>
          <cell r="E143">
            <v>63640</v>
          </cell>
          <cell r="F143">
            <v>0.4</v>
          </cell>
          <cell r="G143">
            <v>59240</v>
          </cell>
        </row>
        <row r="144">
          <cell r="A144" t="str">
            <v>15-1240</v>
          </cell>
          <cell r="B144" t="str">
            <v>Database and Network Administrators and Architects</v>
          </cell>
          <cell r="C144">
            <v>633180</v>
          </cell>
          <cell r="D144">
            <v>0.7</v>
          </cell>
          <cell r="E144">
            <v>113710</v>
          </cell>
          <cell r="F144">
            <v>0.6</v>
          </cell>
          <cell r="G144">
            <v>105720</v>
          </cell>
        </row>
        <row r="145">
          <cell r="A145" t="str">
            <v>15-1241</v>
          </cell>
          <cell r="B145" t="str">
            <v>Computer Network Architects</v>
          </cell>
          <cell r="C145">
            <v>174100</v>
          </cell>
          <cell r="D145">
            <v>1.3</v>
          </cell>
          <cell r="E145">
            <v>133930</v>
          </cell>
          <cell r="F145">
            <v>0.7</v>
          </cell>
          <cell r="G145">
            <v>129840</v>
          </cell>
        </row>
        <row r="146">
          <cell r="A146" t="str">
            <v>15-1242</v>
          </cell>
          <cell r="B146" t="str">
            <v>Database Administrators</v>
          </cell>
          <cell r="C146">
            <v>76140</v>
          </cell>
          <cell r="D146">
            <v>1.4</v>
          </cell>
          <cell r="E146">
            <v>104810</v>
          </cell>
          <cell r="F146">
            <v>0.8</v>
          </cell>
          <cell r="G146">
            <v>101510</v>
          </cell>
        </row>
        <row r="147">
          <cell r="A147" t="str">
            <v>15-1243</v>
          </cell>
          <cell r="B147" t="str">
            <v>Database Architects</v>
          </cell>
          <cell r="C147">
            <v>59920</v>
          </cell>
          <cell r="D147">
            <v>3.6</v>
          </cell>
          <cell r="E147">
            <v>137030</v>
          </cell>
          <cell r="F147">
            <v>1.7</v>
          </cell>
          <cell r="G147">
            <v>134700</v>
          </cell>
        </row>
        <row r="148">
          <cell r="A148" t="str">
            <v>15-1244</v>
          </cell>
          <cell r="B148" t="str">
            <v>Network and Computer Systems Administrators</v>
          </cell>
          <cell r="C148">
            <v>323020</v>
          </cell>
          <cell r="D148">
            <v>0.7</v>
          </cell>
          <cell r="E148">
            <v>100580</v>
          </cell>
          <cell r="F148">
            <v>0.5</v>
          </cell>
          <cell r="G148">
            <v>95360</v>
          </cell>
        </row>
        <row r="149">
          <cell r="A149" t="str">
            <v>15-1250</v>
          </cell>
          <cell r="B149" t="str">
            <v>Software and Web Developers, Programmers, and Testers</v>
          </cell>
          <cell r="C149">
            <v>2176710</v>
          </cell>
          <cell r="D149">
            <v>0.5</v>
          </cell>
          <cell r="E149">
            <v>130500</v>
          </cell>
          <cell r="F149">
            <v>0.3</v>
          </cell>
          <cell r="G149">
            <v>127120</v>
          </cell>
        </row>
        <row r="150">
          <cell r="A150" t="str">
            <v>15-1251</v>
          </cell>
          <cell r="B150" t="str">
            <v>Computer Programmers</v>
          </cell>
          <cell r="C150">
            <v>120370</v>
          </cell>
          <cell r="D150">
            <v>2.4</v>
          </cell>
          <cell r="E150">
            <v>107750</v>
          </cell>
          <cell r="F150">
            <v>1.1000000000000001</v>
          </cell>
          <cell r="G150">
            <v>99700</v>
          </cell>
        </row>
        <row r="151">
          <cell r="A151" t="str">
            <v>15-1252</v>
          </cell>
          <cell r="B151" t="str">
            <v>Software Developers</v>
          </cell>
          <cell r="C151">
            <v>1656880</v>
          </cell>
          <cell r="D151">
            <v>0.7</v>
          </cell>
          <cell r="E151">
            <v>138110</v>
          </cell>
          <cell r="F151">
            <v>0.4</v>
          </cell>
          <cell r="G151">
            <v>132270</v>
          </cell>
        </row>
        <row r="152">
          <cell r="A152" t="str">
            <v>15-1253</v>
          </cell>
          <cell r="B152" t="str">
            <v>Software Quality Assurance Analysts and Testers</v>
          </cell>
          <cell r="C152">
            <v>203040</v>
          </cell>
          <cell r="D152">
            <v>1.1000000000000001</v>
          </cell>
          <cell r="E152">
            <v>108460</v>
          </cell>
          <cell r="F152">
            <v>0.6</v>
          </cell>
          <cell r="G152">
            <v>101800</v>
          </cell>
        </row>
        <row r="153">
          <cell r="A153" t="str">
            <v>15-1254</v>
          </cell>
          <cell r="B153" t="str">
            <v>Web Developers</v>
          </cell>
          <cell r="C153">
            <v>85350</v>
          </cell>
          <cell r="D153">
            <v>4.8</v>
          </cell>
          <cell r="E153">
            <v>95570</v>
          </cell>
          <cell r="F153">
            <v>1.9</v>
          </cell>
          <cell r="G153">
            <v>84960</v>
          </cell>
        </row>
        <row r="154">
          <cell r="A154" t="str">
            <v>15-1255</v>
          </cell>
          <cell r="B154" t="str">
            <v>Web and Digital Interface Designers</v>
          </cell>
          <cell r="C154">
            <v>111060</v>
          </cell>
          <cell r="D154">
            <v>3</v>
          </cell>
          <cell r="E154">
            <v>108820</v>
          </cell>
          <cell r="F154">
            <v>0.8</v>
          </cell>
          <cell r="G154">
            <v>98540</v>
          </cell>
        </row>
        <row r="155">
          <cell r="A155" t="str">
            <v>15-1290</v>
          </cell>
          <cell r="B155" t="str">
            <v>Miscellaneous Computer Occupations</v>
          </cell>
          <cell r="C155">
            <v>437170</v>
          </cell>
          <cell r="D155">
            <v>0.8</v>
          </cell>
          <cell r="E155">
            <v>112430</v>
          </cell>
          <cell r="F155">
            <v>0.5</v>
          </cell>
          <cell r="G155">
            <v>104920</v>
          </cell>
        </row>
        <row r="156">
          <cell r="A156" t="str">
            <v>15-1299</v>
          </cell>
          <cell r="B156" t="str">
            <v>Computer Occupations, All Other</v>
          </cell>
          <cell r="C156">
            <v>437170</v>
          </cell>
          <cell r="D156">
            <v>0.8</v>
          </cell>
          <cell r="E156">
            <v>112430</v>
          </cell>
          <cell r="F156">
            <v>0.5</v>
          </cell>
          <cell r="G156">
            <v>104920</v>
          </cell>
        </row>
        <row r="157">
          <cell r="A157" t="str">
            <v>15-2000</v>
          </cell>
          <cell r="B157" t="str">
            <v>Mathematical Science Occupations</v>
          </cell>
          <cell r="C157">
            <v>372550</v>
          </cell>
          <cell r="D157">
            <v>0.7</v>
          </cell>
          <cell r="E157">
            <v>111340</v>
          </cell>
          <cell r="F157">
            <v>0.4</v>
          </cell>
          <cell r="G157">
            <v>101460</v>
          </cell>
        </row>
        <row r="158">
          <cell r="A158" t="str">
            <v>15-2010</v>
          </cell>
          <cell r="B158" t="str">
            <v>Actuaries</v>
          </cell>
          <cell r="C158">
            <v>25470</v>
          </cell>
          <cell r="D158">
            <v>2.6</v>
          </cell>
          <cell r="E158">
            <v>132500</v>
          </cell>
          <cell r="F158">
            <v>1.4</v>
          </cell>
          <cell r="G158">
            <v>120000</v>
          </cell>
        </row>
        <row r="159">
          <cell r="A159" t="str">
            <v>15-2011</v>
          </cell>
          <cell r="B159" t="str">
            <v>Actuaries</v>
          </cell>
          <cell r="C159">
            <v>25470</v>
          </cell>
          <cell r="D159">
            <v>2.6</v>
          </cell>
          <cell r="E159">
            <v>132500</v>
          </cell>
          <cell r="F159">
            <v>1.4</v>
          </cell>
          <cell r="G159">
            <v>120000</v>
          </cell>
        </row>
        <row r="160">
          <cell r="A160" t="str">
            <v>15-2020</v>
          </cell>
          <cell r="B160" t="str">
            <v>Mathematicians</v>
          </cell>
          <cell r="C160">
            <v>2220</v>
          </cell>
          <cell r="D160">
            <v>2.5</v>
          </cell>
          <cell r="E160">
            <v>119770</v>
          </cell>
          <cell r="F160">
            <v>0.9</v>
          </cell>
          <cell r="G160">
            <v>116440</v>
          </cell>
        </row>
        <row r="161">
          <cell r="A161" t="str">
            <v>15-2021</v>
          </cell>
          <cell r="B161" t="str">
            <v>Mathematicians</v>
          </cell>
          <cell r="C161">
            <v>2220</v>
          </cell>
          <cell r="D161">
            <v>2.5</v>
          </cell>
          <cell r="E161">
            <v>119770</v>
          </cell>
          <cell r="F161">
            <v>0.9</v>
          </cell>
          <cell r="G161">
            <v>116440</v>
          </cell>
        </row>
        <row r="162">
          <cell r="A162" t="str">
            <v>15-2030</v>
          </cell>
          <cell r="B162" t="str">
            <v>Operations Research Analysts</v>
          </cell>
          <cell r="C162">
            <v>117880</v>
          </cell>
          <cell r="D162">
            <v>1.2</v>
          </cell>
          <cell r="E162">
            <v>95600</v>
          </cell>
          <cell r="F162">
            <v>0.6</v>
          </cell>
          <cell r="G162">
            <v>83640</v>
          </cell>
        </row>
        <row r="163">
          <cell r="A163" t="str">
            <v>15-2031</v>
          </cell>
          <cell r="B163" t="str">
            <v>Operations Research Analysts</v>
          </cell>
          <cell r="C163">
            <v>117880</v>
          </cell>
          <cell r="D163">
            <v>1.2</v>
          </cell>
          <cell r="E163">
            <v>95600</v>
          </cell>
          <cell r="F163">
            <v>0.6</v>
          </cell>
          <cell r="G163">
            <v>83640</v>
          </cell>
        </row>
        <row r="164">
          <cell r="A164" t="str">
            <v>15-2040</v>
          </cell>
          <cell r="B164" t="str">
            <v>Statisticians</v>
          </cell>
          <cell r="C164">
            <v>29950</v>
          </cell>
          <cell r="D164">
            <v>3.2</v>
          </cell>
          <cell r="E164">
            <v>109190</v>
          </cell>
          <cell r="F164">
            <v>0.8</v>
          </cell>
          <cell r="G164">
            <v>104110</v>
          </cell>
        </row>
        <row r="165">
          <cell r="A165" t="str">
            <v>15-2041</v>
          </cell>
          <cell r="B165" t="str">
            <v>Statisticians</v>
          </cell>
          <cell r="C165">
            <v>29950</v>
          </cell>
          <cell r="D165">
            <v>3.2</v>
          </cell>
          <cell r="E165">
            <v>109190</v>
          </cell>
          <cell r="F165">
            <v>0.8</v>
          </cell>
          <cell r="G165">
            <v>104110</v>
          </cell>
        </row>
        <row r="166">
          <cell r="A166" t="str">
            <v>15-2050</v>
          </cell>
          <cell r="B166" t="str">
            <v>Data Scientists</v>
          </cell>
          <cell r="C166">
            <v>192710</v>
          </cell>
          <cell r="D166">
            <v>1.2</v>
          </cell>
          <cell r="E166">
            <v>119040</v>
          </cell>
          <cell r="F166">
            <v>0.4</v>
          </cell>
          <cell r="G166">
            <v>108020</v>
          </cell>
        </row>
        <row r="167">
          <cell r="A167" t="str">
            <v>15-2051</v>
          </cell>
          <cell r="B167" t="str">
            <v>Data Scientists</v>
          </cell>
          <cell r="C167">
            <v>192710</v>
          </cell>
          <cell r="D167">
            <v>1.2</v>
          </cell>
          <cell r="E167">
            <v>119040</v>
          </cell>
          <cell r="F167">
            <v>0.4</v>
          </cell>
          <cell r="G167">
            <v>108020</v>
          </cell>
        </row>
        <row r="168">
          <cell r="A168" t="str">
            <v>15-2090</v>
          </cell>
          <cell r="B168" t="str">
            <v>Miscellaneous Mathematical Science Occupations</v>
          </cell>
          <cell r="C168">
            <v>4320</v>
          </cell>
          <cell r="D168">
            <v>5.3</v>
          </cell>
          <cell r="E168">
            <v>83330</v>
          </cell>
          <cell r="F168">
            <v>4</v>
          </cell>
          <cell r="G168">
            <v>70620</v>
          </cell>
        </row>
        <row r="169">
          <cell r="A169" t="str">
            <v>15-2099</v>
          </cell>
          <cell r="B169" t="str">
            <v>Mathematical Science Occupations, All Other</v>
          </cell>
          <cell r="C169">
            <v>4320</v>
          </cell>
          <cell r="D169">
            <v>5.3</v>
          </cell>
          <cell r="E169">
            <v>83330</v>
          </cell>
          <cell r="F169">
            <v>4</v>
          </cell>
          <cell r="G169">
            <v>70620</v>
          </cell>
        </row>
        <row r="170">
          <cell r="A170" t="str">
            <v>17-0000</v>
          </cell>
          <cell r="B170" t="str">
            <v>Architecture and Engineering Occupations</v>
          </cell>
          <cell r="C170">
            <v>2539660</v>
          </cell>
          <cell r="D170">
            <v>0.5</v>
          </cell>
          <cell r="E170">
            <v>99090</v>
          </cell>
          <cell r="F170">
            <v>0.4</v>
          </cell>
          <cell r="G170">
            <v>91420</v>
          </cell>
        </row>
        <row r="171">
          <cell r="A171" t="str">
            <v>17-1000</v>
          </cell>
          <cell r="B171" t="str">
            <v>Architects, Surveyors, and Cartographers</v>
          </cell>
          <cell r="C171">
            <v>194610</v>
          </cell>
          <cell r="D171">
            <v>1.2</v>
          </cell>
          <cell r="E171">
            <v>90430</v>
          </cell>
          <cell r="F171">
            <v>0.8</v>
          </cell>
          <cell r="G171">
            <v>80850</v>
          </cell>
        </row>
        <row r="172">
          <cell r="A172" t="str">
            <v>17-1010</v>
          </cell>
          <cell r="B172" t="str">
            <v>Architects, Except Naval</v>
          </cell>
          <cell r="C172">
            <v>131540</v>
          </cell>
          <cell r="D172">
            <v>1.4</v>
          </cell>
          <cell r="E172">
            <v>97860</v>
          </cell>
          <cell r="F172">
            <v>1.1000000000000001</v>
          </cell>
          <cell r="G172">
            <v>85800</v>
          </cell>
        </row>
        <row r="173">
          <cell r="A173" t="str">
            <v>17-1011</v>
          </cell>
          <cell r="B173" t="str">
            <v>Architects, Except Landscape and Naval</v>
          </cell>
          <cell r="C173">
            <v>111170</v>
          </cell>
          <cell r="D173">
            <v>1.3</v>
          </cell>
          <cell r="E173">
            <v>100400</v>
          </cell>
          <cell r="F173">
            <v>1.3</v>
          </cell>
          <cell r="G173">
            <v>93310</v>
          </cell>
        </row>
        <row r="174">
          <cell r="A174" t="str">
            <v>17-1012</v>
          </cell>
          <cell r="B174" t="str">
            <v>Landscape Architects</v>
          </cell>
          <cell r="C174">
            <v>20370</v>
          </cell>
          <cell r="D174">
            <v>6.1</v>
          </cell>
          <cell r="E174">
            <v>83990</v>
          </cell>
          <cell r="F174">
            <v>1.1000000000000001</v>
          </cell>
          <cell r="G174">
            <v>79320</v>
          </cell>
        </row>
        <row r="175">
          <cell r="A175" t="str">
            <v>17-1020</v>
          </cell>
          <cell r="B175" t="str">
            <v>Surveyors, Cartographers, and Photogrammetrists</v>
          </cell>
          <cell r="C175">
            <v>63070</v>
          </cell>
          <cell r="D175">
            <v>3.1</v>
          </cell>
          <cell r="E175">
            <v>74940</v>
          </cell>
          <cell r="F175">
            <v>0.7</v>
          </cell>
          <cell r="G175">
            <v>70810</v>
          </cell>
        </row>
        <row r="176">
          <cell r="A176" t="str">
            <v>17-1021</v>
          </cell>
          <cell r="B176" t="str">
            <v>Cartographers and Photogrammetrists</v>
          </cell>
          <cell r="C176">
            <v>12330</v>
          </cell>
          <cell r="D176">
            <v>4</v>
          </cell>
          <cell r="E176">
            <v>78810</v>
          </cell>
          <cell r="F176">
            <v>0.8</v>
          </cell>
          <cell r="G176">
            <v>76210</v>
          </cell>
        </row>
        <row r="177">
          <cell r="A177" t="str">
            <v>17-1022</v>
          </cell>
          <cell r="B177" t="str">
            <v>Surveyors</v>
          </cell>
          <cell r="C177">
            <v>50740</v>
          </cell>
          <cell r="D177">
            <v>3.9</v>
          </cell>
          <cell r="E177">
            <v>74000</v>
          </cell>
          <cell r="F177">
            <v>0.8</v>
          </cell>
          <cell r="G177">
            <v>68540</v>
          </cell>
        </row>
        <row r="178">
          <cell r="A178" t="str">
            <v>17-2000</v>
          </cell>
          <cell r="B178" t="str">
            <v>Engineers</v>
          </cell>
          <cell r="C178">
            <v>1703700</v>
          </cell>
          <cell r="D178">
            <v>0.9</v>
          </cell>
          <cell r="E178">
            <v>111890</v>
          </cell>
          <cell r="F178">
            <v>0.4</v>
          </cell>
          <cell r="G178">
            <v>102660</v>
          </cell>
        </row>
        <row r="179">
          <cell r="A179" t="str">
            <v>17-2010</v>
          </cell>
          <cell r="B179" t="str">
            <v>Aerospace Engineers</v>
          </cell>
          <cell r="C179">
            <v>66660</v>
          </cell>
          <cell r="D179">
            <v>1.6</v>
          </cell>
          <cell r="E179">
            <v>134330</v>
          </cell>
          <cell r="F179">
            <v>0.7</v>
          </cell>
          <cell r="G179">
            <v>130720</v>
          </cell>
        </row>
        <row r="180">
          <cell r="A180" t="str">
            <v>17-2011</v>
          </cell>
          <cell r="B180" t="str">
            <v>Aerospace Engineers</v>
          </cell>
          <cell r="C180">
            <v>66660</v>
          </cell>
          <cell r="D180">
            <v>1.6</v>
          </cell>
          <cell r="E180">
            <v>134330</v>
          </cell>
          <cell r="F180">
            <v>0.7</v>
          </cell>
          <cell r="G180">
            <v>130720</v>
          </cell>
        </row>
        <row r="181">
          <cell r="A181" t="str">
            <v>17-2020</v>
          </cell>
          <cell r="B181" t="str">
            <v>Agricultural Engineers</v>
          </cell>
          <cell r="C181">
            <v>1860</v>
          </cell>
          <cell r="D181">
            <v>19.8</v>
          </cell>
          <cell r="E181">
            <v>93490</v>
          </cell>
          <cell r="F181">
            <v>2.1</v>
          </cell>
          <cell r="G181">
            <v>88750</v>
          </cell>
        </row>
        <row r="182">
          <cell r="A182" t="str">
            <v>17-2021</v>
          </cell>
          <cell r="B182" t="str">
            <v>Agricultural Engineers</v>
          </cell>
          <cell r="C182">
            <v>1860</v>
          </cell>
          <cell r="D182">
            <v>19.8</v>
          </cell>
          <cell r="E182">
            <v>93490</v>
          </cell>
          <cell r="F182">
            <v>2.1</v>
          </cell>
          <cell r="G182">
            <v>88750</v>
          </cell>
        </row>
        <row r="183">
          <cell r="A183" t="str">
            <v>17-2030</v>
          </cell>
          <cell r="B183" t="str">
            <v>Bioengineers and Biomedical Engineers</v>
          </cell>
          <cell r="C183">
            <v>19320</v>
          </cell>
          <cell r="D183">
            <v>3.5</v>
          </cell>
          <cell r="E183">
            <v>106700</v>
          </cell>
          <cell r="F183">
            <v>0.8</v>
          </cell>
          <cell r="G183">
            <v>100730</v>
          </cell>
        </row>
        <row r="184">
          <cell r="A184" t="str">
            <v>17-2031</v>
          </cell>
          <cell r="B184" t="str">
            <v>Bioengineers and Biomedical Engineers</v>
          </cell>
          <cell r="C184">
            <v>19320</v>
          </cell>
          <cell r="D184">
            <v>3.5</v>
          </cell>
          <cell r="E184">
            <v>106700</v>
          </cell>
          <cell r="F184">
            <v>0.8</v>
          </cell>
          <cell r="G184">
            <v>100730</v>
          </cell>
        </row>
        <row r="185">
          <cell r="A185" t="str">
            <v>17-2040</v>
          </cell>
          <cell r="B185" t="str">
            <v>Chemical Engineers</v>
          </cell>
          <cell r="C185">
            <v>21140</v>
          </cell>
          <cell r="D185">
            <v>3.3</v>
          </cell>
          <cell r="E185">
            <v>122910</v>
          </cell>
          <cell r="F185">
            <v>2.1</v>
          </cell>
          <cell r="G185">
            <v>112100</v>
          </cell>
        </row>
        <row r="186">
          <cell r="A186" t="str">
            <v>17-2041</v>
          </cell>
          <cell r="B186" t="str">
            <v>Chemical Engineers</v>
          </cell>
          <cell r="C186">
            <v>21140</v>
          </cell>
          <cell r="D186">
            <v>3.3</v>
          </cell>
          <cell r="E186">
            <v>122910</v>
          </cell>
          <cell r="F186">
            <v>2.1</v>
          </cell>
          <cell r="G186">
            <v>112100</v>
          </cell>
        </row>
        <row r="187">
          <cell r="A187" t="str">
            <v>17-2050</v>
          </cell>
          <cell r="B187" t="str">
            <v>Civil Engineers</v>
          </cell>
          <cell r="C187">
            <v>327950</v>
          </cell>
          <cell r="D187">
            <v>1.5</v>
          </cell>
          <cell r="E187">
            <v>101160</v>
          </cell>
          <cell r="F187">
            <v>0.5</v>
          </cell>
          <cell r="G187">
            <v>95890</v>
          </cell>
        </row>
        <row r="188">
          <cell r="A188" t="str">
            <v>17-2051</v>
          </cell>
          <cell r="B188" t="str">
            <v>Civil Engineers</v>
          </cell>
          <cell r="C188">
            <v>327950</v>
          </cell>
          <cell r="D188">
            <v>1.5</v>
          </cell>
          <cell r="E188">
            <v>101160</v>
          </cell>
          <cell r="F188">
            <v>0.5</v>
          </cell>
          <cell r="G188">
            <v>95890</v>
          </cell>
        </row>
        <row r="189">
          <cell r="A189" t="str">
            <v>17-2060</v>
          </cell>
          <cell r="B189" t="str">
            <v>Computer Hardware Engineers</v>
          </cell>
          <cell r="C189">
            <v>82660</v>
          </cell>
          <cell r="D189">
            <v>2.2999999999999998</v>
          </cell>
          <cell r="E189">
            <v>147770</v>
          </cell>
          <cell r="F189">
            <v>1.3</v>
          </cell>
          <cell r="G189">
            <v>138080</v>
          </cell>
        </row>
        <row r="190">
          <cell r="A190" t="str">
            <v>17-2061</v>
          </cell>
          <cell r="B190" t="str">
            <v>Computer Hardware Engineers</v>
          </cell>
          <cell r="C190">
            <v>82660</v>
          </cell>
          <cell r="D190">
            <v>2.2999999999999998</v>
          </cell>
          <cell r="E190">
            <v>147770</v>
          </cell>
          <cell r="F190">
            <v>1.3</v>
          </cell>
          <cell r="G190">
            <v>138080</v>
          </cell>
        </row>
        <row r="191">
          <cell r="A191" t="str">
            <v>17-2070</v>
          </cell>
          <cell r="B191" t="str">
            <v>Electrical and Electronics Engineers</v>
          </cell>
          <cell r="C191">
            <v>281840</v>
          </cell>
          <cell r="D191">
            <v>1.5</v>
          </cell>
          <cell r="E191">
            <v>119910</v>
          </cell>
          <cell r="F191">
            <v>0.5</v>
          </cell>
          <cell r="G191">
            <v>109010</v>
          </cell>
        </row>
        <row r="192">
          <cell r="A192" t="str">
            <v>17-2071</v>
          </cell>
          <cell r="B192" t="str">
            <v>Electrical Engineers</v>
          </cell>
          <cell r="C192">
            <v>185430</v>
          </cell>
          <cell r="D192">
            <v>1.8</v>
          </cell>
          <cell r="E192">
            <v>117680</v>
          </cell>
          <cell r="F192">
            <v>0.7</v>
          </cell>
          <cell r="G192">
            <v>106950</v>
          </cell>
        </row>
        <row r="193">
          <cell r="A193" t="str">
            <v>17-2072</v>
          </cell>
          <cell r="B193" t="str">
            <v>Electronics Engineers, Except Computer</v>
          </cell>
          <cell r="C193">
            <v>96410</v>
          </cell>
          <cell r="D193">
            <v>1.5</v>
          </cell>
          <cell r="E193">
            <v>124190</v>
          </cell>
          <cell r="F193">
            <v>0.6</v>
          </cell>
          <cell r="G193">
            <v>119200</v>
          </cell>
        </row>
        <row r="194">
          <cell r="A194" t="str">
            <v>17-2080</v>
          </cell>
          <cell r="B194" t="str">
            <v>Environmental Engineers</v>
          </cell>
          <cell r="C194">
            <v>39880</v>
          </cell>
          <cell r="D194">
            <v>2.2000000000000002</v>
          </cell>
          <cell r="E194">
            <v>105840</v>
          </cell>
          <cell r="F194">
            <v>0.7</v>
          </cell>
          <cell r="G194">
            <v>100090</v>
          </cell>
        </row>
        <row r="195">
          <cell r="A195" t="str">
            <v>17-2081</v>
          </cell>
          <cell r="B195" t="str">
            <v>Environmental Engineers</v>
          </cell>
          <cell r="C195">
            <v>39880</v>
          </cell>
          <cell r="D195">
            <v>2.2000000000000002</v>
          </cell>
          <cell r="E195">
            <v>105840</v>
          </cell>
          <cell r="F195">
            <v>0.7</v>
          </cell>
          <cell r="G195">
            <v>100090</v>
          </cell>
        </row>
        <row r="196">
          <cell r="A196" t="str">
            <v>17-2110</v>
          </cell>
          <cell r="B196" t="str">
            <v>Industrial Engineers, Including Health and Safety</v>
          </cell>
          <cell r="C196">
            <v>355380</v>
          </cell>
          <cell r="D196">
            <v>0.6</v>
          </cell>
          <cell r="E196">
            <v>103510</v>
          </cell>
          <cell r="F196">
            <v>0.5</v>
          </cell>
          <cell r="G196">
            <v>99500</v>
          </cell>
        </row>
        <row r="197">
          <cell r="A197" t="str">
            <v>17-2111</v>
          </cell>
          <cell r="B197" t="str">
            <v>Health and Safety Engineers, Except Mining Safety Engineers and Inspectors</v>
          </cell>
          <cell r="C197">
            <v>22510</v>
          </cell>
          <cell r="D197">
            <v>2.5</v>
          </cell>
          <cell r="E197">
            <v>108740</v>
          </cell>
          <cell r="F197">
            <v>0.8</v>
          </cell>
          <cell r="G197">
            <v>103690</v>
          </cell>
        </row>
        <row r="198">
          <cell r="A198" t="str">
            <v>17-2112</v>
          </cell>
          <cell r="B198" t="str">
            <v>Industrial Engineers</v>
          </cell>
          <cell r="C198">
            <v>332870</v>
          </cell>
          <cell r="D198">
            <v>0.7</v>
          </cell>
          <cell r="E198">
            <v>103150</v>
          </cell>
          <cell r="F198">
            <v>0.5</v>
          </cell>
          <cell r="G198">
            <v>99380</v>
          </cell>
        </row>
        <row r="199">
          <cell r="A199" t="str">
            <v>17-2120</v>
          </cell>
          <cell r="B199" t="str">
            <v>Marine Engineers and Naval Architects</v>
          </cell>
          <cell r="C199">
            <v>9960</v>
          </cell>
          <cell r="D199">
            <v>7.4</v>
          </cell>
          <cell r="E199">
            <v>108110</v>
          </cell>
          <cell r="F199">
            <v>1.8</v>
          </cell>
          <cell r="G199">
            <v>100270</v>
          </cell>
        </row>
        <row r="200">
          <cell r="A200" t="str">
            <v>17-2121</v>
          </cell>
          <cell r="B200" t="str">
            <v>Marine Engineers and Naval Architects</v>
          </cell>
          <cell r="C200">
            <v>9960</v>
          </cell>
          <cell r="D200">
            <v>7.4</v>
          </cell>
          <cell r="E200">
            <v>108110</v>
          </cell>
          <cell r="F200">
            <v>1.8</v>
          </cell>
          <cell r="G200">
            <v>100270</v>
          </cell>
        </row>
        <row r="201">
          <cell r="A201" t="str">
            <v>17-2130</v>
          </cell>
          <cell r="B201" t="str">
            <v>Materials Engineers</v>
          </cell>
          <cell r="C201">
            <v>24630</v>
          </cell>
          <cell r="D201">
            <v>1.8</v>
          </cell>
          <cell r="E201">
            <v>110430</v>
          </cell>
          <cell r="F201">
            <v>0.7</v>
          </cell>
          <cell r="G201">
            <v>104100</v>
          </cell>
        </row>
        <row r="202">
          <cell r="A202" t="str">
            <v>17-2131</v>
          </cell>
          <cell r="B202" t="str">
            <v>Materials Engineers</v>
          </cell>
          <cell r="C202">
            <v>24630</v>
          </cell>
          <cell r="D202">
            <v>1.8</v>
          </cell>
          <cell r="E202">
            <v>110430</v>
          </cell>
          <cell r="F202">
            <v>0.7</v>
          </cell>
          <cell r="G202">
            <v>104100</v>
          </cell>
        </row>
        <row r="203">
          <cell r="A203" t="str">
            <v>17-2140</v>
          </cell>
          <cell r="B203" t="str">
            <v>Mechanical Engineers</v>
          </cell>
          <cell r="C203">
            <v>281290</v>
          </cell>
          <cell r="D203">
            <v>1.6</v>
          </cell>
          <cell r="E203">
            <v>105220</v>
          </cell>
          <cell r="F203">
            <v>0.5</v>
          </cell>
          <cell r="G203">
            <v>99510</v>
          </cell>
        </row>
        <row r="204">
          <cell r="A204" t="str">
            <v>17-2141</v>
          </cell>
          <cell r="B204" t="str">
            <v>Mechanical Engineers</v>
          </cell>
          <cell r="C204">
            <v>281290</v>
          </cell>
          <cell r="D204">
            <v>1.6</v>
          </cell>
          <cell r="E204">
            <v>105220</v>
          </cell>
          <cell r="F204">
            <v>0.5</v>
          </cell>
          <cell r="G204">
            <v>99510</v>
          </cell>
        </row>
        <row r="205">
          <cell r="A205" t="str">
            <v>17-2150</v>
          </cell>
          <cell r="B205" t="str">
            <v>Mining and Geological Engineers, Including Mining Safety Engineers</v>
          </cell>
          <cell r="C205">
            <v>7040</v>
          </cell>
          <cell r="D205">
            <v>6</v>
          </cell>
          <cell r="E205">
            <v>105460</v>
          </cell>
          <cell r="F205">
            <v>2.9</v>
          </cell>
          <cell r="G205">
            <v>100640</v>
          </cell>
        </row>
        <row r="206">
          <cell r="A206" t="str">
            <v>17-2151</v>
          </cell>
          <cell r="B206" t="str">
            <v>Mining and Geological Engineers, Including Mining Safety Engineers</v>
          </cell>
          <cell r="C206">
            <v>7040</v>
          </cell>
          <cell r="D206">
            <v>6</v>
          </cell>
          <cell r="E206">
            <v>105460</v>
          </cell>
          <cell r="F206">
            <v>2.9</v>
          </cell>
          <cell r="G206">
            <v>100640</v>
          </cell>
        </row>
        <row r="207">
          <cell r="A207" t="str">
            <v>17-2160</v>
          </cell>
          <cell r="B207" t="str">
            <v>Nuclear Engineers</v>
          </cell>
          <cell r="C207">
            <v>12710</v>
          </cell>
          <cell r="D207">
            <v>7.1</v>
          </cell>
          <cell r="E207">
            <v>126950</v>
          </cell>
          <cell r="F207">
            <v>0.8</v>
          </cell>
          <cell r="G207">
            <v>125460</v>
          </cell>
        </row>
        <row r="208">
          <cell r="A208" t="str">
            <v>17-2161</v>
          </cell>
          <cell r="B208" t="str">
            <v>Nuclear Engineers</v>
          </cell>
          <cell r="C208">
            <v>12710</v>
          </cell>
          <cell r="D208">
            <v>7.1</v>
          </cell>
          <cell r="E208">
            <v>126950</v>
          </cell>
          <cell r="F208">
            <v>0.8</v>
          </cell>
          <cell r="G208">
            <v>125460</v>
          </cell>
        </row>
        <row r="209">
          <cell r="A209" t="str">
            <v>17-2170</v>
          </cell>
          <cell r="B209" t="str">
            <v>Petroleum Engineers</v>
          </cell>
          <cell r="C209">
            <v>20390</v>
          </cell>
          <cell r="D209">
            <v>3.6</v>
          </cell>
          <cell r="E209">
            <v>148590</v>
          </cell>
          <cell r="F209">
            <v>1.5</v>
          </cell>
          <cell r="G209">
            <v>135690</v>
          </cell>
        </row>
        <row r="210">
          <cell r="A210" t="str">
            <v>17-2171</v>
          </cell>
          <cell r="B210" t="str">
            <v>Petroleum Engineers</v>
          </cell>
          <cell r="C210">
            <v>20390</v>
          </cell>
          <cell r="D210">
            <v>3.6</v>
          </cell>
          <cell r="E210">
            <v>148590</v>
          </cell>
          <cell r="F210">
            <v>1.5</v>
          </cell>
          <cell r="G210">
            <v>135690</v>
          </cell>
        </row>
        <row r="211">
          <cell r="A211" t="str">
            <v>17-2190</v>
          </cell>
          <cell r="B211" t="str">
            <v>Miscellaneous Engineers</v>
          </cell>
          <cell r="C211">
            <v>150990</v>
          </cell>
          <cell r="D211">
            <v>1.3</v>
          </cell>
          <cell r="E211">
            <v>118350</v>
          </cell>
          <cell r="F211">
            <v>0.5</v>
          </cell>
          <cell r="G211">
            <v>111970</v>
          </cell>
        </row>
        <row r="212">
          <cell r="A212" t="str">
            <v>17-2199</v>
          </cell>
          <cell r="B212" t="str">
            <v>Engineers, All Other</v>
          </cell>
          <cell r="C212">
            <v>150990</v>
          </cell>
          <cell r="D212">
            <v>1.3</v>
          </cell>
          <cell r="E212">
            <v>118350</v>
          </cell>
          <cell r="F212">
            <v>0.5</v>
          </cell>
          <cell r="G212">
            <v>111970</v>
          </cell>
        </row>
        <row r="213">
          <cell r="A213" t="str">
            <v>17-3000</v>
          </cell>
          <cell r="B213" t="str">
            <v>Drafters, Engineering Technicians, and Mapping Technicians</v>
          </cell>
          <cell r="C213">
            <v>641350</v>
          </cell>
          <cell r="D213">
            <v>0.6</v>
          </cell>
          <cell r="E213">
            <v>67700</v>
          </cell>
          <cell r="F213">
            <v>0.3</v>
          </cell>
          <cell r="G213">
            <v>63100</v>
          </cell>
        </row>
        <row r="214">
          <cell r="A214" t="str">
            <v>17-3010</v>
          </cell>
          <cell r="B214" t="str">
            <v>Drafters</v>
          </cell>
          <cell r="C214">
            <v>193180</v>
          </cell>
          <cell r="D214">
            <v>1.4</v>
          </cell>
          <cell r="E214">
            <v>66840</v>
          </cell>
          <cell r="F214">
            <v>0.4</v>
          </cell>
          <cell r="G214">
            <v>62530</v>
          </cell>
        </row>
        <row r="215">
          <cell r="A215" t="str">
            <v>17-3011</v>
          </cell>
          <cell r="B215" t="str">
            <v>Architectural and Civil Drafters</v>
          </cell>
          <cell r="C215">
            <v>111070</v>
          </cell>
          <cell r="D215">
            <v>2.2999999999999998</v>
          </cell>
          <cell r="E215">
            <v>65000</v>
          </cell>
          <cell r="F215">
            <v>0.6</v>
          </cell>
          <cell r="G215">
            <v>61820</v>
          </cell>
        </row>
        <row r="216">
          <cell r="A216" t="str">
            <v>17-3012</v>
          </cell>
          <cell r="B216" t="str">
            <v>Electrical and Electronics Drafters</v>
          </cell>
          <cell r="C216">
            <v>20680</v>
          </cell>
          <cell r="D216">
            <v>3.1</v>
          </cell>
          <cell r="E216">
            <v>73110</v>
          </cell>
          <cell r="F216">
            <v>0.8</v>
          </cell>
          <cell r="G216">
            <v>69260</v>
          </cell>
        </row>
        <row r="217">
          <cell r="A217" t="str">
            <v>17-3013</v>
          </cell>
          <cell r="B217" t="str">
            <v>Mechanical Drafters</v>
          </cell>
          <cell r="C217">
            <v>44850</v>
          </cell>
          <cell r="D217">
            <v>1.4</v>
          </cell>
          <cell r="E217">
            <v>69920</v>
          </cell>
          <cell r="F217">
            <v>0.6</v>
          </cell>
          <cell r="G217">
            <v>64060</v>
          </cell>
        </row>
        <row r="218">
          <cell r="A218" t="str">
            <v>17-3019</v>
          </cell>
          <cell r="B218" t="str">
            <v>Drafters, All Other</v>
          </cell>
          <cell r="C218">
            <v>16580</v>
          </cell>
          <cell r="D218">
            <v>4.0999999999999996</v>
          </cell>
          <cell r="E218">
            <v>62980</v>
          </cell>
          <cell r="F218">
            <v>0.9</v>
          </cell>
          <cell r="G218">
            <v>59260</v>
          </cell>
        </row>
        <row r="219">
          <cell r="A219" t="str">
            <v>17-3020</v>
          </cell>
          <cell r="B219" t="str">
            <v>Engineering Technologists and Technicians, Except Drafters</v>
          </cell>
          <cell r="C219">
            <v>392120</v>
          </cell>
          <cell r="D219">
            <v>0.6</v>
          </cell>
          <cell r="E219">
            <v>70080</v>
          </cell>
          <cell r="F219">
            <v>0.4</v>
          </cell>
          <cell r="G219">
            <v>64840</v>
          </cell>
        </row>
        <row r="220">
          <cell r="A220" t="str">
            <v>17-3021</v>
          </cell>
          <cell r="B220" t="str">
            <v>Aerospace Engineering and Operations Technologists and Technicians</v>
          </cell>
          <cell r="C220">
            <v>10640</v>
          </cell>
          <cell r="D220">
            <v>4</v>
          </cell>
          <cell r="E220">
            <v>81280</v>
          </cell>
          <cell r="F220">
            <v>1.4</v>
          </cell>
          <cell r="G220">
            <v>77830</v>
          </cell>
        </row>
        <row r="221">
          <cell r="A221" t="str">
            <v>17-3022</v>
          </cell>
          <cell r="B221" t="str">
            <v>Civil Engineering Technologists and Technicians</v>
          </cell>
          <cell r="C221">
            <v>63560</v>
          </cell>
          <cell r="D221">
            <v>2.2000000000000002</v>
          </cell>
          <cell r="E221">
            <v>63770</v>
          </cell>
          <cell r="F221">
            <v>0.9</v>
          </cell>
          <cell r="G221">
            <v>60700</v>
          </cell>
        </row>
        <row r="222">
          <cell r="A222" t="str">
            <v>17-3023</v>
          </cell>
          <cell r="B222" t="str">
            <v>Electrical and Electronic Engineering Technologists and Technicians</v>
          </cell>
          <cell r="C222">
            <v>97420</v>
          </cell>
          <cell r="D222">
            <v>1.1000000000000001</v>
          </cell>
          <cell r="E222">
            <v>74440</v>
          </cell>
          <cell r="F222">
            <v>0.4</v>
          </cell>
          <cell r="G222">
            <v>72800</v>
          </cell>
        </row>
        <row r="223">
          <cell r="A223" t="str">
            <v>17-3024</v>
          </cell>
          <cell r="B223" t="str">
            <v>Electro-Mechanical and Mechatronics Technologists and Technicians</v>
          </cell>
          <cell r="C223">
            <v>15360</v>
          </cell>
          <cell r="D223">
            <v>3</v>
          </cell>
          <cell r="E223">
            <v>72430</v>
          </cell>
          <cell r="F223">
            <v>0.9</v>
          </cell>
          <cell r="G223">
            <v>65080</v>
          </cell>
        </row>
        <row r="224">
          <cell r="A224" t="str">
            <v>17-3025</v>
          </cell>
          <cell r="B224" t="str">
            <v>Environmental Engineering Technologists and Technicians</v>
          </cell>
          <cell r="C224">
            <v>13780</v>
          </cell>
          <cell r="D224">
            <v>4.9000000000000004</v>
          </cell>
          <cell r="E224">
            <v>58780</v>
          </cell>
          <cell r="F224">
            <v>1.3</v>
          </cell>
          <cell r="G224">
            <v>54000</v>
          </cell>
        </row>
        <row r="225">
          <cell r="A225" t="str">
            <v>17-3026</v>
          </cell>
          <cell r="B225" t="str">
            <v>Industrial Engineering Technologists and Technicians</v>
          </cell>
          <cell r="C225">
            <v>73020</v>
          </cell>
          <cell r="D225">
            <v>1</v>
          </cell>
          <cell r="E225">
            <v>66640</v>
          </cell>
          <cell r="F225">
            <v>0.6</v>
          </cell>
          <cell r="G225">
            <v>62610</v>
          </cell>
        </row>
        <row r="226">
          <cell r="A226" t="str">
            <v>17-3027</v>
          </cell>
          <cell r="B226" t="str">
            <v>Mechanical Engineering Technologists and Technicians</v>
          </cell>
          <cell r="C226">
            <v>38930</v>
          </cell>
          <cell r="D226">
            <v>2.2999999999999998</v>
          </cell>
          <cell r="E226">
            <v>67990</v>
          </cell>
          <cell r="F226">
            <v>0.5</v>
          </cell>
          <cell r="G226">
            <v>64020</v>
          </cell>
        </row>
        <row r="227">
          <cell r="A227" t="str">
            <v>17-3028</v>
          </cell>
          <cell r="B227" t="str">
            <v>Calibration Technologists and Technicians</v>
          </cell>
          <cell r="C227">
            <v>13220</v>
          </cell>
          <cell r="D227">
            <v>4.0999999999999996</v>
          </cell>
          <cell r="E227">
            <v>67360</v>
          </cell>
          <cell r="F227">
            <v>1.6</v>
          </cell>
          <cell r="G227">
            <v>62790</v>
          </cell>
        </row>
        <row r="228">
          <cell r="A228" t="str">
            <v>17-3029</v>
          </cell>
          <cell r="B228" t="str">
            <v>Engineering Technologists and Technicians, Except Drafters, All Other</v>
          </cell>
          <cell r="C228">
            <v>66200</v>
          </cell>
          <cell r="D228">
            <v>1.9</v>
          </cell>
          <cell r="E228">
            <v>75290</v>
          </cell>
          <cell r="F228">
            <v>0.8</v>
          </cell>
          <cell r="G228">
            <v>73500</v>
          </cell>
        </row>
        <row r="229">
          <cell r="A229" t="str">
            <v>17-3030</v>
          </cell>
          <cell r="B229" t="str">
            <v>Surveying and Mapping Technicians</v>
          </cell>
          <cell r="C229">
            <v>56050</v>
          </cell>
          <cell r="D229">
            <v>2.5</v>
          </cell>
          <cell r="E229">
            <v>54090</v>
          </cell>
          <cell r="F229">
            <v>0.8</v>
          </cell>
          <cell r="G229">
            <v>48940</v>
          </cell>
        </row>
        <row r="230">
          <cell r="A230" t="str">
            <v>17-3031</v>
          </cell>
          <cell r="B230" t="str">
            <v>Surveying and Mapping Technicians</v>
          </cell>
          <cell r="C230">
            <v>56050</v>
          </cell>
          <cell r="D230">
            <v>2.5</v>
          </cell>
          <cell r="E230">
            <v>54090</v>
          </cell>
          <cell r="F230">
            <v>0.8</v>
          </cell>
          <cell r="G230">
            <v>48940</v>
          </cell>
        </row>
        <row r="231">
          <cell r="A231" t="str">
            <v>19-0000</v>
          </cell>
          <cell r="B231" t="str">
            <v>Life, Physical, and Social Science Occupations</v>
          </cell>
          <cell r="C231">
            <v>1389430</v>
          </cell>
          <cell r="D231">
            <v>0.4</v>
          </cell>
          <cell r="E231">
            <v>87870</v>
          </cell>
          <cell r="F231">
            <v>0.6</v>
          </cell>
          <cell r="G231">
            <v>78280</v>
          </cell>
        </row>
        <row r="232">
          <cell r="A232" t="str">
            <v>19-1000</v>
          </cell>
          <cell r="B232" t="str">
            <v>Life Scientists</v>
          </cell>
          <cell r="C232">
            <v>352000</v>
          </cell>
          <cell r="D232">
            <v>0.6</v>
          </cell>
          <cell r="E232">
            <v>100630</v>
          </cell>
          <cell r="F232">
            <v>1.5</v>
          </cell>
          <cell r="G232">
            <v>88620</v>
          </cell>
        </row>
        <row r="233">
          <cell r="A233" t="str">
            <v>19-1010</v>
          </cell>
          <cell r="B233" t="str">
            <v>Agricultural and Food Scientists</v>
          </cell>
          <cell r="C233">
            <v>32360</v>
          </cell>
          <cell r="D233">
            <v>2.6</v>
          </cell>
          <cell r="E233">
            <v>82930</v>
          </cell>
          <cell r="F233">
            <v>1.1000000000000001</v>
          </cell>
          <cell r="G233">
            <v>76400</v>
          </cell>
        </row>
        <row r="234">
          <cell r="A234" t="str">
            <v>19-1011</v>
          </cell>
          <cell r="B234" t="str">
            <v>Animal Scientists</v>
          </cell>
          <cell r="C234">
            <v>2460</v>
          </cell>
          <cell r="D234">
            <v>8.4</v>
          </cell>
          <cell r="E234">
            <v>89450</v>
          </cell>
          <cell r="F234">
            <v>4.5</v>
          </cell>
          <cell r="G234">
            <v>70140</v>
          </cell>
        </row>
        <row r="235">
          <cell r="A235" t="str">
            <v>19-1012</v>
          </cell>
          <cell r="B235" t="str">
            <v>Food Scientists and Technologists</v>
          </cell>
          <cell r="C235">
            <v>14100</v>
          </cell>
          <cell r="D235">
            <v>4.3</v>
          </cell>
          <cell r="E235">
            <v>88350</v>
          </cell>
          <cell r="F235">
            <v>1.3</v>
          </cell>
          <cell r="G235">
            <v>82090</v>
          </cell>
        </row>
        <row r="236">
          <cell r="A236" t="str">
            <v>19-1013</v>
          </cell>
          <cell r="B236" t="str">
            <v>Soil and Plant Scientists</v>
          </cell>
          <cell r="C236">
            <v>15800</v>
          </cell>
          <cell r="D236">
            <v>5.7</v>
          </cell>
          <cell r="E236">
            <v>77080</v>
          </cell>
          <cell r="F236">
            <v>1.9</v>
          </cell>
          <cell r="G236">
            <v>68240</v>
          </cell>
        </row>
        <row r="237">
          <cell r="A237" t="str">
            <v>19-1020</v>
          </cell>
          <cell r="B237" t="str">
            <v>Biological Scientists</v>
          </cell>
          <cell r="C237">
            <v>133050</v>
          </cell>
          <cell r="D237">
            <v>1.3</v>
          </cell>
          <cell r="E237">
            <v>100440</v>
          </cell>
          <cell r="F237">
            <v>0.9</v>
          </cell>
          <cell r="G237">
            <v>91790</v>
          </cell>
        </row>
        <row r="238">
          <cell r="A238" t="str">
            <v>19-1021</v>
          </cell>
          <cell r="B238" t="str">
            <v>Biochemists and Biophysicists</v>
          </cell>
          <cell r="C238">
            <v>33180</v>
          </cell>
          <cell r="D238">
            <v>3.2</v>
          </cell>
          <cell r="E238">
            <v>120310</v>
          </cell>
          <cell r="F238">
            <v>1.4</v>
          </cell>
          <cell r="G238">
            <v>107460</v>
          </cell>
        </row>
        <row r="239">
          <cell r="A239" t="str">
            <v>19-1022</v>
          </cell>
          <cell r="B239" t="str">
            <v>Microbiologists</v>
          </cell>
          <cell r="C239">
            <v>21540</v>
          </cell>
          <cell r="D239">
            <v>3.1</v>
          </cell>
          <cell r="E239">
            <v>93380</v>
          </cell>
          <cell r="F239">
            <v>1.1000000000000001</v>
          </cell>
          <cell r="G239">
            <v>85470</v>
          </cell>
        </row>
        <row r="240">
          <cell r="A240" t="str">
            <v>19-1023</v>
          </cell>
          <cell r="B240" t="str">
            <v>Zoologists and Wildlife Biologists</v>
          </cell>
          <cell r="C240">
            <v>17100</v>
          </cell>
          <cell r="D240">
            <v>2.1</v>
          </cell>
          <cell r="E240">
            <v>75740</v>
          </cell>
          <cell r="F240">
            <v>0.6</v>
          </cell>
          <cell r="G240">
            <v>70600</v>
          </cell>
        </row>
        <row r="241">
          <cell r="A241" t="str">
            <v>19-1029</v>
          </cell>
          <cell r="B241" t="str">
            <v>Biological Scientists, All Other</v>
          </cell>
          <cell r="C241">
            <v>61220</v>
          </cell>
          <cell r="D241">
            <v>1.9</v>
          </cell>
          <cell r="E241">
            <v>99060</v>
          </cell>
          <cell r="F241">
            <v>1.3</v>
          </cell>
          <cell r="G241">
            <v>91100</v>
          </cell>
        </row>
        <row r="242">
          <cell r="A242" t="str">
            <v>19-1030</v>
          </cell>
          <cell r="B242" t="str">
            <v>Conservation Scientists and Foresters</v>
          </cell>
          <cell r="C242">
            <v>32240</v>
          </cell>
          <cell r="D242">
            <v>1.6</v>
          </cell>
          <cell r="E242">
            <v>72430</v>
          </cell>
          <cell r="F242">
            <v>0.5</v>
          </cell>
          <cell r="G242">
            <v>68300</v>
          </cell>
        </row>
        <row r="243">
          <cell r="A243" t="str">
            <v>19-1031</v>
          </cell>
          <cell r="B243" t="str">
            <v>Conservation Scientists</v>
          </cell>
          <cell r="C243">
            <v>22790</v>
          </cell>
          <cell r="D243">
            <v>1.5</v>
          </cell>
          <cell r="E243">
            <v>73160</v>
          </cell>
          <cell r="F243">
            <v>0.7</v>
          </cell>
          <cell r="G243">
            <v>68750</v>
          </cell>
        </row>
        <row r="244">
          <cell r="A244" t="str">
            <v>19-1032</v>
          </cell>
          <cell r="B244" t="str">
            <v>Foresters</v>
          </cell>
          <cell r="C244">
            <v>9450</v>
          </cell>
          <cell r="D244">
            <v>3.2</v>
          </cell>
          <cell r="E244">
            <v>70680</v>
          </cell>
          <cell r="F244">
            <v>1.1000000000000001</v>
          </cell>
          <cell r="G244">
            <v>67330</v>
          </cell>
        </row>
        <row r="245">
          <cell r="A245" t="str">
            <v>19-1040</v>
          </cell>
          <cell r="B245" t="str">
            <v>Medical Scientists</v>
          </cell>
          <cell r="C245">
            <v>146850</v>
          </cell>
          <cell r="D245">
            <v>1.2</v>
          </cell>
          <cell r="E245">
            <v>110850</v>
          </cell>
          <cell r="F245">
            <v>2.4</v>
          </cell>
          <cell r="G245">
            <v>99980</v>
          </cell>
        </row>
        <row r="246">
          <cell r="A246" t="str">
            <v>19-1041</v>
          </cell>
          <cell r="B246" t="str">
            <v>Epidemiologists</v>
          </cell>
          <cell r="C246">
            <v>10230</v>
          </cell>
          <cell r="D246">
            <v>2.4</v>
          </cell>
          <cell r="E246">
            <v>90430</v>
          </cell>
          <cell r="F246">
            <v>0.8</v>
          </cell>
          <cell r="G246">
            <v>81390</v>
          </cell>
        </row>
        <row r="247">
          <cell r="A247" t="str">
            <v>19-1042</v>
          </cell>
          <cell r="B247" t="str">
            <v>Medical Scientists, Except Epidemiologists</v>
          </cell>
          <cell r="C247">
            <v>136620</v>
          </cell>
          <cell r="D247">
            <v>1.3</v>
          </cell>
          <cell r="E247">
            <v>112380</v>
          </cell>
          <cell r="F247">
            <v>2.5</v>
          </cell>
          <cell r="G247">
            <v>100890</v>
          </cell>
        </row>
        <row r="248">
          <cell r="A248" t="str">
            <v>19-1090</v>
          </cell>
          <cell r="B248" t="str">
            <v>Miscellaneous Life Scientists</v>
          </cell>
          <cell r="C248">
            <v>7490</v>
          </cell>
          <cell r="D248">
            <v>3.1</v>
          </cell>
          <cell r="E248">
            <v>101520</v>
          </cell>
          <cell r="F248">
            <v>1.6</v>
          </cell>
          <cell r="G248">
            <v>86950</v>
          </cell>
        </row>
        <row r="249">
          <cell r="A249" t="str">
            <v>19-1099</v>
          </cell>
          <cell r="B249" t="str">
            <v>Life Scientists, All Other</v>
          </cell>
          <cell r="C249">
            <v>7490</v>
          </cell>
          <cell r="D249">
            <v>3.1</v>
          </cell>
          <cell r="E249">
            <v>101520</v>
          </cell>
          <cell r="F249">
            <v>1.6</v>
          </cell>
          <cell r="G249">
            <v>86950</v>
          </cell>
        </row>
        <row r="250">
          <cell r="A250" t="str">
            <v>19-2000</v>
          </cell>
          <cell r="B250" t="str">
            <v>Physical Scientists</v>
          </cell>
          <cell r="C250">
            <v>254410</v>
          </cell>
          <cell r="D250">
            <v>0.7</v>
          </cell>
          <cell r="E250">
            <v>101110</v>
          </cell>
          <cell r="F250">
            <v>0.4</v>
          </cell>
          <cell r="G250">
            <v>89350</v>
          </cell>
        </row>
        <row r="251">
          <cell r="A251" t="str">
            <v>19-2010</v>
          </cell>
          <cell r="B251" t="str">
            <v>Astronomers and Physicists</v>
          </cell>
          <cell r="C251">
            <v>20430</v>
          </cell>
          <cell r="D251">
            <v>1.6</v>
          </cell>
          <cell r="E251">
            <v>155280</v>
          </cell>
          <cell r="F251">
            <v>0.6</v>
          </cell>
          <cell r="G251">
            <v>149530</v>
          </cell>
        </row>
        <row r="252">
          <cell r="A252" t="str">
            <v>19-2011</v>
          </cell>
          <cell r="B252" t="str">
            <v>Astronomers</v>
          </cell>
          <cell r="C252">
            <v>2080</v>
          </cell>
          <cell r="D252">
            <v>7.9</v>
          </cell>
          <cell r="E252">
            <v>128940</v>
          </cell>
          <cell r="F252">
            <v>2.5</v>
          </cell>
          <cell r="G252">
            <v>127930</v>
          </cell>
        </row>
        <row r="253">
          <cell r="A253" t="str">
            <v>19-2012</v>
          </cell>
          <cell r="B253" t="str">
            <v>Physicists</v>
          </cell>
          <cell r="C253">
            <v>18350</v>
          </cell>
          <cell r="D253">
            <v>1.7</v>
          </cell>
          <cell r="E253">
            <v>158270</v>
          </cell>
          <cell r="F253">
            <v>0.6</v>
          </cell>
          <cell r="G253">
            <v>155680</v>
          </cell>
        </row>
        <row r="254">
          <cell r="A254" t="str">
            <v>19-2020</v>
          </cell>
          <cell r="B254" t="str">
            <v>Atmospheric and Space Scientists</v>
          </cell>
          <cell r="C254">
            <v>9310</v>
          </cell>
          <cell r="D254">
            <v>4.3</v>
          </cell>
          <cell r="E254">
            <v>101530</v>
          </cell>
          <cell r="F254">
            <v>1.2</v>
          </cell>
          <cell r="G254">
            <v>92860</v>
          </cell>
        </row>
        <row r="255">
          <cell r="A255" t="str">
            <v>19-2021</v>
          </cell>
          <cell r="B255" t="str">
            <v>Atmospheric and Space Scientists</v>
          </cell>
          <cell r="C255">
            <v>9310</v>
          </cell>
          <cell r="D255">
            <v>4.3</v>
          </cell>
          <cell r="E255">
            <v>101530</v>
          </cell>
          <cell r="F255">
            <v>1.2</v>
          </cell>
          <cell r="G255">
            <v>92860</v>
          </cell>
        </row>
        <row r="256">
          <cell r="A256" t="str">
            <v>19-2030</v>
          </cell>
          <cell r="B256" t="str">
            <v>Chemists and Materials Scientists</v>
          </cell>
          <cell r="C256">
            <v>92350</v>
          </cell>
          <cell r="D256">
            <v>1.5</v>
          </cell>
          <cell r="E256">
            <v>97170</v>
          </cell>
          <cell r="F256">
            <v>0.6</v>
          </cell>
          <cell r="G256">
            <v>87180</v>
          </cell>
        </row>
        <row r="257">
          <cell r="A257" t="str">
            <v>19-2031</v>
          </cell>
          <cell r="B257" t="str">
            <v>Chemists</v>
          </cell>
          <cell r="C257">
            <v>83530</v>
          </cell>
          <cell r="D257">
            <v>1.5</v>
          </cell>
          <cell r="E257">
            <v>95560</v>
          </cell>
          <cell r="F257">
            <v>0.6</v>
          </cell>
          <cell r="G257">
            <v>84680</v>
          </cell>
        </row>
        <row r="258">
          <cell r="A258" t="str">
            <v>19-2032</v>
          </cell>
          <cell r="B258" t="str">
            <v>Materials Scientists</v>
          </cell>
          <cell r="C258">
            <v>8810</v>
          </cell>
          <cell r="D258">
            <v>6.7</v>
          </cell>
          <cell r="E258">
            <v>112440</v>
          </cell>
          <cell r="F258">
            <v>1.3</v>
          </cell>
          <cell r="G258">
            <v>106160</v>
          </cell>
        </row>
        <row r="259">
          <cell r="A259" t="str">
            <v>19-2040</v>
          </cell>
          <cell r="B259" t="str">
            <v>Environmental Scientists and Geoscientists</v>
          </cell>
          <cell r="C259">
            <v>111500</v>
          </cell>
          <cell r="D259">
            <v>1.4</v>
          </cell>
          <cell r="E259">
            <v>91060</v>
          </cell>
          <cell r="F259">
            <v>0.5</v>
          </cell>
          <cell r="G259">
            <v>81360</v>
          </cell>
        </row>
        <row r="260">
          <cell r="A260" t="str">
            <v>19-2041</v>
          </cell>
          <cell r="B260" t="str">
            <v>Environmental Scientists and Specialists, Including Health</v>
          </cell>
          <cell r="C260">
            <v>80730</v>
          </cell>
          <cell r="D260">
            <v>1.2</v>
          </cell>
          <cell r="E260">
            <v>86710</v>
          </cell>
          <cell r="F260">
            <v>0.6</v>
          </cell>
          <cell r="G260">
            <v>78980</v>
          </cell>
        </row>
        <row r="261">
          <cell r="A261" t="str">
            <v>19-2042</v>
          </cell>
          <cell r="B261" t="str">
            <v>Geoscientists, Except Hydrologists and Geographers</v>
          </cell>
          <cell r="C261">
            <v>24620</v>
          </cell>
          <cell r="D261">
            <v>3.8</v>
          </cell>
          <cell r="E261">
            <v>104000</v>
          </cell>
          <cell r="F261">
            <v>1.1000000000000001</v>
          </cell>
          <cell r="G261">
            <v>92580</v>
          </cell>
        </row>
        <row r="262">
          <cell r="A262" t="str">
            <v>19-2043</v>
          </cell>
          <cell r="B262" t="str">
            <v>Hydrologists</v>
          </cell>
          <cell r="C262">
            <v>6150</v>
          </cell>
          <cell r="D262">
            <v>4.3</v>
          </cell>
          <cell r="E262">
            <v>96410</v>
          </cell>
          <cell r="F262">
            <v>2</v>
          </cell>
          <cell r="G262">
            <v>88770</v>
          </cell>
        </row>
        <row r="263">
          <cell r="A263" t="str">
            <v>19-2090</v>
          </cell>
          <cell r="B263" t="str">
            <v>Miscellaneous Physical Scientists</v>
          </cell>
          <cell r="C263">
            <v>20820</v>
          </cell>
          <cell r="D263">
            <v>1.6</v>
          </cell>
          <cell r="E263">
            <v>119050</v>
          </cell>
          <cell r="F263">
            <v>0.7</v>
          </cell>
          <cell r="G263">
            <v>112280</v>
          </cell>
        </row>
        <row r="264">
          <cell r="A264" t="str">
            <v>19-2099</v>
          </cell>
          <cell r="B264" t="str">
            <v>Physical Scientists, All Other</v>
          </cell>
          <cell r="C264">
            <v>20820</v>
          </cell>
          <cell r="D264">
            <v>1.6</v>
          </cell>
          <cell r="E264">
            <v>119050</v>
          </cell>
          <cell r="F264">
            <v>0.7</v>
          </cell>
          <cell r="G264">
            <v>112280</v>
          </cell>
        </row>
        <row r="265">
          <cell r="A265" t="str">
            <v>19-3000</v>
          </cell>
          <cell r="B265" t="str">
            <v>Social Scientists and Related Workers</v>
          </cell>
          <cell r="C265">
            <v>273230</v>
          </cell>
          <cell r="D265">
            <v>1.4</v>
          </cell>
          <cell r="E265">
            <v>99260</v>
          </cell>
          <cell r="F265">
            <v>0.6</v>
          </cell>
          <cell r="G265">
            <v>89440</v>
          </cell>
        </row>
        <row r="266">
          <cell r="A266" t="str">
            <v>19-3010</v>
          </cell>
          <cell r="B266" t="str">
            <v>Economists</v>
          </cell>
          <cell r="C266">
            <v>16420</v>
          </cell>
          <cell r="D266">
            <v>3.5</v>
          </cell>
          <cell r="E266">
            <v>132650</v>
          </cell>
          <cell r="F266">
            <v>2.6</v>
          </cell>
          <cell r="G266">
            <v>115730</v>
          </cell>
        </row>
        <row r="267">
          <cell r="A267" t="str">
            <v>19-3011</v>
          </cell>
          <cell r="B267" t="str">
            <v>Economists</v>
          </cell>
          <cell r="C267">
            <v>16420</v>
          </cell>
          <cell r="D267">
            <v>3.5</v>
          </cell>
          <cell r="E267">
            <v>132650</v>
          </cell>
          <cell r="F267">
            <v>2.6</v>
          </cell>
          <cell r="G267">
            <v>115730</v>
          </cell>
        </row>
        <row r="268">
          <cell r="A268" t="str">
            <v>19-3020</v>
          </cell>
          <cell r="B268" t="str">
            <v>Survey Researchers</v>
          </cell>
          <cell r="C268">
            <v>8190</v>
          </cell>
          <cell r="D268">
            <v>4.8</v>
          </cell>
          <cell r="E268">
            <v>66670</v>
          </cell>
          <cell r="F268">
            <v>2.2000000000000002</v>
          </cell>
          <cell r="G268">
            <v>60960</v>
          </cell>
        </row>
        <row r="269">
          <cell r="A269" t="str">
            <v>19-3022</v>
          </cell>
          <cell r="B269" t="str">
            <v>Survey Researchers</v>
          </cell>
          <cell r="C269">
            <v>8190</v>
          </cell>
          <cell r="D269">
            <v>4.8</v>
          </cell>
          <cell r="E269">
            <v>66670</v>
          </cell>
          <cell r="F269">
            <v>2.2000000000000002</v>
          </cell>
          <cell r="G269">
            <v>60960</v>
          </cell>
        </row>
        <row r="270">
          <cell r="A270" t="str">
            <v>19-3030</v>
          </cell>
          <cell r="B270" t="str">
            <v>Psychologists</v>
          </cell>
          <cell r="C270">
            <v>150030</v>
          </cell>
          <cell r="D270">
            <v>2.7</v>
          </cell>
          <cell r="E270">
            <v>101170</v>
          </cell>
          <cell r="F270">
            <v>0.8</v>
          </cell>
          <cell r="G270">
            <v>92740</v>
          </cell>
        </row>
        <row r="271">
          <cell r="A271" t="str">
            <v>19-3032</v>
          </cell>
          <cell r="B271" t="str">
            <v>Industrial-Organizational Psychologists</v>
          </cell>
          <cell r="C271">
            <v>1030</v>
          </cell>
          <cell r="D271">
            <v>14.2</v>
          </cell>
          <cell r="E271">
            <v>154380</v>
          </cell>
          <cell r="F271">
            <v>7.5</v>
          </cell>
          <cell r="G271">
            <v>147420</v>
          </cell>
        </row>
        <row r="272">
          <cell r="A272" t="str">
            <v>19-3033</v>
          </cell>
          <cell r="B272" t="str">
            <v>Clinical and Counseling Psychologists</v>
          </cell>
          <cell r="C272">
            <v>71730</v>
          </cell>
          <cell r="D272">
            <v>4.4000000000000004</v>
          </cell>
          <cell r="E272">
            <v>106600</v>
          </cell>
          <cell r="F272">
            <v>1.6</v>
          </cell>
          <cell r="G272">
            <v>96100</v>
          </cell>
        </row>
        <row r="273">
          <cell r="A273" t="str">
            <v>19-3034</v>
          </cell>
          <cell r="B273" t="str">
            <v>School Psychologists</v>
          </cell>
          <cell r="C273">
            <v>62790</v>
          </cell>
          <cell r="D273">
            <v>1.8</v>
          </cell>
          <cell r="E273">
            <v>91990</v>
          </cell>
          <cell r="F273">
            <v>0.8</v>
          </cell>
          <cell r="G273">
            <v>84940</v>
          </cell>
        </row>
        <row r="274">
          <cell r="A274" t="str">
            <v>19-3039</v>
          </cell>
          <cell r="B274" t="str">
            <v>Psychologists, All Other</v>
          </cell>
          <cell r="C274">
            <v>14480</v>
          </cell>
          <cell r="D274">
            <v>1.8</v>
          </cell>
          <cell r="E274">
            <v>110300</v>
          </cell>
          <cell r="F274">
            <v>1.1000000000000001</v>
          </cell>
          <cell r="G274">
            <v>117750</v>
          </cell>
        </row>
        <row r="275">
          <cell r="A275" t="str">
            <v>19-3040</v>
          </cell>
          <cell r="B275" t="str">
            <v>Sociologists</v>
          </cell>
          <cell r="C275">
            <v>2890</v>
          </cell>
          <cell r="D275">
            <v>7.2</v>
          </cell>
          <cell r="E275">
            <v>106710</v>
          </cell>
          <cell r="F275">
            <v>2.2999999999999998</v>
          </cell>
          <cell r="G275">
            <v>101770</v>
          </cell>
        </row>
        <row r="276">
          <cell r="A276" t="str">
            <v>19-3041</v>
          </cell>
          <cell r="B276" t="str">
            <v>Sociologists</v>
          </cell>
          <cell r="C276">
            <v>2890</v>
          </cell>
          <cell r="D276">
            <v>7.2</v>
          </cell>
          <cell r="E276">
            <v>106710</v>
          </cell>
          <cell r="F276">
            <v>2.2999999999999998</v>
          </cell>
          <cell r="G276">
            <v>101770</v>
          </cell>
        </row>
        <row r="277">
          <cell r="A277" t="str">
            <v>19-3050</v>
          </cell>
          <cell r="B277" t="str">
            <v>Urban and Regional Planners</v>
          </cell>
          <cell r="C277">
            <v>42690</v>
          </cell>
          <cell r="D277">
            <v>1.2</v>
          </cell>
          <cell r="E277">
            <v>85940</v>
          </cell>
          <cell r="F277">
            <v>0.5</v>
          </cell>
          <cell r="G277">
            <v>81800</v>
          </cell>
        </row>
        <row r="278">
          <cell r="A278" t="str">
            <v>19-3051</v>
          </cell>
          <cell r="B278" t="str">
            <v>Urban and Regional Planners</v>
          </cell>
          <cell r="C278">
            <v>42690</v>
          </cell>
          <cell r="D278">
            <v>1.2</v>
          </cell>
          <cell r="E278">
            <v>85940</v>
          </cell>
          <cell r="F278">
            <v>0.5</v>
          </cell>
          <cell r="G278">
            <v>81800</v>
          </cell>
        </row>
        <row r="279">
          <cell r="A279" t="str">
            <v>19-3090</v>
          </cell>
          <cell r="B279" t="str">
            <v>Miscellaneous Social Scientists and Related Workers</v>
          </cell>
          <cell r="C279">
            <v>53010</v>
          </cell>
          <cell r="D279">
            <v>1.5</v>
          </cell>
          <cell r="E279">
            <v>98860</v>
          </cell>
          <cell r="F279">
            <v>0.7</v>
          </cell>
          <cell r="G279">
            <v>91210</v>
          </cell>
        </row>
        <row r="280">
          <cell r="A280" t="str">
            <v>19-3091</v>
          </cell>
          <cell r="B280" t="str">
            <v>Anthropologists and Archeologists</v>
          </cell>
          <cell r="C280">
            <v>7720</v>
          </cell>
          <cell r="D280">
            <v>5.9</v>
          </cell>
          <cell r="E280">
            <v>69780</v>
          </cell>
          <cell r="F280">
            <v>1.4</v>
          </cell>
          <cell r="G280">
            <v>63800</v>
          </cell>
        </row>
        <row r="281">
          <cell r="A281" t="str">
            <v>19-3092</v>
          </cell>
          <cell r="B281" t="str">
            <v>Geographers</v>
          </cell>
          <cell r="C281">
            <v>1460</v>
          </cell>
          <cell r="D281">
            <v>3.9</v>
          </cell>
          <cell r="E281">
            <v>92460</v>
          </cell>
          <cell r="F281">
            <v>0.7</v>
          </cell>
          <cell r="G281">
            <v>90880</v>
          </cell>
        </row>
        <row r="282">
          <cell r="A282" t="str">
            <v>19-3093</v>
          </cell>
          <cell r="B282" t="str">
            <v>Historians</v>
          </cell>
          <cell r="C282">
            <v>3040</v>
          </cell>
          <cell r="D282">
            <v>7.1</v>
          </cell>
          <cell r="E282">
            <v>76120</v>
          </cell>
          <cell r="F282">
            <v>1.5</v>
          </cell>
          <cell r="G282">
            <v>72890</v>
          </cell>
        </row>
        <row r="283">
          <cell r="A283" t="str">
            <v>19-3094</v>
          </cell>
          <cell r="B283" t="str">
            <v>Political Scientists</v>
          </cell>
          <cell r="C283">
            <v>5580</v>
          </cell>
          <cell r="D283">
            <v>3.4</v>
          </cell>
          <cell r="E283">
            <v>132020</v>
          </cell>
          <cell r="F283">
            <v>0.9</v>
          </cell>
          <cell r="G283">
            <v>132350</v>
          </cell>
        </row>
        <row r="284">
          <cell r="A284" t="str">
            <v>19-3099</v>
          </cell>
          <cell r="B284" t="str">
            <v>Social Scientists and Related Workers, All Other</v>
          </cell>
          <cell r="C284">
            <v>35210</v>
          </cell>
          <cell r="D284">
            <v>1.5</v>
          </cell>
          <cell r="E284">
            <v>102210</v>
          </cell>
          <cell r="F284">
            <v>0.8</v>
          </cell>
          <cell r="G284">
            <v>95890</v>
          </cell>
        </row>
        <row r="285">
          <cell r="A285" t="str">
            <v>19-4000</v>
          </cell>
          <cell r="B285" t="str">
            <v>Life, Physical, and Social Science Technicians</v>
          </cell>
          <cell r="C285">
            <v>360210</v>
          </cell>
          <cell r="D285">
            <v>0.8</v>
          </cell>
          <cell r="E285">
            <v>59970</v>
          </cell>
          <cell r="F285">
            <v>0.5</v>
          </cell>
          <cell r="G285">
            <v>53700</v>
          </cell>
        </row>
        <row r="286">
          <cell r="A286" t="str">
            <v>19-4010</v>
          </cell>
          <cell r="B286" t="str">
            <v>Agricultural and Food Science Technicians</v>
          </cell>
          <cell r="C286">
            <v>28340</v>
          </cell>
          <cell r="D286">
            <v>3.7</v>
          </cell>
          <cell r="E286">
            <v>50660</v>
          </cell>
          <cell r="F286">
            <v>0.8</v>
          </cell>
          <cell r="G286">
            <v>47010</v>
          </cell>
        </row>
        <row r="287">
          <cell r="A287" t="str">
            <v>19-4012</v>
          </cell>
          <cell r="B287" t="str">
            <v>Agricultural Technicians</v>
          </cell>
          <cell r="C287">
            <v>13150</v>
          </cell>
          <cell r="D287">
            <v>6.4</v>
          </cell>
          <cell r="E287">
            <v>46810</v>
          </cell>
          <cell r="F287">
            <v>1</v>
          </cell>
          <cell r="G287">
            <v>43180</v>
          </cell>
        </row>
        <row r="288">
          <cell r="A288" t="str">
            <v>19-4013</v>
          </cell>
          <cell r="B288" t="str">
            <v>Food Science Technicians</v>
          </cell>
          <cell r="C288">
            <v>15190</v>
          </cell>
          <cell r="D288">
            <v>3</v>
          </cell>
          <cell r="E288">
            <v>54000</v>
          </cell>
          <cell r="F288">
            <v>0.8</v>
          </cell>
          <cell r="G288">
            <v>49090</v>
          </cell>
        </row>
        <row r="289">
          <cell r="A289" t="str">
            <v>19-4020</v>
          </cell>
          <cell r="B289" t="str">
            <v>Biological Technicians</v>
          </cell>
          <cell r="C289">
            <v>76990</v>
          </cell>
          <cell r="D289">
            <v>1.2</v>
          </cell>
          <cell r="E289">
            <v>56540</v>
          </cell>
          <cell r="F289">
            <v>0.5</v>
          </cell>
          <cell r="G289">
            <v>51430</v>
          </cell>
        </row>
        <row r="290">
          <cell r="A290" t="str">
            <v>19-4021</v>
          </cell>
          <cell r="B290" t="str">
            <v>Biological Technicians</v>
          </cell>
          <cell r="C290">
            <v>76990</v>
          </cell>
          <cell r="D290">
            <v>1.2</v>
          </cell>
          <cell r="E290">
            <v>56540</v>
          </cell>
          <cell r="F290">
            <v>0.5</v>
          </cell>
          <cell r="G290">
            <v>51430</v>
          </cell>
        </row>
        <row r="291">
          <cell r="A291" t="str">
            <v>19-4030</v>
          </cell>
          <cell r="B291" t="str">
            <v>Chemical Technicians</v>
          </cell>
          <cell r="C291">
            <v>55880</v>
          </cell>
          <cell r="D291">
            <v>1.7</v>
          </cell>
          <cell r="E291">
            <v>60920</v>
          </cell>
          <cell r="F291">
            <v>0.7</v>
          </cell>
          <cell r="G291">
            <v>56750</v>
          </cell>
        </row>
        <row r="292">
          <cell r="A292" t="str">
            <v>19-4031</v>
          </cell>
          <cell r="B292" t="str">
            <v>Chemical Technicians</v>
          </cell>
          <cell r="C292">
            <v>55880</v>
          </cell>
          <cell r="D292">
            <v>1.7</v>
          </cell>
          <cell r="E292">
            <v>60920</v>
          </cell>
          <cell r="F292">
            <v>0.7</v>
          </cell>
          <cell r="G292">
            <v>56750</v>
          </cell>
        </row>
        <row r="293">
          <cell r="A293" t="str">
            <v>19-4040</v>
          </cell>
          <cell r="B293" t="str">
            <v>Environmental Science and Geoscience Technicians</v>
          </cell>
          <cell r="C293">
            <v>44240</v>
          </cell>
          <cell r="D293">
            <v>2.7</v>
          </cell>
          <cell r="E293">
            <v>59170</v>
          </cell>
          <cell r="F293">
            <v>0.9</v>
          </cell>
          <cell r="G293">
            <v>51220</v>
          </cell>
        </row>
        <row r="294">
          <cell r="A294" t="str">
            <v>19-4042</v>
          </cell>
          <cell r="B294" t="str">
            <v>Environmental Science and Protection Technicians, Including Health</v>
          </cell>
          <cell r="C294">
            <v>32390</v>
          </cell>
          <cell r="D294">
            <v>2.8</v>
          </cell>
          <cell r="E294">
            <v>57470</v>
          </cell>
          <cell r="F294">
            <v>1.1000000000000001</v>
          </cell>
          <cell r="G294">
            <v>50660</v>
          </cell>
        </row>
        <row r="295">
          <cell r="A295" t="str">
            <v>19-4043</v>
          </cell>
          <cell r="B295" t="str">
            <v>Geological Technicians, Except Hydrologic Technicians</v>
          </cell>
          <cell r="C295">
            <v>8860</v>
          </cell>
          <cell r="D295">
            <v>7.1</v>
          </cell>
          <cell r="E295">
            <v>64590</v>
          </cell>
          <cell r="F295">
            <v>2.9</v>
          </cell>
          <cell r="G295">
            <v>52440</v>
          </cell>
        </row>
        <row r="296">
          <cell r="A296" t="str">
            <v>19-4044</v>
          </cell>
          <cell r="B296" t="str">
            <v>Hydrologic Technicians</v>
          </cell>
          <cell r="C296">
            <v>3000</v>
          </cell>
          <cell r="D296">
            <v>4.2</v>
          </cell>
          <cell r="E296">
            <v>61500</v>
          </cell>
          <cell r="F296">
            <v>1.4</v>
          </cell>
          <cell r="G296">
            <v>55890</v>
          </cell>
        </row>
        <row r="297">
          <cell r="A297" t="str">
            <v>19-4050</v>
          </cell>
          <cell r="B297" t="str">
            <v>Nuclear Technicians</v>
          </cell>
          <cell r="C297">
            <v>5400</v>
          </cell>
          <cell r="D297">
            <v>4.0999999999999996</v>
          </cell>
          <cell r="E297">
            <v>97520</v>
          </cell>
          <cell r="F297">
            <v>1.3</v>
          </cell>
          <cell r="G297">
            <v>101740</v>
          </cell>
        </row>
        <row r="298">
          <cell r="A298" t="str">
            <v>19-4051</v>
          </cell>
          <cell r="B298" t="str">
            <v>Nuclear Technicians</v>
          </cell>
          <cell r="C298">
            <v>5400</v>
          </cell>
          <cell r="D298">
            <v>4.0999999999999996</v>
          </cell>
          <cell r="E298">
            <v>97520</v>
          </cell>
          <cell r="F298">
            <v>1.3</v>
          </cell>
          <cell r="G298">
            <v>101740</v>
          </cell>
        </row>
        <row r="299">
          <cell r="A299" t="str">
            <v>19-4060</v>
          </cell>
          <cell r="B299" t="str">
            <v>Social Science Research Assistants</v>
          </cell>
          <cell r="C299">
            <v>30890</v>
          </cell>
          <cell r="D299">
            <v>2.9</v>
          </cell>
          <cell r="E299">
            <v>62370</v>
          </cell>
          <cell r="F299">
            <v>1.5</v>
          </cell>
          <cell r="G299">
            <v>56400</v>
          </cell>
        </row>
        <row r="300">
          <cell r="A300" t="str">
            <v>19-4061</v>
          </cell>
          <cell r="B300" t="str">
            <v>Social Science Research Assistants</v>
          </cell>
          <cell r="C300">
            <v>30890</v>
          </cell>
          <cell r="D300">
            <v>2.9</v>
          </cell>
          <cell r="E300">
            <v>62370</v>
          </cell>
          <cell r="F300">
            <v>1.5</v>
          </cell>
          <cell r="G300">
            <v>56400</v>
          </cell>
        </row>
        <row r="301">
          <cell r="A301" t="str">
            <v>19-4070</v>
          </cell>
          <cell r="B301" t="str">
            <v>Forest and Conservation Technicians</v>
          </cell>
          <cell r="C301">
            <v>28740</v>
          </cell>
          <cell r="D301">
            <v>1.2</v>
          </cell>
          <cell r="E301">
            <v>54260</v>
          </cell>
          <cell r="F301">
            <v>0.5</v>
          </cell>
          <cell r="G301">
            <v>51880</v>
          </cell>
        </row>
        <row r="302">
          <cell r="A302" t="str">
            <v>19-4071</v>
          </cell>
          <cell r="B302" t="str">
            <v>Forest and Conservation Technicians</v>
          </cell>
          <cell r="C302">
            <v>28740</v>
          </cell>
          <cell r="D302">
            <v>1.2</v>
          </cell>
          <cell r="E302">
            <v>54260</v>
          </cell>
          <cell r="F302">
            <v>0.5</v>
          </cell>
          <cell r="G302">
            <v>51880</v>
          </cell>
        </row>
        <row r="303">
          <cell r="A303" t="str">
            <v>19-4090</v>
          </cell>
          <cell r="B303" t="str">
            <v>Miscellaneous Life, Physical, and Social Science Technicians</v>
          </cell>
          <cell r="C303">
            <v>89740</v>
          </cell>
          <cell r="D303">
            <v>1.4</v>
          </cell>
          <cell r="E303">
            <v>64380</v>
          </cell>
          <cell r="F303">
            <v>0.7</v>
          </cell>
          <cell r="G303">
            <v>59800</v>
          </cell>
        </row>
        <row r="304">
          <cell r="A304" t="str">
            <v>19-4092</v>
          </cell>
          <cell r="B304" t="str">
            <v>Forensic Science Technicians</v>
          </cell>
          <cell r="C304">
            <v>17520</v>
          </cell>
          <cell r="D304">
            <v>1.6</v>
          </cell>
          <cell r="E304">
            <v>71540</v>
          </cell>
          <cell r="F304">
            <v>0.6</v>
          </cell>
          <cell r="G304">
            <v>64940</v>
          </cell>
        </row>
        <row r="305">
          <cell r="A305" t="str">
            <v>19-4099</v>
          </cell>
          <cell r="B305" t="str">
            <v>Life, Physical, and Social Science Technicians, All Other</v>
          </cell>
          <cell r="C305">
            <v>72230</v>
          </cell>
          <cell r="D305">
            <v>1.8</v>
          </cell>
          <cell r="E305">
            <v>62640</v>
          </cell>
          <cell r="F305">
            <v>0.8</v>
          </cell>
          <cell r="G305">
            <v>58350</v>
          </cell>
        </row>
        <row r="306">
          <cell r="A306" t="str">
            <v>19-5000</v>
          </cell>
          <cell r="B306" t="str">
            <v>Occupational Health and Safety Specialists and Technicians</v>
          </cell>
          <cell r="C306">
            <v>149570</v>
          </cell>
          <cell r="D306">
            <v>1.7</v>
          </cell>
          <cell r="E306">
            <v>81690</v>
          </cell>
          <cell r="F306">
            <v>0.8</v>
          </cell>
          <cell r="G306">
            <v>77580</v>
          </cell>
        </row>
        <row r="307">
          <cell r="A307" t="str">
            <v>19-5010</v>
          </cell>
          <cell r="B307" t="str">
            <v>Occupational Health and Safety Specialists and Technicians</v>
          </cell>
          <cell r="C307">
            <v>149570</v>
          </cell>
          <cell r="D307">
            <v>1.7</v>
          </cell>
          <cell r="E307">
            <v>81690</v>
          </cell>
          <cell r="F307">
            <v>0.8</v>
          </cell>
          <cell r="G307">
            <v>77580</v>
          </cell>
        </row>
        <row r="308">
          <cell r="A308" t="str">
            <v>19-5011</v>
          </cell>
          <cell r="B308" t="str">
            <v>Occupational Health and Safety Specialists</v>
          </cell>
          <cell r="C308">
            <v>122300</v>
          </cell>
          <cell r="D308">
            <v>1.9</v>
          </cell>
          <cell r="E308">
            <v>85570</v>
          </cell>
          <cell r="F308">
            <v>0.8</v>
          </cell>
          <cell r="G308">
            <v>81140</v>
          </cell>
        </row>
        <row r="309">
          <cell r="A309" t="str">
            <v>19-5012</v>
          </cell>
          <cell r="B309" t="str">
            <v>Occupational Health and Safety Technicians</v>
          </cell>
          <cell r="C309">
            <v>27270</v>
          </cell>
          <cell r="D309">
            <v>2.2999999999999998</v>
          </cell>
          <cell r="E309">
            <v>64250</v>
          </cell>
          <cell r="F309">
            <v>0.8</v>
          </cell>
          <cell r="G309">
            <v>57920</v>
          </cell>
        </row>
        <row r="310">
          <cell r="A310" t="str">
            <v>21-0000</v>
          </cell>
          <cell r="B310" t="str">
            <v>Community and Social Service Occupations</v>
          </cell>
          <cell r="C310">
            <v>2418130</v>
          </cell>
          <cell r="D310">
            <v>0.3</v>
          </cell>
          <cell r="E310">
            <v>58980</v>
          </cell>
          <cell r="F310">
            <v>0.4</v>
          </cell>
          <cell r="G310">
            <v>52000</v>
          </cell>
        </row>
        <row r="311">
          <cell r="A311" t="str">
            <v>21-1000</v>
          </cell>
          <cell r="B311" t="str">
            <v>Counselors, Social Workers, and Other Community and Social Service Specialists</v>
          </cell>
          <cell r="C311">
            <v>2326360</v>
          </cell>
          <cell r="D311">
            <v>0.3</v>
          </cell>
          <cell r="E311">
            <v>58910</v>
          </cell>
          <cell r="F311">
            <v>0.4</v>
          </cell>
          <cell r="G311">
            <v>51970</v>
          </cell>
        </row>
        <row r="312">
          <cell r="A312" t="str">
            <v>21-1010</v>
          </cell>
          <cell r="B312" t="str">
            <v>Counselors</v>
          </cell>
          <cell r="C312">
            <v>909190</v>
          </cell>
          <cell r="D312">
            <v>0.5</v>
          </cell>
          <cell r="E312">
            <v>61790</v>
          </cell>
          <cell r="F312">
            <v>0.5</v>
          </cell>
          <cell r="G312">
            <v>56470</v>
          </cell>
        </row>
        <row r="313">
          <cell r="A313" t="str">
            <v>21-1012</v>
          </cell>
          <cell r="B313" t="str">
            <v>Educational, Guidance, and Career Counselors and Advisors</v>
          </cell>
          <cell r="C313">
            <v>327660</v>
          </cell>
          <cell r="D313">
            <v>0.4</v>
          </cell>
          <cell r="E313">
            <v>66990</v>
          </cell>
          <cell r="F313">
            <v>0.5</v>
          </cell>
          <cell r="G313">
            <v>61710</v>
          </cell>
        </row>
        <row r="314">
          <cell r="A314" t="str">
            <v>21-1013</v>
          </cell>
          <cell r="B314" t="str">
            <v>Marriage and Family Therapists</v>
          </cell>
          <cell r="C314">
            <v>63340</v>
          </cell>
          <cell r="D314">
            <v>2.8</v>
          </cell>
          <cell r="E314">
            <v>68730</v>
          </cell>
          <cell r="F314">
            <v>2.9</v>
          </cell>
          <cell r="G314">
            <v>58510</v>
          </cell>
        </row>
        <row r="315">
          <cell r="A315" t="str">
            <v>21-1015</v>
          </cell>
          <cell r="B315" t="str">
            <v>Rehabilitation Counselors</v>
          </cell>
          <cell r="C315">
            <v>84750</v>
          </cell>
          <cell r="D315">
            <v>1.8</v>
          </cell>
          <cell r="E315">
            <v>48430</v>
          </cell>
          <cell r="F315">
            <v>0.7</v>
          </cell>
          <cell r="G315">
            <v>44040</v>
          </cell>
        </row>
        <row r="316">
          <cell r="A316" t="str">
            <v>21-1018</v>
          </cell>
          <cell r="B316" t="str">
            <v>Substance Abuse, Behavioral Disorder, and Mental Health Counselors</v>
          </cell>
          <cell r="C316">
            <v>397880</v>
          </cell>
          <cell r="D316">
            <v>0.9</v>
          </cell>
          <cell r="E316">
            <v>60080</v>
          </cell>
          <cell r="F316">
            <v>0.6</v>
          </cell>
          <cell r="G316">
            <v>53710</v>
          </cell>
        </row>
        <row r="317">
          <cell r="A317" t="str">
            <v>21-1019</v>
          </cell>
          <cell r="B317" t="str">
            <v>Counselors, All Other</v>
          </cell>
          <cell r="C317">
            <v>35580</v>
          </cell>
          <cell r="D317">
            <v>3.6</v>
          </cell>
          <cell r="E317">
            <v>52360</v>
          </cell>
          <cell r="F317">
            <v>1.2</v>
          </cell>
          <cell r="G317">
            <v>46130</v>
          </cell>
        </row>
        <row r="318">
          <cell r="A318" t="str">
            <v>21-1020</v>
          </cell>
          <cell r="B318" t="str">
            <v>Social Workers</v>
          </cell>
          <cell r="C318">
            <v>710320</v>
          </cell>
          <cell r="D318">
            <v>0.4</v>
          </cell>
          <cell r="E318">
            <v>62880</v>
          </cell>
          <cell r="F318">
            <v>0.5</v>
          </cell>
          <cell r="G318">
            <v>58380</v>
          </cell>
        </row>
        <row r="319">
          <cell r="A319" t="str">
            <v>21-1021</v>
          </cell>
          <cell r="B319" t="str">
            <v>Child, Family, and School Social Workers</v>
          </cell>
          <cell r="C319">
            <v>352160</v>
          </cell>
          <cell r="D319">
            <v>0.6</v>
          </cell>
          <cell r="E319">
            <v>59190</v>
          </cell>
          <cell r="F319">
            <v>0.4</v>
          </cell>
          <cell r="G319">
            <v>53940</v>
          </cell>
        </row>
        <row r="320">
          <cell r="A320" t="str">
            <v>21-1022</v>
          </cell>
          <cell r="B320" t="str">
            <v>Healthcare Social Workers</v>
          </cell>
          <cell r="C320">
            <v>185020</v>
          </cell>
          <cell r="D320">
            <v>1</v>
          </cell>
          <cell r="E320">
            <v>67430</v>
          </cell>
          <cell r="F320">
            <v>0.5</v>
          </cell>
          <cell r="G320">
            <v>62940</v>
          </cell>
        </row>
        <row r="321">
          <cell r="A321" t="str">
            <v>21-1023</v>
          </cell>
          <cell r="B321" t="str">
            <v>Mental Health and Substance Abuse Social Workers</v>
          </cell>
          <cell r="C321">
            <v>114680</v>
          </cell>
          <cell r="D321">
            <v>1.3</v>
          </cell>
          <cell r="E321">
            <v>63870</v>
          </cell>
          <cell r="F321">
            <v>1.4</v>
          </cell>
          <cell r="G321">
            <v>55960</v>
          </cell>
        </row>
        <row r="322">
          <cell r="A322" t="str">
            <v>21-1029</v>
          </cell>
          <cell r="B322" t="str">
            <v>Social Workers, All Other</v>
          </cell>
          <cell r="C322">
            <v>58460</v>
          </cell>
          <cell r="D322">
            <v>1.8</v>
          </cell>
          <cell r="E322">
            <v>68800</v>
          </cell>
          <cell r="F322">
            <v>0.5</v>
          </cell>
          <cell r="G322">
            <v>63770</v>
          </cell>
        </row>
        <row r="323">
          <cell r="A323" t="str">
            <v>21-1090</v>
          </cell>
          <cell r="B323" t="str">
            <v>Miscellaneous Community and Social Service Specialists</v>
          </cell>
          <cell r="C323">
            <v>706840</v>
          </cell>
          <cell r="D323">
            <v>0.7</v>
          </cell>
          <cell r="E323">
            <v>51210</v>
          </cell>
          <cell r="F323">
            <v>0.4</v>
          </cell>
          <cell r="G323">
            <v>46250</v>
          </cell>
        </row>
        <row r="324">
          <cell r="A324" t="str">
            <v>21-1091</v>
          </cell>
          <cell r="B324" t="str">
            <v>Health Education Specialists</v>
          </cell>
          <cell r="C324">
            <v>57800</v>
          </cell>
          <cell r="D324">
            <v>1.3</v>
          </cell>
          <cell r="E324">
            <v>69790</v>
          </cell>
          <cell r="F324">
            <v>0.8</v>
          </cell>
          <cell r="G324">
            <v>62860</v>
          </cell>
        </row>
        <row r="325">
          <cell r="A325" t="str">
            <v>21-1092</v>
          </cell>
          <cell r="B325" t="str">
            <v>Probation Officers and Correctional Treatment Specialists</v>
          </cell>
          <cell r="C325">
            <v>85870</v>
          </cell>
          <cell r="D325">
            <v>0.3</v>
          </cell>
          <cell r="E325">
            <v>67880</v>
          </cell>
          <cell r="F325">
            <v>0.3</v>
          </cell>
          <cell r="G325">
            <v>61800</v>
          </cell>
        </row>
        <row r="326">
          <cell r="A326" t="str">
            <v>21-1093</v>
          </cell>
          <cell r="B326" t="str">
            <v>Social and Human Service Assistants</v>
          </cell>
          <cell r="C326">
            <v>409310</v>
          </cell>
          <cell r="D326">
            <v>0.9</v>
          </cell>
          <cell r="E326">
            <v>44240</v>
          </cell>
          <cell r="F326">
            <v>0.4</v>
          </cell>
          <cell r="G326">
            <v>41410</v>
          </cell>
        </row>
        <row r="327">
          <cell r="A327" t="str">
            <v>21-1094</v>
          </cell>
          <cell r="B327" t="str">
            <v>Community Health Workers</v>
          </cell>
          <cell r="C327">
            <v>58550</v>
          </cell>
          <cell r="D327">
            <v>1.8</v>
          </cell>
          <cell r="E327">
            <v>52610</v>
          </cell>
          <cell r="F327">
            <v>0.6</v>
          </cell>
          <cell r="G327">
            <v>48200</v>
          </cell>
        </row>
        <row r="328">
          <cell r="A328" t="str">
            <v>21-1099</v>
          </cell>
          <cell r="B328" t="str">
            <v>Community and Social Service Specialists, All Other</v>
          </cell>
          <cell r="C328">
            <v>95310</v>
          </cell>
          <cell r="D328">
            <v>2.2000000000000002</v>
          </cell>
          <cell r="E328">
            <v>54020</v>
          </cell>
          <cell r="F328">
            <v>0.6</v>
          </cell>
          <cell r="G328">
            <v>49690</v>
          </cell>
        </row>
        <row r="329">
          <cell r="A329" t="str">
            <v>21-2000</v>
          </cell>
          <cell r="B329" t="str">
            <v>Religious Workers</v>
          </cell>
          <cell r="C329">
            <v>91770</v>
          </cell>
          <cell r="D329">
            <v>1.6</v>
          </cell>
          <cell r="E329">
            <v>60800</v>
          </cell>
          <cell r="F329">
            <v>1.1000000000000001</v>
          </cell>
          <cell r="G329">
            <v>54180</v>
          </cell>
        </row>
        <row r="330">
          <cell r="A330" t="str">
            <v>21-2010</v>
          </cell>
          <cell r="B330" t="str">
            <v>Clergy</v>
          </cell>
          <cell r="C330">
            <v>56640</v>
          </cell>
          <cell r="D330">
            <v>2.2000000000000002</v>
          </cell>
          <cell r="E330">
            <v>63720</v>
          </cell>
          <cell r="F330">
            <v>1.2</v>
          </cell>
          <cell r="G330">
            <v>58920</v>
          </cell>
        </row>
        <row r="331">
          <cell r="A331" t="str">
            <v>21-2011</v>
          </cell>
          <cell r="B331" t="str">
            <v>Clergy</v>
          </cell>
          <cell r="C331">
            <v>56640</v>
          </cell>
          <cell r="D331">
            <v>2.2000000000000002</v>
          </cell>
          <cell r="E331">
            <v>63720</v>
          </cell>
          <cell r="F331">
            <v>1.2</v>
          </cell>
          <cell r="G331">
            <v>58920</v>
          </cell>
        </row>
        <row r="332">
          <cell r="A332" t="str">
            <v>21-2020</v>
          </cell>
          <cell r="B332" t="str">
            <v>Directors, Religious Activities and Education</v>
          </cell>
          <cell r="C332">
            <v>23270</v>
          </cell>
          <cell r="D332">
            <v>4.0999999999999996</v>
          </cell>
          <cell r="E332">
            <v>61740</v>
          </cell>
          <cell r="F332">
            <v>2.2000000000000002</v>
          </cell>
          <cell r="G332">
            <v>50140</v>
          </cell>
        </row>
        <row r="333">
          <cell r="A333" t="str">
            <v>21-2021</v>
          </cell>
          <cell r="B333" t="str">
            <v>Directors, Religious Activities and Education</v>
          </cell>
          <cell r="C333">
            <v>23270</v>
          </cell>
          <cell r="D333">
            <v>4.0999999999999996</v>
          </cell>
          <cell r="E333">
            <v>61740</v>
          </cell>
          <cell r="F333">
            <v>2.2000000000000002</v>
          </cell>
          <cell r="G333">
            <v>50140</v>
          </cell>
        </row>
        <row r="334">
          <cell r="A334" t="str">
            <v>21-2090</v>
          </cell>
          <cell r="B334" t="str">
            <v>Miscellaneous Religious Workers</v>
          </cell>
          <cell r="C334">
            <v>11870</v>
          </cell>
          <cell r="D334">
            <v>5.3</v>
          </cell>
          <cell r="E334">
            <v>45050</v>
          </cell>
          <cell r="F334">
            <v>1.9</v>
          </cell>
          <cell r="G334">
            <v>37960</v>
          </cell>
        </row>
        <row r="335">
          <cell r="A335" t="str">
            <v>21-2099</v>
          </cell>
          <cell r="B335" t="str">
            <v>Religious Workers, All Other</v>
          </cell>
          <cell r="C335">
            <v>11870</v>
          </cell>
          <cell r="D335">
            <v>5.3</v>
          </cell>
          <cell r="E335">
            <v>45050</v>
          </cell>
          <cell r="F335">
            <v>1.9</v>
          </cell>
          <cell r="G335">
            <v>37960</v>
          </cell>
        </row>
        <row r="336">
          <cell r="A336" t="str">
            <v>23-0000</v>
          </cell>
          <cell r="B336" t="str">
            <v>Legal Occupations</v>
          </cell>
          <cell r="C336">
            <v>1240630</v>
          </cell>
          <cell r="D336">
            <v>0.4</v>
          </cell>
          <cell r="E336">
            <v>133820</v>
          </cell>
          <cell r="F336">
            <v>1.6</v>
          </cell>
          <cell r="G336">
            <v>99220</v>
          </cell>
        </row>
        <row r="337">
          <cell r="A337" t="str">
            <v>23-1000</v>
          </cell>
          <cell r="B337" t="str">
            <v>Lawyers, Judges, and Related Workers</v>
          </cell>
          <cell r="C337">
            <v>792220</v>
          </cell>
          <cell r="D337">
            <v>0.7</v>
          </cell>
          <cell r="E337">
            <v>171480</v>
          </cell>
          <cell r="F337">
            <v>1.6</v>
          </cell>
          <cell r="G337">
            <v>140320</v>
          </cell>
        </row>
        <row r="338">
          <cell r="A338" t="str">
            <v>23-1010</v>
          </cell>
          <cell r="B338" t="str">
            <v>Lawyers and Judicial Law Clerks</v>
          </cell>
          <cell r="C338">
            <v>746020</v>
          </cell>
          <cell r="D338">
            <v>0.7</v>
          </cell>
          <cell r="E338">
            <v>174280</v>
          </cell>
          <cell r="F338">
            <v>1.6</v>
          </cell>
          <cell r="G338">
            <v>142440</v>
          </cell>
        </row>
        <row r="339">
          <cell r="A339" t="str">
            <v>23-1011</v>
          </cell>
          <cell r="B339" t="str">
            <v>Lawyers</v>
          </cell>
          <cell r="C339">
            <v>731340</v>
          </cell>
          <cell r="D339">
            <v>0.7</v>
          </cell>
          <cell r="E339">
            <v>176470</v>
          </cell>
          <cell r="F339">
            <v>1.6</v>
          </cell>
          <cell r="G339">
            <v>145760</v>
          </cell>
        </row>
        <row r="340">
          <cell r="A340" t="str">
            <v>23-1012</v>
          </cell>
          <cell r="B340" t="str">
            <v>Judicial Law Clerks</v>
          </cell>
          <cell r="C340">
            <v>14680</v>
          </cell>
          <cell r="D340">
            <v>1.5</v>
          </cell>
          <cell r="E340">
            <v>64880</v>
          </cell>
          <cell r="F340">
            <v>0.5</v>
          </cell>
          <cell r="G340">
            <v>57490</v>
          </cell>
        </row>
        <row r="341">
          <cell r="A341" t="str">
            <v>23-1020</v>
          </cell>
          <cell r="B341" t="str">
            <v>Judges, Magistrates, and Other Judicial Workers</v>
          </cell>
          <cell r="C341">
            <v>46200</v>
          </cell>
          <cell r="D341">
            <v>1.3</v>
          </cell>
          <cell r="E341">
            <v>126270</v>
          </cell>
          <cell r="F341">
            <v>1.7</v>
          </cell>
          <cell r="G341">
            <v>120140</v>
          </cell>
        </row>
        <row r="342">
          <cell r="A342" t="str">
            <v>23-1021</v>
          </cell>
          <cell r="B342" t="str">
            <v>Administrative Law Judges, Adjudicators, and Hearing Officers</v>
          </cell>
          <cell r="C342">
            <v>14670</v>
          </cell>
          <cell r="D342">
            <v>0.3</v>
          </cell>
          <cell r="E342">
            <v>119940</v>
          </cell>
          <cell r="F342">
            <v>0.3</v>
          </cell>
          <cell r="G342">
            <v>111090</v>
          </cell>
        </row>
        <row r="343">
          <cell r="A343" t="str">
            <v>23-1022</v>
          </cell>
          <cell r="B343" t="str">
            <v>Arbitrators, Mediators, and Conciliators</v>
          </cell>
          <cell r="C343">
            <v>7060</v>
          </cell>
          <cell r="D343">
            <v>10</v>
          </cell>
          <cell r="E343">
            <v>95370</v>
          </cell>
          <cell r="F343">
            <v>14.6</v>
          </cell>
          <cell r="G343">
            <v>71540</v>
          </cell>
        </row>
        <row r="344">
          <cell r="A344" t="str">
            <v>23-1023</v>
          </cell>
          <cell r="B344" t="str">
            <v>Judges, Magistrate Judges, and Magistrates</v>
          </cell>
          <cell r="C344">
            <v>24470</v>
          </cell>
          <cell r="D344">
            <v>1.1000000000000001</v>
          </cell>
          <cell r="E344">
            <v>139000</v>
          </cell>
          <cell r="F344">
            <v>0.8</v>
          </cell>
          <cell r="G344">
            <v>148910</v>
          </cell>
        </row>
        <row r="345">
          <cell r="A345" t="str">
            <v>23-2000</v>
          </cell>
          <cell r="B345" t="str">
            <v>Legal Support Workers</v>
          </cell>
          <cell r="C345">
            <v>448410</v>
          </cell>
          <cell r="D345">
            <v>1.2</v>
          </cell>
          <cell r="E345">
            <v>67290</v>
          </cell>
          <cell r="F345">
            <v>1.2</v>
          </cell>
          <cell r="G345">
            <v>60690</v>
          </cell>
        </row>
        <row r="346">
          <cell r="A346" t="str">
            <v>23-2010</v>
          </cell>
          <cell r="B346" t="str">
            <v>Paralegals and Legal Assistants</v>
          </cell>
          <cell r="C346">
            <v>354890</v>
          </cell>
          <cell r="D346">
            <v>1.6</v>
          </cell>
          <cell r="E346">
            <v>66460</v>
          </cell>
          <cell r="F346">
            <v>1.4</v>
          </cell>
          <cell r="G346">
            <v>60970</v>
          </cell>
        </row>
        <row r="347">
          <cell r="A347" t="str">
            <v>23-2011</v>
          </cell>
          <cell r="B347" t="str">
            <v>Paralegals and Legal Assistants</v>
          </cell>
          <cell r="C347">
            <v>354890</v>
          </cell>
          <cell r="D347">
            <v>1.6</v>
          </cell>
          <cell r="E347">
            <v>66460</v>
          </cell>
          <cell r="F347">
            <v>1.4</v>
          </cell>
          <cell r="G347">
            <v>60970</v>
          </cell>
        </row>
        <row r="348">
          <cell r="A348" t="str">
            <v>23-2090</v>
          </cell>
          <cell r="B348" t="str">
            <v>Miscellaneous Legal Support Workers</v>
          </cell>
          <cell r="C348">
            <v>93520</v>
          </cell>
          <cell r="D348">
            <v>1.6</v>
          </cell>
          <cell r="E348">
            <v>70440</v>
          </cell>
          <cell r="F348">
            <v>1.1000000000000001</v>
          </cell>
          <cell r="G348">
            <v>59380</v>
          </cell>
        </row>
        <row r="349">
          <cell r="A349" t="str">
            <v>23-2093</v>
          </cell>
          <cell r="B349" t="str">
            <v>Title Examiners, Abstractors, and Searchers</v>
          </cell>
          <cell r="C349">
            <v>49760</v>
          </cell>
          <cell r="D349">
            <v>2.5</v>
          </cell>
          <cell r="E349">
            <v>59440</v>
          </cell>
          <cell r="F349">
            <v>1.6</v>
          </cell>
          <cell r="G349">
            <v>53550</v>
          </cell>
        </row>
        <row r="350">
          <cell r="A350" t="str">
            <v>23-2099</v>
          </cell>
          <cell r="B350" t="str">
            <v>Legal Support Workers, All Other</v>
          </cell>
          <cell r="C350">
            <v>43760</v>
          </cell>
          <cell r="D350">
            <v>1.8</v>
          </cell>
          <cell r="E350">
            <v>82960</v>
          </cell>
          <cell r="F350">
            <v>1.4</v>
          </cell>
          <cell r="G350">
            <v>67700</v>
          </cell>
        </row>
        <row r="351">
          <cell r="A351" t="str">
            <v>25-0000</v>
          </cell>
          <cell r="B351" t="str">
            <v>Educational Instruction and Library Occupations</v>
          </cell>
          <cell r="C351">
            <v>8744560</v>
          </cell>
          <cell r="D351">
            <v>0.2</v>
          </cell>
          <cell r="E351">
            <v>66400</v>
          </cell>
          <cell r="F351">
            <v>0.4</v>
          </cell>
          <cell r="G351">
            <v>59940</v>
          </cell>
        </row>
        <row r="352">
          <cell r="A352" t="str">
            <v>25-1000</v>
          </cell>
          <cell r="B352" t="str">
            <v>Postsecondary Teachers</v>
          </cell>
          <cell r="C352">
            <v>1394110</v>
          </cell>
          <cell r="D352">
            <v>0.2</v>
          </cell>
          <cell r="E352">
            <v>101750</v>
          </cell>
          <cell r="F352">
            <v>0.5</v>
          </cell>
          <cell r="G352">
            <v>82270</v>
          </cell>
        </row>
        <row r="353">
          <cell r="A353" t="str">
            <v>25-1010</v>
          </cell>
          <cell r="B353" t="str">
            <v>Business Teachers, Postsecondary</v>
          </cell>
          <cell r="C353">
            <v>82980</v>
          </cell>
          <cell r="D353">
            <v>0.5</v>
          </cell>
          <cell r="E353">
            <v>113240</v>
          </cell>
          <cell r="F353">
            <v>0.7</v>
          </cell>
          <cell r="G353">
            <v>97130</v>
          </cell>
        </row>
        <row r="354">
          <cell r="A354" t="str">
            <v>25-1011</v>
          </cell>
          <cell r="B354" t="str">
            <v>Business Teachers, Postsecondary</v>
          </cell>
          <cell r="C354">
            <v>82980</v>
          </cell>
          <cell r="D354">
            <v>0.5</v>
          </cell>
          <cell r="E354">
            <v>113240</v>
          </cell>
          <cell r="F354">
            <v>0.7</v>
          </cell>
          <cell r="G354">
            <v>97130</v>
          </cell>
        </row>
        <row r="355">
          <cell r="A355" t="str">
            <v>25-1020</v>
          </cell>
          <cell r="B355" t="str">
            <v>Math and Computer Science Teachers, Postsecondary</v>
          </cell>
          <cell r="C355">
            <v>84380</v>
          </cell>
          <cell r="D355">
            <v>0.4</v>
          </cell>
          <cell r="E355">
            <v>100060</v>
          </cell>
          <cell r="F355">
            <v>0.5</v>
          </cell>
          <cell r="G355">
            <v>83300</v>
          </cell>
        </row>
        <row r="356">
          <cell r="A356" t="str">
            <v>25-1021</v>
          </cell>
          <cell r="B356" t="str">
            <v>Computer Science Teachers, Postsecondary</v>
          </cell>
          <cell r="C356">
            <v>36150</v>
          </cell>
          <cell r="D356">
            <v>0.7</v>
          </cell>
          <cell r="E356">
            <v>106380</v>
          </cell>
          <cell r="F356">
            <v>0.6</v>
          </cell>
          <cell r="G356">
            <v>96430</v>
          </cell>
        </row>
        <row r="357">
          <cell r="A357" t="str">
            <v>25-1022</v>
          </cell>
          <cell r="B357" t="str">
            <v>Mathematical Science Teachers, Postsecondary</v>
          </cell>
          <cell r="C357">
            <v>48230</v>
          </cell>
          <cell r="D357">
            <v>0.3</v>
          </cell>
          <cell r="E357">
            <v>95320</v>
          </cell>
          <cell r="F357">
            <v>0.5</v>
          </cell>
          <cell r="G357">
            <v>81020</v>
          </cell>
        </row>
        <row r="358">
          <cell r="A358" t="str">
            <v>25-1030</v>
          </cell>
          <cell r="B358" t="str">
            <v>Engineering and Architecture Teachers, Postsecondary</v>
          </cell>
          <cell r="C358">
            <v>46710</v>
          </cell>
          <cell r="D358">
            <v>0.4</v>
          </cell>
          <cell r="E358">
            <v>119600</v>
          </cell>
          <cell r="F358">
            <v>0.4</v>
          </cell>
          <cell r="G358">
            <v>106860</v>
          </cell>
        </row>
        <row r="359">
          <cell r="A359" t="str">
            <v>25-1031</v>
          </cell>
          <cell r="B359" t="str">
            <v>Architecture Teachers, Postsecondary</v>
          </cell>
          <cell r="C359">
            <v>8350</v>
          </cell>
          <cell r="D359">
            <v>0.4</v>
          </cell>
          <cell r="E359">
            <v>114900</v>
          </cell>
          <cell r="F359">
            <v>0.5</v>
          </cell>
          <cell r="G359">
            <v>105770</v>
          </cell>
        </row>
        <row r="360">
          <cell r="A360" t="str">
            <v>25-1032</v>
          </cell>
          <cell r="B360" t="str">
            <v>Engineering Teachers, Postsecondary</v>
          </cell>
          <cell r="C360">
            <v>38370</v>
          </cell>
          <cell r="D360">
            <v>0.5</v>
          </cell>
          <cell r="E360">
            <v>120630</v>
          </cell>
          <cell r="F360">
            <v>0.5</v>
          </cell>
          <cell r="G360">
            <v>106910</v>
          </cell>
        </row>
        <row r="361">
          <cell r="A361" t="str">
            <v>25-1040</v>
          </cell>
          <cell r="B361" t="str">
            <v>Life Sciences Teachers, Postsecondary</v>
          </cell>
          <cell r="C361">
            <v>60860</v>
          </cell>
          <cell r="D361">
            <v>0.5</v>
          </cell>
          <cell r="E361">
            <v>101440</v>
          </cell>
          <cell r="F361">
            <v>0.6</v>
          </cell>
          <cell r="G361">
            <v>84260</v>
          </cell>
        </row>
        <row r="362">
          <cell r="A362" t="str">
            <v>25-1041</v>
          </cell>
          <cell r="B362" t="str">
            <v>Agricultural Sciences Teachers, Postsecondary</v>
          </cell>
          <cell r="C362">
            <v>7550</v>
          </cell>
          <cell r="D362">
            <v>2.5</v>
          </cell>
          <cell r="E362">
            <v>95610</v>
          </cell>
          <cell r="F362">
            <v>0.7</v>
          </cell>
          <cell r="G362">
            <v>85260</v>
          </cell>
        </row>
        <row r="363">
          <cell r="A363" t="str">
            <v>25-1042</v>
          </cell>
          <cell r="B363" t="str">
            <v>Biological Science Teachers, Postsecondary</v>
          </cell>
          <cell r="C363">
            <v>52050</v>
          </cell>
          <cell r="D363">
            <v>0.5</v>
          </cell>
          <cell r="E363">
            <v>102270</v>
          </cell>
          <cell r="F363">
            <v>0.6</v>
          </cell>
          <cell r="G363">
            <v>83920</v>
          </cell>
        </row>
        <row r="364">
          <cell r="A364" t="str">
            <v>25-1043</v>
          </cell>
          <cell r="B364" t="str">
            <v>Forestry and Conservation Science Teachers, Postsecondary</v>
          </cell>
          <cell r="C364">
            <v>1260</v>
          </cell>
          <cell r="D364">
            <v>3.1</v>
          </cell>
          <cell r="E364">
            <v>102230</v>
          </cell>
          <cell r="F364">
            <v>1</v>
          </cell>
          <cell r="G364">
            <v>101650</v>
          </cell>
        </row>
        <row r="365">
          <cell r="A365" t="str">
            <v>25-1050</v>
          </cell>
          <cell r="B365" t="str">
            <v>Physical Sciences Teachers, Postsecondary</v>
          </cell>
          <cell r="C365">
            <v>53130</v>
          </cell>
          <cell r="D365">
            <v>0.3</v>
          </cell>
          <cell r="E365">
            <v>105600</v>
          </cell>
          <cell r="F365">
            <v>0.5</v>
          </cell>
          <cell r="G365">
            <v>94060</v>
          </cell>
        </row>
        <row r="366">
          <cell r="A366" t="str">
            <v>25-1051</v>
          </cell>
          <cell r="B366" t="str">
            <v>Atmospheric, Earth, Marine, and Space Sciences Teachers, Postsecondary</v>
          </cell>
          <cell r="C366">
            <v>11770</v>
          </cell>
          <cell r="D366">
            <v>0.7</v>
          </cell>
          <cell r="E366">
            <v>111930</v>
          </cell>
          <cell r="F366">
            <v>0.4</v>
          </cell>
          <cell r="G366">
            <v>100690</v>
          </cell>
        </row>
        <row r="367">
          <cell r="A367" t="str">
            <v>25-1052</v>
          </cell>
          <cell r="B367" t="str">
            <v>Chemistry Teachers, Postsecondary</v>
          </cell>
          <cell r="C367">
            <v>20210</v>
          </cell>
          <cell r="D367">
            <v>0.4</v>
          </cell>
          <cell r="E367">
            <v>102630</v>
          </cell>
          <cell r="F367">
            <v>0.5</v>
          </cell>
          <cell r="G367">
            <v>85810</v>
          </cell>
        </row>
        <row r="368">
          <cell r="A368" t="str">
            <v>25-1053</v>
          </cell>
          <cell r="B368" t="str">
            <v>Environmental Science Teachers, Postsecondary</v>
          </cell>
          <cell r="C368">
            <v>7120</v>
          </cell>
          <cell r="D368">
            <v>2</v>
          </cell>
          <cell r="E368">
            <v>100910</v>
          </cell>
          <cell r="F368">
            <v>0.6</v>
          </cell>
          <cell r="G368">
            <v>88410</v>
          </cell>
        </row>
        <row r="369">
          <cell r="A369" t="str">
            <v>25-1054</v>
          </cell>
          <cell r="B369" t="str">
            <v>Physics Teachers, Postsecondary</v>
          </cell>
          <cell r="C369">
            <v>14030</v>
          </cell>
          <cell r="D369">
            <v>0.5</v>
          </cell>
          <cell r="E369">
            <v>106950</v>
          </cell>
          <cell r="F369">
            <v>0.6</v>
          </cell>
          <cell r="G369">
            <v>98020</v>
          </cell>
        </row>
        <row r="370">
          <cell r="A370" t="str">
            <v>25-1060</v>
          </cell>
          <cell r="B370" t="str">
            <v>Social Sciences Teachers, Postsecondary</v>
          </cell>
          <cell r="C370">
            <v>119750</v>
          </cell>
          <cell r="D370">
            <v>0.4</v>
          </cell>
          <cell r="E370">
            <v>100790</v>
          </cell>
          <cell r="F370">
            <v>0.5</v>
          </cell>
          <cell r="G370">
            <v>84600</v>
          </cell>
        </row>
        <row r="371">
          <cell r="A371" t="str">
            <v>25-1061</v>
          </cell>
          <cell r="B371" t="str">
            <v>Anthropology and Archeology Teachers, Postsecondary</v>
          </cell>
          <cell r="C371">
            <v>5030</v>
          </cell>
          <cell r="D371">
            <v>1.3</v>
          </cell>
          <cell r="E371">
            <v>103640</v>
          </cell>
          <cell r="F371">
            <v>0.6</v>
          </cell>
          <cell r="G371">
            <v>93650</v>
          </cell>
        </row>
        <row r="372">
          <cell r="A372" t="str">
            <v>25-1062</v>
          </cell>
          <cell r="B372" t="str">
            <v>Area, Ethnic, and Cultural Studies Teachers, Postsecondary</v>
          </cell>
          <cell r="C372">
            <v>11570</v>
          </cell>
          <cell r="D372">
            <v>1.1000000000000001</v>
          </cell>
          <cell r="E372">
            <v>100390</v>
          </cell>
          <cell r="F372">
            <v>0.5</v>
          </cell>
          <cell r="G372">
            <v>86030</v>
          </cell>
        </row>
        <row r="373">
          <cell r="A373" t="str">
            <v>25-1063</v>
          </cell>
          <cell r="B373" t="str">
            <v>Economics Teachers, Postsecondary</v>
          </cell>
          <cell r="C373">
            <v>12210</v>
          </cell>
          <cell r="D373">
            <v>1.4</v>
          </cell>
          <cell r="E373">
            <v>133650</v>
          </cell>
          <cell r="F373">
            <v>0.7</v>
          </cell>
          <cell r="G373">
            <v>115300</v>
          </cell>
        </row>
        <row r="374">
          <cell r="A374" t="str">
            <v>25-1064</v>
          </cell>
          <cell r="B374" t="str">
            <v>Geography Teachers, Postsecondary</v>
          </cell>
          <cell r="C374">
            <v>3480</v>
          </cell>
          <cell r="D374">
            <v>1.1000000000000001</v>
          </cell>
          <cell r="E374">
            <v>97660</v>
          </cell>
          <cell r="F374">
            <v>1.6</v>
          </cell>
          <cell r="G374">
            <v>85600</v>
          </cell>
        </row>
        <row r="375">
          <cell r="A375" t="str">
            <v>25-1065</v>
          </cell>
          <cell r="B375" t="str">
            <v>Political Science Teachers, Postsecondary</v>
          </cell>
          <cell r="C375">
            <v>17090</v>
          </cell>
          <cell r="D375">
            <v>0.6</v>
          </cell>
          <cell r="E375">
            <v>104910</v>
          </cell>
          <cell r="F375">
            <v>0.4</v>
          </cell>
          <cell r="G375">
            <v>93810</v>
          </cell>
        </row>
        <row r="376">
          <cell r="A376" t="str">
            <v>25-1066</v>
          </cell>
          <cell r="B376" t="str">
            <v>Psychology Teachers, Postsecondary</v>
          </cell>
          <cell r="C376">
            <v>40610</v>
          </cell>
          <cell r="D376">
            <v>1.2</v>
          </cell>
          <cell r="E376">
            <v>93990</v>
          </cell>
          <cell r="F376">
            <v>0.5</v>
          </cell>
          <cell r="G376">
            <v>82140</v>
          </cell>
        </row>
        <row r="377">
          <cell r="A377" t="str">
            <v>25-1067</v>
          </cell>
          <cell r="B377" t="str">
            <v>Sociology Teachers, Postsecondary</v>
          </cell>
          <cell r="C377">
            <v>12870</v>
          </cell>
          <cell r="D377">
            <v>1.6</v>
          </cell>
          <cell r="E377">
            <v>97580</v>
          </cell>
          <cell r="F377">
            <v>0.5</v>
          </cell>
          <cell r="G377">
            <v>82670</v>
          </cell>
        </row>
        <row r="378">
          <cell r="A378" t="str">
            <v>25-1069</v>
          </cell>
          <cell r="B378" t="str">
            <v>Social Sciences Teachers, Postsecondary, All Other</v>
          </cell>
          <cell r="C378">
            <v>16900</v>
          </cell>
          <cell r="D378">
            <v>0.8</v>
          </cell>
          <cell r="E378">
            <v>91710</v>
          </cell>
          <cell r="F378">
            <v>0.5</v>
          </cell>
          <cell r="G378">
            <v>77750</v>
          </cell>
        </row>
        <row r="379">
          <cell r="A379" t="str">
            <v>25-1070</v>
          </cell>
          <cell r="B379" t="str">
            <v>Health Teachers, Postsecondary</v>
          </cell>
          <cell r="C379">
            <v>298060</v>
          </cell>
          <cell r="D379">
            <v>0.3</v>
          </cell>
          <cell r="E379">
            <v>122760</v>
          </cell>
          <cell r="F379">
            <v>0.6</v>
          </cell>
          <cell r="G379">
            <v>100950</v>
          </cell>
        </row>
        <row r="380">
          <cell r="A380" t="str">
            <v>25-1071</v>
          </cell>
          <cell r="B380" t="str">
            <v>Health Specialties Teachers, Postsecondary</v>
          </cell>
          <cell r="C380">
            <v>225360</v>
          </cell>
          <cell r="D380">
            <v>0.3</v>
          </cell>
          <cell r="E380">
            <v>134440</v>
          </cell>
          <cell r="F380">
            <v>0.6</v>
          </cell>
          <cell r="G380">
            <v>105650</v>
          </cell>
        </row>
        <row r="381">
          <cell r="A381" t="str">
            <v>25-1072</v>
          </cell>
          <cell r="B381" t="str">
            <v>Nursing Instructors and Teachers, Postsecondary</v>
          </cell>
          <cell r="C381">
            <v>72700</v>
          </cell>
          <cell r="D381">
            <v>0.7</v>
          </cell>
          <cell r="E381">
            <v>86530</v>
          </cell>
          <cell r="F381">
            <v>0.5</v>
          </cell>
          <cell r="G381">
            <v>80780</v>
          </cell>
        </row>
        <row r="382">
          <cell r="A382" t="str">
            <v>25-1080</v>
          </cell>
          <cell r="B382" t="str">
            <v>Education and Library Science Teachers, Postsecondary</v>
          </cell>
          <cell r="C382">
            <v>65090</v>
          </cell>
          <cell r="D382">
            <v>0.9</v>
          </cell>
          <cell r="E382">
            <v>81230</v>
          </cell>
          <cell r="F382">
            <v>0.5</v>
          </cell>
          <cell r="G382">
            <v>74550</v>
          </cell>
        </row>
        <row r="383">
          <cell r="A383" t="str">
            <v>25-1081</v>
          </cell>
          <cell r="B383" t="str">
            <v>Education Teachers, Postsecondary</v>
          </cell>
          <cell r="C383">
            <v>60860</v>
          </cell>
          <cell r="D383">
            <v>0.8</v>
          </cell>
          <cell r="E383">
            <v>80750</v>
          </cell>
          <cell r="F383">
            <v>0.5</v>
          </cell>
          <cell r="G383">
            <v>73240</v>
          </cell>
        </row>
        <row r="384">
          <cell r="A384" t="str">
            <v>25-1082</v>
          </cell>
          <cell r="B384" t="str">
            <v>Library Science Teachers, Postsecondary</v>
          </cell>
          <cell r="C384">
            <v>4220</v>
          </cell>
          <cell r="D384">
            <v>1.8</v>
          </cell>
          <cell r="E384">
            <v>88190</v>
          </cell>
          <cell r="F384">
            <v>0.7</v>
          </cell>
          <cell r="G384">
            <v>80310</v>
          </cell>
        </row>
        <row r="385">
          <cell r="A385" t="str">
            <v>25-1110</v>
          </cell>
          <cell r="B385" t="str">
            <v>Law, Criminal Justice, and Social Work Teachers, Postsecondary</v>
          </cell>
          <cell r="C385">
            <v>39700</v>
          </cell>
          <cell r="D385">
            <v>0.7</v>
          </cell>
          <cell r="E385">
            <v>104340</v>
          </cell>
          <cell r="F385">
            <v>0.5</v>
          </cell>
          <cell r="G385">
            <v>81770</v>
          </cell>
        </row>
        <row r="386">
          <cell r="A386" t="str">
            <v>25-1111</v>
          </cell>
          <cell r="B386" t="str">
            <v>Criminal Justice and Law Enforcement Teachers, Postsecondary</v>
          </cell>
          <cell r="C386">
            <v>13390</v>
          </cell>
          <cell r="D386">
            <v>1.1000000000000001</v>
          </cell>
          <cell r="E386">
            <v>83470</v>
          </cell>
          <cell r="F386">
            <v>0.7</v>
          </cell>
          <cell r="G386">
            <v>69030</v>
          </cell>
        </row>
        <row r="387">
          <cell r="A387" t="str">
            <v>25-1112</v>
          </cell>
          <cell r="B387" t="str">
            <v>Law Teachers, Postsecondary</v>
          </cell>
          <cell r="C387">
            <v>14570</v>
          </cell>
          <cell r="D387">
            <v>1.6</v>
          </cell>
          <cell r="E387">
            <v>142440</v>
          </cell>
          <cell r="F387">
            <v>0.7</v>
          </cell>
          <cell r="G387">
            <v>127360</v>
          </cell>
        </row>
        <row r="388">
          <cell r="A388" t="str">
            <v>25-1113</v>
          </cell>
          <cell r="B388" t="str">
            <v>Social Work Teachers, Postsecondary</v>
          </cell>
          <cell r="C388">
            <v>11730</v>
          </cell>
          <cell r="D388">
            <v>1.1000000000000001</v>
          </cell>
          <cell r="E388">
            <v>80840</v>
          </cell>
          <cell r="F388">
            <v>1</v>
          </cell>
          <cell r="G388">
            <v>75020</v>
          </cell>
        </row>
        <row r="389">
          <cell r="A389" t="str">
            <v>25-1120</v>
          </cell>
          <cell r="B389" t="str">
            <v>Arts, Communications, History, and Humanities Teachers, Postsecondary</v>
          </cell>
          <cell r="C389">
            <v>249370</v>
          </cell>
          <cell r="D389">
            <v>0.4</v>
          </cell>
          <cell r="E389">
            <v>93950</v>
          </cell>
          <cell r="F389">
            <v>0.5</v>
          </cell>
          <cell r="G389">
            <v>79960</v>
          </cell>
        </row>
        <row r="390">
          <cell r="A390" t="str">
            <v>25-1121</v>
          </cell>
          <cell r="B390" t="str">
            <v>Art, Drama, and Music Teachers, Postsecondary</v>
          </cell>
          <cell r="C390">
            <v>101500</v>
          </cell>
          <cell r="D390">
            <v>0.7</v>
          </cell>
          <cell r="E390">
            <v>100840</v>
          </cell>
          <cell r="F390">
            <v>0.6</v>
          </cell>
          <cell r="G390">
            <v>80360</v>
          </cell>
        </row>
        <row r="391">
          <cell r="A391" t="str">
            <v>25-1122</v>
          </cell>
          <cell r="B391" t="str">
            <v>Communications Teachers, Postsecondary</v>
          </cell>
          <cell r="C391">
            <v>28520</v>
          </cell>
          <cell r="D391">
            <v>0.7</v>
          </cell>
          <cell r="E391">
            <v>90950</v>
          </cell>
          <cell r="F391">
            <v>0.6</v>
          </cell>
          <cell r="G391">
            <v>79910</v>
          </cell>
        </row>
        <row r="392">
          <cell r="A392" t="str">
            <v>25-1123</v>
          </cell>
          <cell r="B392" t="str">
            <v>English Language and Literature Teachers, Postsecondary</v>
          </cell>
          <cell r="C392">
            <v>57600</v>
          </cell>
          <cell r="D392">
            <v>0.3</v>
          </cell>
          <cell r="E392">
            <v>87090</v>
          </cell>
          <cell r="F392">
            <v>0.4</v>
          </cell>
          <cell r="G392">
            <v>78130</v>
          </cell>
        </row>
        <row r="393">
          <cell r="A393" t="str">
            <v>25-1124</v>
          </cell>
          <cell r="B393" t="str">
            <v>Foreign Language and Literature Teachers, Postsecondary</v>
          </cell>
          <cell r="C393">
            <v>20820</v>
          </cell>
          <cell r="D393">
            <v>0.7</v>
          </cell>
          <cell r="E393">
            <v>88490</v>
          </cell>
          <cell r="F393">
            <v>0.5</v>
          </cell>
          <cell r="G393">
            <v>78760</v>
          </cell>
        </row>
        <row r="394">
          <cell r="A394" t="str">
            <v>25-1125</v>
          </cell>
          <cell r="B394" t="str">
            <v>History Teachers, Postsecondary</v>
          </cell>
          <cell r="C394">
            <v>20610</v>
          </cell>
          <cell r="D394">
            <v>0.9</v>
          </cell>
          <cell r="E394">
            <v>93120</v>
          </cell>
          <cell r="F394">
            <v>0.5</v>
          </cell>
          <cell r="G394">
            <v>82140</v>
          </cell>
        </row>
        <row r="395">
          <cell r="A395" t="str">
            <v>25-1126</v>
          </cell>
          <cell r="B395" t="str">
            <v>Philosophy and Religion Teachers, Postsecondary</v>
          </cell>
          <cell r="C395">
            <v>20320</v>
          </cell>
          <cell r="D395">
            <v>1.1000000000000001</v>
          </cell>
          <cell r="E395">
            <v>89680</v>
          </cell>
          <cell r="F395">
            <v>0.6</v>
          </cell>
          <cell r="G395">
            <v>79930</v>
          </cell>
        </row>
        <row r="396">
          <cell r="A396" t="str">
            <v>25-1190</v>
          </cell>
          <cell r="B396" t="str">
            <v>Miscellaneous Postsecondary Teachers</v>
          </cell>
          <cell r="C396">
            <v>294080</v>
          </cell>
          <cell r="D396">
            <v>0.7</v>
          </cell>
          <cell r="E396">
            <v>85400</v>
          </cell>
          <cell r="F396">
            <v>0.4</v>
          </cell>
          <cell r="G396">
            <v>71800</v>
          </cell>
        </row>
        <row r="397">
          <cell r="A397" t="str">
            <v>25-1192</v>
          </cell>
          <cell r="B397" t="str">
            <v>Family and Consumer Sciences Teachers, Postsecondary</v>
          </cell>
          <cell r="C397">
            <v>2660</v>
          </cell>
          <cell r="D397">
            <v>0.9</v>
          </cell>
          <cell r="E397">
            <v>89630</v>
          </cell>
          <cell r="F397">
            <v>0.9</v>
          </cell>
          <cell r="G397">
            <v>78410</v>
          </cell>
        </row>
        <row r="398">
          <cell r="A398" t="str">
            <v>25-1193</v>
          </cell>
          <cell r="B398" t="str">
            <v>Recreation and Fitness Studies Teachers, Postsecondary</v>
          </cell>
          <cell r="C398">
            <v>13270</v>
          </cell>
          <cell r="D398">
            <v>1.3</v>
          </cell>
          <cell r="E398">
            <v>87340</v>
          </cell>
          <cell r="F398">
            <v>0.6</v>
          </cell>
          <cell r="G398">
            <v>75770</v>
          </cell>
        </row>
        <row r="399">
          <cell r="A399" t="str">
            <v>25-1194</v>
          </cell>
          <cell r="B399" t="str">
            <v>Career/Technical Education Teachers, Postsecondary</v>
          </cell>
          <cell r="C399">
            <v>111180</v>
          </cell>
          <cell r="D399">
            <v>1.4</v>
          </cell>
          <cell r="E399">
            <v>68300</v>
          </cell>
          <cell r="F399">
            <v>0.8</v>
          </cell>
          <cell r="G399">
            <v>62060</v>
          </cell>
        </row>
        <row r="400">
          <cell r="A400" t="str">
            <v>25-1199</v>
          </cell>
          <cell r="B400" t="str">
            <v>Postsecondary Teachers, All Other</v>
          </cell>
          <cell r="C400">
            <v>166980</v>
          </cell>
          <cell r="D400">
            <v>0.8</v>
          </cell>
          <cell r="E400">
            <v>96570</v>
          </cell>
          <cell r="F400">
            <v>0.5</v>
          </cell>
          <cell r="G400">
            <v>79870</v>
          </cell>
        </row>
        <row r="401">
          <cell r="A401" t="str">
            <v>25-2000</v>
          </cell>
          <cell r="B401" t="str">
            <v>Preschool, Elementary, Middle, Secondary, and Special Education Teachers</v>
          </cell>
          <cell r="C401">
            <v>4261430</v>
          </cell>
          <cell r="D401">
            <v>0.3</v>
          </cell>
          <cell r="E401">
            <v>68890</v>
          </cell>
          <cell r="F401">
            <v>0.4</v>
          </cell>
          <cell r="G401">
            <v>63280</v>
          </cell>
        </row>
        <row r="402">
          <cell r="A402" t="str">
            <v>25-2010</v>
          </cell>
          <cell r="B402" t="str">
            <v>Preschool and Kindergarten Teachers</v>
          </cell>
          <cell r="C402">
            <v>548820</v>
          </cell>
          <cell r="D402">
            <v>0.9</v>
          </cell>
          <cell r="E402">
            <v>47110</v>
          </cell>
          <cell r="F402">
            <v>0.6</v>
          </cell>
          <cell r="G402">
            <v>39330</v>
          </cell>
        </row>
        <row r="403">
          <cell r="A403" t="str">
            <v>25-2011</v>
          </cell>
          <cell r="B403" t="str">
            <v>Preschool Teachers, Except Special Education</v>
          </cell>
          <cell r="C403">
            <v>430240</v>
          </cell>
          <cell r="D403">
            <v>1.1000000000000001</v>
          </cell>
          <cell r="E403">
            <v>41410</v>
          </cell>
          <cell r="F403">
            <v>0.7</v>
          </cell>
          <cell r="G403">
            <v>37130</v>
          </cell>
        </row>
        <row r="404">
          <cell r="A404" t="str">
            <v>25-2012</v>
          </cell>
          <cell r="B404" t="str">
            <v>Kindergarten Teachers, Except Special Education</v>
          </cell>
          <cell r="C404">
            <v>118580</v>
          </cell>
          <cell r="D404">
            <v>1.2</v>
          </cell>
          <cell r="E404">
            <v>67790</v>
          </cell>
          <cell r="F404">
            <v>0.6</v>
          </cell>
          <cell r="G404">
            <v>62690</v>
          </cell>
        </row>
        <row r="405">
          <cell r="A405" t="str">
            <v>25-2020</v>
          </cell>
          <cell r="B405" t="str">
            <v>Elementary and Middle School Teachers</v>
          </cell>
          <cell r="C405">
            <v>2048970</v>
          </cell>
          <cell r="D405">
            <v>0.5</v>
          </cell>
          <cell r="E405">
            <v>70950</v>
          </cell>
          <cell r="F405">
            <v>0.5</v>
          </cell>
          <cell r="G405">
            <v>63870</v>
          </cell>
        </row>
        <row r="406">
          <cell r="A406" t="str">
            <v>25-2021</v>
          </cell>
          <cell r="B406" t="str">
            <v>Elementary School Teachers, Except Special Education</v>
          </cell>
          <cell r="C406">
            <v>1410070</v>
          </cell>
          <cell r="D406">
            <v>0.6</v>
          </cell>
          <cell r="E406">
            <v>70740</v>
          </cell>
          <cell r="F406">
            <v>0.5</v>
          </cell>
          <cell r="G406">
            <v>63680</v>
          </cell>
        </row>
        <row r="407">
          <cell r="A407" t="str">
            <v>25-2022</v>
          </cell>
          <cell r="B407" t="str">
            <v>Middle School Teachers, Except Special and Career/Technical Education</v>
          </cell>
          <cell r="C407">
            <v>626690</v>
          </cell>
          <cell r="D407">
            <v>1.5</v>
          </cell>
          <cell r="E407">
            <v>71460</v>
          </cell>
          <cell r="F407">
            <v>0.7</v>
          </cell>
          <cell r="G407">
            <v>64290</v>
          </cell>
        </row>
        <row r="408">
          <cell r="A408" t="str">
            <v>25-2023</v>
          </cell>
          <cell r="B408" t="str">
            <v>Career/Technical Education Teachers, Middle School</v>
          </cell>
          <cell r="C408">
            <v>12210</v>
          </cell>
          <cell r="D408">
            <v>3.3</v>
          </cell>
          <cell r="E408">
            <v>69020</v>
          </cell>
          <cell r="F408">
            <v>1.2</v>
          </cell>
          <cell r="G408">
            <v>63860</v>
          </cell>
        </row>
        <row r="409">
          <cell r="A409" t="str">
            <v>25-2030</v>
          </cell>
          <cell r="B409" t="str">
            <v>Secondary School Teachers</v>
          </cell>
          <cell r="C409">
            <v>1135230</v>
          </cell>
          <cell r="D409">
            <v>0.8</v>
          </cell>
          <cell r="E409">
            <v>73570</v>
          </cell>
          <cell r="F409">
            <v>0.5</v>
          </cell>
          <cell r="G409">
            <v>65210</v>
          </cell>
        </row>
        <row r="410">
          <cell r="A410" t="str">
            <v>25-2031</v>
          </cell>
          <cell r="B410" t="str">
            <v>Secondary School Teachers, Except Special and Career/Technical Education</v>
          </cell>
          <cell r="C410">
            <v>1045170</v>
          </cell>
          <cell r="D410">
            <v>0.8</v>
          </cell>
          <cell r="E410">
            <v>73800</v>
          </cell>
          <cell r="F410">
            <v>0.5</v>
          </cell>
          <cell r="G410">
            <v>65220</v>
          </cell>
        </row>
        <row r="411">
          <cell r="A411" t="str">
            <v>25-2032</v>
          </cell>
          <cell r="B411" t="str">
            <v>Career/Technical Education Teachers, Secondary School</v>
          </cell>
          <cell r="C411">
            <v>90070</v>
          </cell>
          <cell r="D411">
            <v>1.6</v>
          </cell>
          <cell r="E411">
            <v>70810</v>
          </cell>
          <cell r="F411">
            <v>0.5</v>
          </cell>
          <cell r="G411">
            <v>65130</v>
          </cell>
        </row>
        <row r="412">
          <cell r="A412" t="str">
            <v>25-2050</v>
          </cell>
          <cell r="B412" t="str">
            <v>Special Education Teachers</v>
          </cell>
          <cell r="C412">
            <v>528400</v>
          </cell>
          <cell r="D412">
            <v>0.6</v>
          </cell>
          <cell r="E412">
            <v>73520</v>
          </cell>
          <cell r="F412">
            <v>0.5</v>
          </cell>
          <cell r="G412">
            <v>65910</v>
          </cell>
        </row>
        <row r="413">
          <cell r="A413" t="str">
            <v>25-2051</v>
          </cell>
          <cell r="B413" t="str">
            <v>Special Education Teachers, Preschool</v>
          </cell>
          <cell r="C413">
            <v>24850</v>
          </cell>
          <cell r="D413">
            <v>4.7</v>
          </cell>
          <cell r="E413">
            <v>76420</v>
          </cell>
          <cell r="F413">
            <v>2.6</v>
          </cell>
          <cell r="G413">
            <v>65270</v>
          </cell>
        </row>
        <row r="414">
          <cell r="A414" t="str">
            <v>25-2052</v>
          </cell>
          <cell r="B414" t="str">
            <v>Special Education Teachers, Kindergarten and Elementary School</v>
          </cell>
          <cell r="C414">
            <v>212850</v>
          </cell>
          <cell r="D414">
            <v>1.1000000000000001</v>
          </cell>
          <cell r="E414">
            <v>71770</v>
          </cell>
          <cell r="F414">
            <v>0.5</v>
          </cell>
          <cell r="G414">
            <v>64910</v>
          </cell>
        </row>
        <row r="415">
          <cell r="A415" t="str">
            <v>25-2057</v>
          </cell>
          <cell r="B415" t="str">
            <v>Special Education Teachers, Middle School</v>
          </cell>
          <cell r="C415">
            <v>88850</v>
          </cell>
          <cell r="D415">
            <v>2.2000000000000002</v>
          </cell>
          <cell r="E415">
            <v>73630</v>
          </cell>
          <cell r="F415">
            <v>0.9</v>
          </cell>
          <cell r="G415">
            <v>66600</v>
          </cell>
        </row>
        <row r="416">
          <cell r="A416" t="str">
            <v>25-2058</v>
          </cell>
          <cell r="B416" t="str">
            <v>Special Education Teachers, Secondary School</v>
          </cell>
          <cell r="C416">
            <v>158150</v>
          </cell>
          <cell r="D416">
            <v>1.2</v>
          </cell>
          <cell r="E416">
            <v>74670</v>
          </cell>
          <cell r="F416">
            <v>0.6</v>
          </cell>
          <cell r="G416">
            <v>66620</v>
          </cell>
        </row>
        <row r="417">
          <cell r="A417" t="str">
            <v>25-2059</v>
          </cell>
          <cell r="B417" t="str">
            <v>Special Education Teachers, All Other</v>
          </cell>
          <cell r="C417">
            <v>43700</v>
          </cell>
          <cell r="D417">
            <v>3.3</v>
          </cell>
          <cell r="E417">
            <v>76000</v>
          </cell>
          <cell r="F417">
            <v>1.5</v>
          </cell>
          <cell r="G417">
            <v>67190</v>
          </cell>
        </row>
        <row r="418">
          <cell r="A418" t="str">
            <v>25-3000</v>
          </cell>
          <cell r="B418" t="str">
            <v>Other Teachers and Instructors</v>
          </cell>
          <cell r="C418">
            <v>1034120</v>
          </cell>
          <cell r="D418">
            <v>0.7</v>
          </cell>
          <cell r="E418">
            <v>50650</v>
          </cell>
          <cell r="F418">
            <v>0.6</v>
          </cell>
          <cell r="G418">
            <v>41700</v>
          </cell>
        </row>
        <row r="419">
          <cell r="A419" t="str">
            <v>25-3010</v>
          </cell>
          <cell r="B419" t="str">
            <v>Adult Basic Education, Adult Secondary Education, and English as a Second Language Instructors</v>
          </cell>
          <cell r="C419">
            <v>36890</v>
          </cell>
          <cell r="D419">
            <v>1.6</v>
          </cell>
          <cell r="E419">
            <v>65430</v>
          </cell>
          <cell r="F419">
            <v>0.6</v>
          </cell>
          <cell r="G419">
            <v>60560</v>
          </cell>
        </row>
        <row r="420">
          <cell r="A420" t="str">
            <v>25-3011</v>
          </cell>
          <cell r="B420" t="str">
            <v>Adult Basic Education, Adult Secondary Education, and English as a Second Language Instructors</v>
          </cell>
          <cell r="C420">
            <v>36890</v>
          </cell>
          <cell r="D420">
            <v>1.6</v>
          </cell>
          <cell r="E420">
            <v>65430</v>
          </cell>
          <cell r="F420">
            <v>0.6</v>
          </cell>
          <cell r="G420">
            <v>60560</v>
          </cell>
        </row>
        <row r="421">
          <cell r="A421" t="str">
            <v>25-3020</v>
          </cell>
          <cell r="B421" t="str">
            <v>Self-Enrichment Teachers</v>
          </cell>
          <cell r="C421">
            <v>272110</v>
          </cell>
          <cell r="D421">
            <v>1.1000000000000001</v>
          </cell>
          <cell r="E421">
            <v>52890</v>
          </cell>
          <cell r="F421">
            <v>1.2</v>
          </cell>
          <cell r="G421">
            <v>45330</v>
          </cell>
        </row>
        <row r="422">
          <cell r="A422" t="str">
            <v>25-3021</v>
          </cell>
          <cell r="B422" t="str">
            <v>Self-Enrichment Teachers</v>
          </cell>
          <cell r="C422">
            <v>272110</v>
          </cell>
          <cell r="D422">
            <v>1.1000000000000001</v>
          </cell>
          <cell r="E422">
            <v>52890</v>
          </cell>
          <cell r="F422">
            <v>1.2</v>
          </cell>
          <cell r="G422">
            <v>45330</v>
          </cell>
        </row>
        <row r="423">
          <cell r="A423" t="str">
            <v>25-3030</v>
          </cell>
          <cell r="B423" t="str">
            <v>Substitute Teachers, Short-Term</v>
          </cell>
          <cell r="C423">
            <v>444530</v>
          </cell>
          <cell r="D423">
            <v>1.2</v>
          </cell>
          <cell r="E423">
            <v>43570</v>
          </cell>
          <cell r="F423">
            <v>1.3</v>
          </cell>
          <cell r="G423">
            <v>37380</v>
          </cell>
        </row>
        <row r="424">
          <cell r="A424" t="str">
            <v>25-3031</v>
          </cell>
          <cell r="B424" t="str">
            <v>Substitute Teachers, Short-Term</v>
          </cell>
          <cell r="C424">
            <v>444530</v>
          </cell>
          <cell r="D424">
            <v>1.2</v>
          </cell>
          <cell r="E424">
            <v>43570</v>
          </cell>
          <cell r="F424">
            <v>1.3</v>
          </cell>
          <cell r="G424">
            <v>37380</v>
          </cell>
        </row>
        <row r="425">
          <cell r="A425" t="str">
            <v>25-3040</v>
          </cell>
          <cell r="B425" t="str">
            <v>Tutors</v>
          </cell>
          <cell r="C425">
            <v>162300</v>
          </cell>
          <cell r="D425">
            <v>1.6</v>
          </cell>
          <cell r="E425">
            <v>48580</v>
          </cell>
          <cell r="F425">
            <v>1</v>
          </cell>
          <cell r="G425">
            <v>39580</v>
          </cell>
        </row>
        <row r="426">
          <cell r="A426" t="str">
            <v>25-3041</v>
          </cell>
          <cell r="B426" t="str">
            <v>Tutors</v>
          </cell>
          <cell r="C426">
            <v>162300</v>
          </cell>
          <cell r="D426">
            <v>1.6</v>
          </cell>
          <cell r="E426">
            <v>48580</v>
          </cell>
          <cell r="F426">
            <v>1</v>
          </cell>
          <cell r="G426">
            <v>39580</v>
          </cell>
        </row>
        <row r="427">
          <cell r="A427" t="str">
            <v>25-3090</v>
          </cell>
          <cell r="B427" t="str">
            <v>Miscellaneous Teachers and Instructors</v>
          </cell>
          <cell r="C427">
            <v>118290</v>
          </cell>
          <cell r="D427">
            <v>2.2999999999999998</v>
          </cell>
          <cell r="E427">
            <v>70340</v>
          </cell>
          <cell r="F427">
            <v>0.8</v>
          </cell>
          <cell r="G427">
            <v>64390</v>
          </cell>
        </row>
        <row r="428">
          <cell r="A428" t="str">
            <v>25-3099</v>
          </cell>
          <cell r="B428" t="str">
            <v>Teachers and Instructors, All Other</v>
          </cell>
          <cell r="C428">
            <v>118290</v>
          </cell>
          <cell r="D428">
            <v>2.2999999999999998</v>
          </cell>
          <cell r="E428">
            <v>70340</v>
          </cell>
          <cell r="F428">
            <v>0.8</v>
          </cell>
          <cell r="G428">
            <v>64390</v>
          </cell>
        </row>
        <row r="429">
          <cell r="A429" t="str">
            <v>25-4000</v>
          </cell>
          <cell r="B429" t="str">
            <v>Librarians, Curators, and Archivists</v>
          </cell>
          <cell r="C429">
            <v>242750</v>
          </cell>
          <cell r="D429">
            <v>0.7</v>
          </cell>
          <cell r="E429">
            <v>59680</v>
          </cell>
          <cell r="F429">
            <v>0.5</v>
          </cell>
          <cell r="G429">
            <v>55460</v>
          </cell>
        </row>
        <row r="430">
          <cell r="A430" t="str">
            <v>25-4010</v>
          </cell>
          <cell r="B430" t="str">
            <v>Archivists, Curators, and Museum Technicians</v>
          </cell>
          <cell r="C430">
            <v>32330</v>
          </cell>
          <cell r="D430">
            <v>1.2</v>
          </cell>
          <cell r="E430">
            <v>63460</v>
          </cell>
          <cell r="F430">
            <v>1.3</v>
          </cell>
          <cell r="G430">
            <v>57120</v>
          </cell>
        </row>
        <row r="431">
          <cell r="A431" t="str">
            <v>25-4011</v>
          </cell>
          <cell r="B431" t="str">
            <v>Archivists</v>
          </cell>
          <cell r="C431">
            <v>7150</v>
          </cell>
          <cell r="D431">
            <v>2.7</v>
          </cell>
          <cell r="E431">
            <v>65700</v>
          </cell>
          <cell r="F431">
            <v>1</v>
          </cell>
          <cell r="G431">
            <v>59910</v>
          </cell>
        </row>
        <row r="432">
          <cell r="A432" t="str">
            <v>25-4012</v>
          </cell>
          <cell r="B432" t="str">
            <v>Curators</v>
          </cell>
          <cell r="C432">
            <v>12510</v>
          </cell>
          <cell r="D432">
            <v>1.6</v>
          </cell>
          <cell r="E432">
            <v>70870</v>
          </cell>
          <cell r="F432">
            <v>2.5</v>
          </cell>
          <cell r="G432">
            <v>61750</v>
          </cell>
        </row>
        <row r="433">
          <cell r="A433" t="str">
            <v>25-4013</v>
          </cell>
          <cell r="B433" t="str">
            <v>Museum Technicians and Conservators</v>
          </cell>
          <cell r="C433">
            <v>12670</v>
          </cell>
          <cell r="D433">
            <v>2.1</v>
          </cell>
          <cell r="E433">
            <v>54890</v>
          </cell>
          <cell r="F433">
            <v>1</v>
          </cell>
          <cell r="G433">
            <v>48670</v>
          </cell>
        </row>
        <row r="434">
          <cell r="A434" t="str">
            <v>25-4020</v>
          </cell>
          <cell r="B434" t="str">
            <v>Librarians and Media Collections Specialists</v>
          </cell>
          <cell r="C434">
            <v>133760</v>
          </cell>
          <cell r="D434">
            <v>0.7</v>
          </cell>
          <cell r="E434">
            <v>68570</v>
          </cell>
          <cell r="F434">
            <v>0.5</v>
          </cell>
          <cell r="G434">
            <v>64370</v>
          </cell>
        </row>
        <row r="435">
          <cell r="A435" t="str">
            <v>25-4022</v>
          </cell>
          <cell r="B435" t="str">
            <v>Librarians and Media Collections Specialists</v>
          </cell>
          <cell r="C435">
            <v>133760</v>
          </cell>
          <cell r="D435">
            <v>0.7</v>
          </cell>
          <cell r="E435">
            <v>68570</v>
          </cell>
          <cell r="F435">
            <v>0.5</v>
          </cell>
          <cell r="G435">
            <v>64370</v>
          </cell>
        </row>
        <row r="436">
          <cell r="A436" t="str">
            <v>25-4030</v>
          </cell>
          <cell r="B436" t="str">
            <v>Library Technicians</v>
          </cell>
          <cell r="C436">
            <v>76670</v>
          </cell>
          <cell r="D436">
            <v>1.5</v>
          </cell>
          <cell r="E436">
            <v>42570</v>
          </cell>
          <cell r="F436">
            <v>0.5</v>
          </cell>
          <cell r="G436">
            <v>39310</v>
          </cell>
        </row>
        <row r="437">
          <cell r="A437" t="str">
            <v>25-4031</v>
          </cell>
          <cell r="B437" t="str">
            <v>Library Technicians</v>
          </cell>
          <cell r="C437">
            <v>76670</v>
          </cell>
          <cell r="D437">
            <v>1.5</v>
          </cell>
          <cell r="E437">
            <v>42570</v>
          </cell>
          <cell r="F437">
            <v>0.5</v>
          </cell>
          <cell r="G437">
            <v>39310</v>
          </cell>
        </row>
        <row r="438">
          <cell r="A438" t="str">
            <v>25-9000</v>
          </cell>
          <cell r="B438" t="str">
            <v>Other Educational Instruction and Library Occupations</v>
          </cell>
          <cell r="C438">
            <v>1812160</v>
          </cell>
          <cell r="D438">
            <v>0.4</v>
          </cell>
          <cell r="E438">
            <v>43220</v>
          </cell>
          <cell r="F438">
            <v>0.4</v>
          </cell>
          <cell r="G438">
            <v>37330</v>
          </cell>
        </row>
        <row r="439">
          <cell r="A439" t="str">
            <v>25-9020</v>
          </cell>
          <cell r="B439" t="str">
            <v>Farm and Home Management Educators</v>
          </cell>
          <cell r="C439">
            <v>8110</v>
          </cell>
          <cell r="D439">
            <v>4.4000000000000004</v>
          </cell>
          <cell r="E439">
            <v>61430</v>
          </cell>
          <cell r="F439">
            <v>2.4</v>
          </cell>
          <cell r="G439">
            <v>59770</v>
          </cell>
        </row>
        <row r="440">
          <cell r="A440" t="str">
            <v>25-9021</v>
          </cell>
          <cell r="B440" t="str">
            <v>Farm and Home Management Educators</v>
          </cell>
          <cell r="C440">
            <v>8110</v>
          </cell>
          <cell r="D440">
            <v>4.4000000000000004</v>
          </cell>
          <cell r="E440">
            <v>61430</v>
          </cell>
          <cell r="F440">
            <v>2.4</v>
          </cell>
          <cell r="G440">
            <v>59770</v>
          </cell>
        </row>
        <row r="441">
          <cell r="A441" t="str">
            <v>25-9030</v>
          </cell>
          <cell r="B441" t="str">
            <v>Instructional Coordinators</v>
          </cell>
          <cell r="C441">
            <v>207270</v>
          </cell>
          <cell r="D441">
            <v>0.9</v>
          </cell>
          <cell r="E441">
            <v>77200</v>
          </cell>
          <cell r="F441">
            <v>0.7</v>
          </cell>
          <cell r="G441">
            <v>74620</v>
          </cell>
        </row>
        <row r="442">
          <cell r="A442" t="str">
            <v>25-9031</v>
          </cell>
          <cell r="B442" t="str">
            <v>Instructional Coordinators</v>
          </cell>
          <cell r="C442">
            <v>207270</v>
          </cell>
          <cell r="D442">
            <v>0.9</v>
          </cell>
          <cell r="E442">
            <v>77200</v>
          </cell>
          <cell r="F442">
            <v>0.7</v>
          </cell>
          <cell r="G442">
            <v>74620</v>
          </cell>
        </row>
        <row r="443">
          <cell r="A443" t="str">
            <v>25-9040</v>
          </cell>
          <cell r="B443" t="str">
            <v>Teaching Assistants</v>
          </cell>
          <cell r="C443">
            <v>1483280</v>
          </cell>
          <cell r="D443">
            <v>0.5</v>
          </cell>
          <cell r="E443">
            <v>37470</v>
          </cell>
          <cell r="F443">
            <v>0.4</v>
          </cell>
          <cell r="G443">
            <v>35930</v>
          </cell>
        </row>
        <row r="444">
          <cell r="A444" t="str">
            <v>25-9044</v>
          </cell>
          <cell r="B444" t="str">
            <v>Teaching Assistants, Postsecondary</v>
          </cell>
          <cell r="C444">
            <v>145960</v>
          </cell>
          <cell r="D444">
            <v>0.4</v>
          </cell>
          <cell r="E444">
            <v>47030</v>
          </cell>
          <cell r="F444">
            <v>0.5</v>
          </cell>
          <cell r="G444">
            <v>43750</v>
          </cell>
        </row>
        <row r="445">
          <cell r="A445" t="str">
            <v>25-9045</v>
          </cell>
          <cell r="B445" t="str">
            <v>Teaching Assistants, Except Postsecondary</v>
          </cell>
          <cell r="C445">
            <v>1337320</v>
          </cell>
          <cell r="D445">
            <v>0.6</v>
          </cell>
          <cell r="E445">
            <v>36430</v>
          </cell>
          <cell r="F445">
            <v>0.4</v>
          </cell>
          <cell r="G445">
            <v>35550</v>
          </cell>
        </row>
        <row r="446">
          <cell r="A446" t="str">
            <v>25-9090</v>
          </cell>
          <cell r="B446" t="str">
            <v>Miscellaneous Educational Instruction and Library Workers</v>
          </cell>
          <cell r="C446">
            <v>113490</v>
          </cell>
          <cell r="D446">
            <v>1.5</v>
          </cell>
          <cell r="E446">
            <v>54910</v>
          </cell>
          <cell r="F446">
            <v>0.6</v>
          </cell>
          <cell r="G446">
            <v>49800</v>
          </cell>
        </row>
        <row r="447">
          <cell r="A447" t="str">
            <v>25-9099</v>
          </cell>
          <cell r="B447" t="str">
            <v>Educational Instruction and Library Workers, All Other</v>
          </cell>
          <cell r="C447">
            <v>113490</v>
          </cell>
          <cell r="D447">
            <v>1.5</v>
          </cell>
          <cell r="E447">
            <v>54910</v>
          </cell>
          <cell r="F447">
            <v>0.6</v>
          </cell>
          <cell r="G447">
            <v>49800</v>
          </cell>
        </row>
        <row r="448">
          <cell r="A448" t="str">
            <v>27-0000</v>
          </cell>
          <cell r="B448" t="str">
            <v>Arts, Design, Entertainment, Sports, and Media Occupations</v>
          </cell>
          <cell r="C448">
            <v>2106490</v>
          </cell>
          <cell r="D448">
            <v>0.6</v>
          </cell>
          <cell r="E448">
            <v>75520</v>
          </cell>
          <cell r="F448">
            <v>0.8</v>
          </cell>
          <cell r="G448">
            <v>58920</v>
          </cell>
        </row>
        <row r="449">
          <cell r="A449" t="str">
            <v>27-1000</v>
          </cell>
          <cell r="B449" t="str">
            <v>Art and Design Workers</v>
          </cell>
          <cell r="C449">
            <v>675630</v>
          </cell>
          <cell r="D449">
            <v>0.6</v>
          </cell>
          <cell r="E449">
            <v>65190</v>
          </cell>
          <cell r="F449">
            <v>1</v>
          </cell>
          <cell r="G449">
            <v>51660</v>
          </cell>
        </row>
        <row r="450">
          <cell r="A450" t="str">
            <v>27-1010</v>
          </cell>
          <cell r="B450" t="str">
            <v>Artists and Related Workers</v>
          </cell>
          <cell r="C450">
            <v>105300</v>
          </cell>
          <cell r="D450">
            <v>2.4</v>
          </cell>
          <cell r="E450">
            <v>107780</v>
          </cell>
          <cell r="F450">
            <v>1.2</v>
          </cell>
          <cell r="G450">
            <v>96130</v>
          </cell>
        </row>
        <row r="451">
          <cell r="A451" t="str">
            <v>27-1011</v>
          </cell>
          <cell r="B451" t="str">
            <v>Art Directors</v>
          </cell>
          <cell r="C451">
            <v>51200</v>
          </cell>
          <cell r="D451">
            <v>2</v>
          </cell>
          <cell r="E451">
            <v>125920</v>
          </cell>
          <cell r="F451">
            <v>1.4</v>
          </cell>
          <cell r="G451">
            <v>106500</v>
          </cell>
        </row>
        <row r="452">
          <cell r="A452" t="str">
            <v>27-1012</v>
          </cell>
          <cell r="B452" t="str">
            <v>Craft Artists</v>
          </cell>
          <cell r="C452">
            <v>5830</v>
          </cell>
          <cell r="D452">
            <v>7.1</v>
          </cell>
          <cell r="E452">
            <v>43610</v>
          </cell>
          <cell r="F452">
            <v>3.4</v>
          </cell>
          <cell r="G452">
            <v>36600</v>
          </cell>
        </row>
        <row r="453">
          <cell r="A453" t="str">
            <v>27-1013</v>
          </cell>
          <cell r="B453" t="str">
            <v>Fine Artists, Including Painters, Sculptors, and Illustrators</v>
          </cell>
          <cell r="C453">
            <v>10910</v>
          </cell>
          <cell r="D453">
            <v>8.1999999999999993</v>
          </cell>
          <cell r="E453">
            <v>71420</v>
          </cell>
          <cell r="F453">
            <v>7.1</v>
          </cell>
          <cell r="G453">
            <v>59300</v>
          </cell>
        </row>
        <row r="454">
          <cell r="A454" t="str">
            <v>27-1014</v>
          </cell>
          <cell r="B454" t="str">
            <v>Special Effects Artists and Animators</v>
          </cell>
          <cell r="C454">
            <v>29940</v>
          </cell>
          <cell r="D454">
            <v>5.8</v>
          </cell>
          <cell r="E454">
            <v>109630</v>
          </cell>
          <cell r="F454">
            <v>1.7</v>
          </cell>
          <cell r="G454">
            <v>99060</v>
          </cell>
        </row>
        <row r="455">
          <cell r="A455" t="str">
            <v>27-1019</v>
          </cell>
          <cell r="B455" t="str">
            <v>Artists and Related Workers, All Other</v>
          </cell>
          <cell r="C455">
            <v>7420</v>
          </cell>
          <cell r="D455">
            <v>5.8</v>
          </cell>
          <cell r="E455">
            <v>78890</v>
          </cell>
          <cell r="F455">
            <v>2.6</v>
          </cell>
          <cell r="G455">
            <v>74750</v>
          </cell>
        </row>
        <row r="456">
          <cell r="A456" t="str">
            <v>27-1020</v>
          </cell>
          <cell r="B456" t="str">
            <v>Designers</v>
          </cell>
          <cell r="C456">
            <v>570330</v>
          </cell>
          <cell r="D456">
            <v>0.6</v>
          </cell>
          <cell r="E456">
            <v>57320</v>
          </cell>
          <cell r="F456">
            <v>0.9</v>
          </cell>
          <cell r="G456">
            <v>47670</v>
          </cell>
        </row>
        <row r="457">
          <cell r="A457" t="str">
            <v>27-1021</v>
          </cell>
          <cell r="B457" t="str">
            <v>Commercial and Industrial Designers</v>
          </cell>
          <cell r="C457">
            <v>30810</v>
          </cell>
          <cell r="D457">
            <v>3.6</v>
          </cell>
          <cell r="E457">
            <v>81870</v>
          </cell>
          <cell r="F457">
            <v>1.2</v>
          </cell>
          <cell r="G457">
            <v>76250</v>
          </cell>
        </row>
        <row r="458">
          <cell r="A458" t="str">
            <v>27-1022</v>
          </cell>
          <cell r="B458" t="str">
            <v>Fashion Designers</v>
          </cell>
          <cell r="C458">
            <v>19940</v>
          </cell>
          <cell r="D458">
            <v>5.0999999999999996</v>
          </cell>
          <cell r="E458">
            <v>97030</v>
          </cell>
          <cell r="F458">
            <v>10.4</v>
          </cell>
          <cell r="G458">
            <v>79290</v>
          </cell>
        </row>
        <row r="459">
          <cell r="A459" t="str">
            <v>27-1023</v>
          </cell>
          <cell r="B459" t="str">
            <v>Floral Designers</v>
          </cell>
          <cell r="C459">
            <v>43350</v>
          </cell>
          <cell r="D459">
            <v>1.8</v>
          </cell>
          <cell r="E459">
            <v>35500</v>
          </cell>
          <cell r="F459">
            <v>0.7</v>
          </cell>
          <cell r="G459">
            <v>34690</v>
          </cell>
        </row>
        <row r="460">
          <cell r="A460" t="str">
            <v>27-1024</v>
          </cell>
          <cell r="B460" t="str">
            <v>Graphic Designers</v>
          </cell>
          <cell r="C460">
            <v>212720</v>
          </cell>
          <cell r="D460">
            <v>0.7</v>
          </cell>
          <cell r="E460">
            <v>64700</v>
          </cell>
          <cell r="F460">
            <v>0.9</v>
          </cell>
          <cell r="G460">
            <v>58910</v>
          </cell>
        </row>
        <row r="461">
          <cell r="A461" t="str">
            <v>27-1025</v>
          </cell>
          <cell r="B461" t="str">
            <v>Interior Designers</v>
          </cell>
          <cell r="C461">
            <v>67760</v>
          </cell>
          <cell r="D461">
            <v>2.2000000000000002</v>
          </cell>
          <cell r="E461">
            <v>68530</v>
          </cell>
          <cell r="F461">
            <v>0.9</v>
          </cell>
          <cell r="G461">
            <v>62510</v>
          </cell>
        </row>
        <row r="462">
          <cell r="A462" t="str">
            <v>27-1026</v>
          </cell>
          <cell r="B462" t="str">
            <v>Merchandise Displayers and Window Trimmers</v>
          </cell>
          <cell r="C462">
            <v>175790</v>
          </cell>
          <cell r="D462">
            <v>1.7</v>
          </cell>
          <cell r="E462">
            <v>39040</v>
          </cell>
          <cell r="F462">
            <v>0.7</v>
          </cell>
          <cell r="G462">
            <v>36230</v>
          </cell>
        </row>
        <row r="463">
          <cell r="A463" t="str">
            <v>27-1027</v>
          </cell>
          <cell r="B463" t="str">
            <v>Set and Exhibit Designers</v>
          </cell>
          <cell r="C463">
            <v>10090</v>
          </cell>
          <cell r="D463">
            <v>4</v>
          </cell>
          <cell r="E463">
            <v>67170</v>
          </cell>
          <cell r="F463">
            <v>2.6</v>
          </cell>
          <cell r="G463">
            <v>59490</v>
          </cell>
        </row>
        <row r="464">
          <cell r="A464" t="str">
            <v>27-1029</v>
          </cell>
          <cell r="B464" t="str">
            <v>Designers, All Other</v>
          </cell>
          <cell r="C464">
            <v>9880</v>
          </cell>
          <cell r="D464">
            <v>4.5999999999999996</v>
          </cell>
          <cell r="E464">
            <v>75960</v>
          </cell>
          <cell r="F464">
            <v>2</v>
          </cell>
          <cell r="G464">
            <v>67500</v>
          </cell>
        </row>
        <row r="465">
          <cell r="A465" t="str">
            <v>27-2000</v>
          </cell>
          <cell r="B465" t="str">
            <v>Entertainers and Performers, Sports and Related Workers</v>
          </cell>
          <cell r="C465">
            <v>569670</v>
          </cell>
          <cell r="D465">
            <v>1.5</v>
          </cell>
          <cell r="E465">
            <v>85310</v>
          </cell>
          <cell r="F465">
            <v>1.6</v>
          </cell>
          <cell r="G465">
            <v>53360</v>
          </cell>
        </row>
        <row r="466">
          <cell r="A466" t="str">
            <v>27-2010</v>
          </cell>
          <cell r="B466" t="str">
            <v>Actors, Producers, and Directors</v>
          </cell>
          <cell r="C466">
            <v>217020</v>
          </cell>
          <cell r="D466">
            <v>3.7</v>
          </cell>
          <cell r="E466">
            <v>100860</v>
          </cell>
          <cell r="F466">
            <v>2.9</v>
          </cell>
          <cell r="G466">
            <v>76000</v>
          </cell>
        </row>
        <row r="467">
          <cell r="A467" t="str">
            <v>27-2011</v>
          </cell>
          <cell r="B467" t="str">
            <v>Actors</v>
          </cell>
          <cell r="C467">
            <v>62560</v>
          </cell>
          <cell r="D467">
            <v>11.2</v>
          </cell>
          <cell r="E467" t="str">
            <v>*</v>
          </cell>
          <cell r="F467">
            <v>6.4</v>
          </cell>
          <cell r="G467" t="str">
            <v>*</v>
          </cell>
        </row>
        <row r="468">
          <cell r="A468" t="str">
            <v>27-2012</v>
          </cell>
          <cell r="B468" t="str">
            <v>Producers and Directors</v>
          </cell>
          <cell r="C468">
            <v>154470</v>
          </cell>
          <cell r="D468">
            <v>1.3</v>
          </cell>
          <cell r="E468">
            <v>107170</v>
          </cell>
          <cell r="F468">
            <v>3.9</v>
          </cell>
          <cell r="G468">
            <v>82510</v>
          </cell>
        </row>
        <row r="469">
          <cell r="A469" t="str">
            <v>27-2020</v>
          </cell>
          <cell r="B469" t="str">
            <v>Athletes, Coaches, Umpires, and Related Workers</v>
          </cell>
          <cell r="C469">
            <v>268750</v>
          </cell>
          <cell r="D469">
            <v>1.4</v>
          </cell>
          <cell r="E469">
            <v>72950</v>
          </cell>
          <cell r="F469">
            <v>3</v>
          </cell>
          <cell r="G469">
            <v>45860</v>
          </cell>
        </row>
        <row r="470">
          <cell r="A470" t="str">
            <v>27-2021</v>
          </cell>
          <cell r="B470" t="str">
            <v>Athletes and Sports Competitors</v>
          </cell>
          <cell r="C470">
            <v>14930</v>
          </cell>
          <cell r="D470">
            <v>6.4</v>
          </cell>
          <cell r="E470">
            <v>328830</v>
          </cell>
          <cell r="F470">
            <v>10.5</v>
          </cell>
          <cell r="G470">
            <v>70280</v>
          </cell>
        </row>
        <row r="471">
          <cell r="A471" t="str">
            <v>27-2022</v>
          </cell>
          <cell r="B471" t="str">
            <v>Coaches and Scouts</v>
          </cell>
          <cell r="C471">
            <v>238980</v>
          </cell>
          <cell r="D471">
            <v>1.5</v>
          </cell>
          <cell r="E471">
            <v>58700</v>
          </cell>
          <cell r="F471">
            <v>0.9</v>
          </cell>
          <cell r="G471">
            <v>45910</v>
          </cell>
        </row>
        <row r="472">
          <cell r="A472" t="str">
            <v>27-2023</v>
          </cell>
          <cell r="B472" t="str">
            <v>Umpires, Referees, and Other Sports Officials</v>
          </cell>
          <cell r="C472">
            <v>14840</v>
          </cell>
          <cell r="D472">
            <v>4.0999999999999996</v>
          </cell>
          <cell r="E472">
            <v>44860</v>
          </cell>
          <cell r="F472">
            <v>4.0999999999999996</v>
          </cell>
          <cell r="G472">
            <v>35820</v>
          </cell>
        </row>
        <row r="473">
          <cell r="A473" t="str">
            <v>27-2030</v>
          </cell>
          <cell r="B473" t="str">
            <v>Dancers and Choreographers</v>
          </cell>
          <cell r="C473">
            <v>15700</v>
          </cell>
          <cell r="D473">
            <v>8.8000000000000007</v>
          </cell>
          <cell r="E473">
            <v>60840</v>
          </cell>
          <cell r="F473">
            <v>3.7</v>
          </cell>
          <cell r="G473">
            <v>51900</v>
          </cell>
        </row>
        <row r="474">
          <cell r="A474" t="str">
            <v>27-2031</v>
          </cell>
          <cell r="B474" t="str">
            <v>Dancers</v>
          </cell>
          <cell r="C474">
            <v>11510</v>
          </cell>
          <cell r="D474">
            <v>13.3</v>
          </cell>
          <cell r="E474" t="str">
            <v>*</v>
          </cell>
          <cell r="F474">
            <v>4.9000000000000004</v>
          </cell>
          <cell r="G474" t="str">
            <v>*</v>
          </cell>
        </row>
        <row r="475">
          <cell r="A475" t="str">
            <v>27-2032</v>
          </cell>
          <cell r="B475" t="str">
            <v>Choreographers</v>
          </cell>
          <cell r="C475">
            <v>4190</v>
          </cell>
          <cell r="D475">
            <v>13.2</v>
          </cell>
          <cell r="E475">
            <v>59090</v>
          </cell>
          <cell r="F475">
            <v>3.3</v>
          </cell>
          <cell r="G475">
            <v>52000</v>
          </cell>
        </row>
        <row r="476">
          <cell r="A476" t="str">
            <v>27-2040</v>
          </cell>
          <cell r="B476" t="str">
            <v>Musicians, Singers, and Related Workers</v>
          </cell>
          <cell r="C476">
            <v>46280</v>
          </cell>
          <cell r="D476">
            <v>2.6</v>
          </cell>
          <cell r="E476" t="str">
            <v>*</v>
          </cell>
          <cell r="F476">
            <v>2.2000000000000002</v>
          </cell>
          <cell r="G476" t="str">
            <v>*</v>
          </cell>
        </row>
        <row r="477">
          <cell r="A477" t="str">
            <v>27-2041</v>
          </cell>
          <cell r="B477" t="str">
            <v>Music Directors and Composers</v>
          </cell>
          <cell r="C477">
            <v>10770</v>
          </cell>
          <cell r="D477">
            <v>12.5</v>
          </cell>
          <cell r="E477">
            <v>87840</v>
          </cell>
          <cell r="F477">
            <v>8.1999999999999993</v>
          </cell>
          <cell r="G477">
            <v>62590</v>
          </cell>
        </row>
        <row r="478">
          <cell r="A478" t="str">
            <v>27-2042</v>
          </cell>
          <cell r="B478" t="str">
            <v>Musicians and Singers</v>
          </cell>
          <cell r="C478">
            <v>35520</v>
          </cell>
          <cell r="D478">
            <v>2.8</v>
          </cell>
          <cell r="E478" t="str">
            <v>*</v>
          </cell>
          <cell r="F478">
            <v>2.6</v>
          </cell>
          <cell r="G478" t="str">
            <v>*</v>
          </cell>
        </row>
        <row r="479">
          <cell r="A479" t="str">
            <v>27-2090</v>
          </cell>
          <cell r="B479" t="str">
            <v>Miscellaneous Entertainers and Performers, Sports and Related Workers</v>
          </cell>
          <cell r="C479">
            <v>21910</v>
          </cell>
          <cell r="D479">
            <v>8.6</v>
          </cell>
          <cell r="E479" t="str">
            <v>*</v>
          </cell>
          <cell r="F479">
            <v>8.5</v>
          </cell>
          <cell r="G479" t="str">
            <v>*</v>
          </cell>
        </row>
        <row r="480">
          <cell r="A480" t="str">
            <v>27-2091</v>
          </cell>
          <cell r="B480" t="str">
            <v>Disc Jockeys, Except Radio</v>
          </cell>
          <cell r="C480">
            <v>7190</v>
          </cell>
          <cell r="D480">
            <v>10.6</v>
          </cell>
          <cell r="E480" t="str">
            <v>*</v>
          </cell>
          <cell r="F480">
            <v>10.4</v>
          </cell>
          <cell r="G480" t="str">
            <v>*</v>
          </cell>
        </row>
        <row r="481">
          <cell r="A481" t="str">
            <v>27-2099</v>
          </cell>
          <cell r="B481" t="str">
            <v>Entertainers and Performers, Sports and Related Workers, All Other</v>
          </cell>
          <cell r="C481">
            <v>14720</v>
          </cell>
          <cell r="D481">
            <v>8.9</v>
          </cell>
          <cell r="E481" t="str">
            <v>*</v>
          </cell>
          <cell r="F481">
            <v>10.9</v>
          </cell>
          <cell r="G481" t="str">
            <v>*</v>
          </cell>
        </row>
        <row r="482">
          <cell r="A482" t="str">
            <v>27-3000</v>
          </cell>
          <cell r="B482" t="str">
            <v>Media and Communication Workers</v>
          </cell>
          <cell r="C482">
            <v>625940</v>
          </cell>
          <cell r="D482">
            <v>0.6</v>
          </cell>
          <cell r="E482">
            <v>81400</v>
          </cell>
          <cell r="F482">
            <v>0.8</v>
          </cell>
          <cell r="G482">
            <v>66320</v>
          </cell>
        </row>
        <row r="483">
          <cell r="A483" t="str">
            <v>27-3010</v>
          </cell>
          <cell r="B483" t="str">
            <v>Broadcast Announcers and Radio Disc Jockeys</v>
          </cell>
          <cell r="C483">
            <v>25070</v>
          </cell>
          <cell r="D483">
            <v>2.2999999999999998</v>
          </cell>
          <cell r="E483">
            <v>86950</v>
          </cell>
          <cell r="F483">
            <v>2.2999999999999998</v>
          </cell>
          <cell r="G483">
            <v>44890</v>
          </cell>
        </row>
        <row r="484">
          <cell r="A484" t="str">
            <v>27-3011</v>
          </cell>
          <cell r="B484" t="str">
            <v>Broadcast Announcers and Radio Disc Jockeys</v>
          </cell>
          <cell r="C484">
            <v>25070</v>
          </cell>
          <cell r="D484">
            <v>2.2999999999999998</v>
          </cell>
          <cell r="E484">
            <v>86950</v>
          </cell>
          <cell r="F484">
            <v>2.2999999999999998</v>
          </cell>
          <cell r="G484">
            <v>44890</v>
          </cell>
        </row>
        <row r="485">
          <cell r="A485" t="str">
            <v>27-3020</v>
          </cell>
          <cell r="B485" t="str">
            <v>News Analysts, Reporters and Journalists</v>
          </cell>
          <cell r="C485">
            <v>45020</v>
          </cell>
          <cell r="D485">
            <v>2.2000000000000002</v>
          </cell>
          <cell r="E485">
            <v>101430</v>
          </cell>
          <cell r="F485">
            <v>1.8</v>
          </cell>
          <cell r="G485">
            <v>57500</v>
          </cell>
        </row>
        <row r="486">
          <cell r="A486" t="str">
            <v>27-3023</v>
          </cell>
          <cell r="B486" t="str">
            <v>News Analysts, Reporters, and Journalists</v>
          </cell>
          <cell r="C486">
            <v>45020</v>
          </cell>
          <cell r="D486">
            <v>2.2000000000000002</v>
          </cell>
          <cell r="E486">
            <v>101430</v>
          </cell>
          <cell r="F486">
            <v>1.8</v>
          </cell>
          <cell r="G486">
            <v>57500</v>
          </cell>
        </row>
        <row r="487">
          <cell r="A487" t="str">
            <v>27-3030</v>
          </cell>
          <cell r="B487" t="str">
            <v>Public Relations Specialists</v>
          </cell>
          <cell r="C487">
            <v>275550</v>
          </cell>
          <cell r="D487">
            <v>1.5</v>
          </cell>
          <cell r="E487">
            <v>77720</v>
          </cell>
          <cell r="F487">
            <v>0.9</v>
          </cell>
          <cell r="G487">
            <v>66750</v>
          </cell>
        </row>
        <row r="488">
          <cell r="A488" t="str">
            <v>27-3031</v>
          </cell>
          <cell r="B488" t="str">
            <v>Public Relations Specialists</v>
          </cell>
          <cell r="C488">
            <v>275550</v>
          </cell>
          <cell r="D488">
            <v>1.5</v>
          </cell>
          <cell r="E488">
            <v>77720</v>
          </cell>
          <cell r="F488">
            <v>0.9</v>
          </cell>
          <cell r="G488">
            <v>66750</v>
          </cell>
        </row>
        <row r="489">
          <cell r="A489" t="str">
            <v>27-3040</v>
          </cell>
          <cell r="B489" t="str">
            <v>Writers and Editors</v>
          </cell>
          <cell r="C489">
            <v>193130</v>
          </cell>
          <cell r="D489">
            <v>2.4</v>
          </cell>
          <cell r="E489">
            <v>86120</v>
          </cell>
          <cell r="F489">
            <v>1.4</v>
          </cell>
          <cell r="G489">
            <v>76020</v>
          </cell>
        </row>
        <row r="490">
          <cell r="A490" t="str">
            <v>27-3041</v>
          </cell>
          <cell r="B490" t="str">
            <v>Editors</v>
          </cell>
          <cell r="C490">
            <v>95700</v>
          </cell>
          <cell r="D490">
            <v>1.8</v>
          </cell>
          <cell r="E490">
            <v>85110</v>
          </cell>
          <cell r="F490">
            <v>1.6</v>
          </cell>
          <cell r="G490">
            <v>75020</v>
          </cell>
        </row>
        <row r="491">
          <cell r="A491" t="str">
            <v>27-3042</v>
          </cell>
          <cell r="B491" t="str">
            <v>Technical Writers</v>
          </cell>
          <cell r="C491">
            <v>47970</v>
          </cell>
          <cell r="D491">
            <v>2.5</v>
          </cell>
          <cell r="E491">
            <v>86620</v>
          </cell>
          <cell r="F491">
            <v>1.3</v>
          </cell>
          <cell r="G491">
            <v>80050</v>
          </cell>
        </row>
        <row r="492">
          <cell r="A492" t="str">
            <v>27-3043</v>
          </cell>
          <cell r="B492" t="str">
            <v>Writers and Authors</v>
          </cell>
          <cell r="C492">
            <v>49450</v>
          </cell>
          <cell r="D492">
            <v>8.1999999999999993</v>
          </cell>
          <cell r="E492">
            <v>87590</v>
          </cell>
          <cell r="F492">
            <v>1.8</v>
          </cell>
          <cell r="G492">
            <v>73690</v>
          </cell>
        </row>
        <row r="493">
          <cell r="A493" t="str">
            <v>27-3090</v>
          </cell>
          <cell r="B493" t="str">
            <v>Miscellaneous Media and Communication Workers</v>
          </cell>
          <cell r="C493">
            <v>87180</v>
          </cell>
          <cell r="D493">
            <v>3.3</v>
          </cell>
          <cell r="E493">
            <v>70620</v>
          </cell>
          <cell r="F493">
            <v>1</v>
          </cell>
          <cell r="G493">
            <v>60440</v>
          </cell>
        </row>
        <row r="494">
          <cell r="A494" t="str">
            <v>27-3091</v>
          </cell>
          <cell r="B494" t="str">
            <v>Interpreters and Translators</v>
          </cell>
          <cell r="C494">
            <v>51560</v>
          </cell>
          <cell r="D494">
            <v>2.7</v>
          </cell>
          <cell r="E494">
            <v>63080</v>
          </cell>
          <cell r="F494">
            <v>1.5</v>
          </cell>
          <cell r="G494">
            <v>57090</v>
          </cell>
        </row>
        <row r="495">
          <cell r="A495" t="str">
            <v>27-3092</v>
          </cell>
          <cell r="B495" t="str">
            <v>Court Reporters and Simultaneous Captioners</v>
          </cell>
          <cell r="C495">
            <v>12390</v>
          </cell>
          <cell r="D495">
            <v>3.7</v>
          </cell>
          <cell r="E495">
            <v>71040</v>
          </cell>
          <cell r="F495">
            <v>1.4</v>
          </cell>
          <cell r="G495">
            <v>63940</v>
          </cell>
        </row>
        <row r="496">
          <cell r="A496" t="str">
            <v>27-3099</v>
          </cell>
          <cell r="B496" t="str">
            <v>Media and Communication Workers, All Other</v>
          </cell>
          <cell r="C496">
            <v>23230</v>
          </cell>
          <cell r="D496">
            <v>9.1999999999999993</v>
          </cell>
          <cell r="E496">
            <v>87140</v>
          </cell>
          <cell r="F496">
            <v>2.6</v>
          </cell>
          <cell r="G496">
            <v>61900</v>
          </cell>
        </row>
        <row r="497">
          <cell r="A497" t="str">
            <v>27-4000</v>
          </cell>
          <cell r="B497" t="str">
            <v>Media and Communication Equipment Workers</v>
          </cell>
          <cell r="C497">
            <v>235240</v>
          </cell>
          <cell r="D497">
            <v>1.2</v>
          </cell>
          <cell r="E497">
            <v>65880</v>
          </cell>
          <cell r="F497">
            <v>0.9</v>
          </cell>
          <cell r="G497">
            <v>53850</v>
          </cell>
        </row>
        <row r="498">
          <cell r="A498" t="str">
            <v>27-4010</v>
          </cell>
          <cell r="B498" t="str">
            <v>Broadcast, Sound, and Lighting Technicians</v>
          </cell>
          <cell r="C498">
            <v>117010</v>
          </cell>
          <cell r="D498">
            <v>2.8</v>
          </cell>
          <cell r="E498">
            <v>65010</v>
          </cell>
          <cell r="F498">
            <v>1.1000000000000001</v>
          </cell>
          <cell r="G498">
            <v>54160</v>
          </cell>
        </row>
        <row r="499">
          <cell r="A499" t="str">
            <v>27-4011</v>
          </cell>
          <cell r="B499" t="str">
            <v>Audio and Video Technicians</v>
          </cell>
          <cell r="C499">
            <v>66700</v>
          </cell>
          <cell r="D499">
            <v>2.7</v>
          </cell>
          <cell r="E499">
            <v>59260</v>
          </cell>
          <cell r="F499">
            <v>1</v>
          </cell>
          <cell r="G499">
            <v>51640</v>
          </cell>
        </row>
        <row r="500">
          <cell r="A500" t="str">
            <v>27-4012</v>
          </cell>
          <cell r="B500" t="str">
            <v>Broadcast Technicians</v>
          </cell>
          <cell r="C500">
            <v>26190</v>
          </cell>
          <cell r="D500">
            <v>3.2</v>
          </cell>
          <cell r="E500">
            <v>71600</v>
          </cell>
          <cell r="F500">
            <v>2</v>
          </cell>
          <cell r="G500">
            <v>57690</v>
          </cell>
        </row>
        <row r="501">
          <cell r="A501" t="str">
            <v>27-4014</v>
          </cell>
          <cell r="B501" t="str">
            <v>Sound Engineering Technicians</v>
          </cell>
          <cell r="C501">
            <v>14600</v>
          </cell>
          <cell r="D501">
            <v>7.4</v>
          </cell>
          <cell r="E501">
            <v>74100</v>
          </cell>
          <cell r="F501">
            <v>3</v>
          </cell>
          <cell r="G501">
            <v>59430</v>
          </cell>
        </row>
        <row r="502">
          <cell r="A502" t="str">
            <v>27-4015</v>
          </cell>
          <cell r="B502" t="str">
            <v>Lighting Technicians</v>
          </cell>
          <cell r="C502">
            <v>9520</v>
          </cell>
          <cell r="D502">
            <v>9.6999999999999993</v>
          </cell>
          <cell r="E502">
            <v>73250</v>
          </cell>
          <cell r="F502">
            <v>2.2999999999999998</v>
          </cell>
          <cell r="G502">
            <v>62240</v>
          </cell>
        </row>
        <row r="503">
          <cell r="A503" t="str">
            <v>27-4020</v>
          </cell>
          <cell r="B503" t="str">
            <v>Photographers</v>
          </cell>
          <cell r="C503">
            <v>53630</v>
          </cell>
          <cell r="D503">
            <v>1.8</v>
          </cell>
          <cell r="E503">
            <v>53380</v>
          </cell>
          <cell r="F503">
            <v>2.1</v>
          </cell>
          <cell r="G503">
            <v>40760</v>
          </cell>
        </row>
        <row r="504">
          <cell r="A504" t="str">
            <v>27-4021</v>
          </cell>
          <cell r="B504" t="str">
            <v>Photographers</v>
          </cell>
          <cell r="C504">
            <v>53630</v>
          </cell>
          <cell r="D504">
            <v>1.8</v>
          </cell>
          <cell r="E504">
            <v>53380</v>
          </cell>
          <cell r="F504">
            <v>2.1</v>
          </cell>
          <cell r="G504">
            <v>40760</v>
          </cell>
        </row>
        <row r="505">
          <cell r="A505" t="str">
            <v>27-4030</v>
          </cell>
          <cell r="B505" t="str">
            <v>Television, Video, and Film Camera Operators and Editors</v>
          </cell>
          <cell r="C505">
            <v>53180</v>
          </cell>
          <cell r="D505">
            <v>3.7</v>
          </cell>
          <cell r="E505">
            <v>78260</v>
          </cell>
          <cell r="F505">
            <v>1.2</v>
          </cell>
          <cell r="G505">
            <v>65070</v>
          </cell>
        </row>
        <row r="506">
          <cell r="A506" t="str">
            <v>27-4031</v>
          </cell>
          <cell r="B506" t="str">
            <v>Camera Operators, Television, Video, and Film</v>
          </cell>
          <cell r="C506">
            <v>23940</v>
          </cell>
          <cell r="D506">
            <v>4.9000000000000004</v>
          </cell>
          <cell r="E506">
            <v>71890</v>
          </cell>
          <cell r="F506">
            <v>1.8</v>
          </cell>
          <cell r="G506">
            <v>61800</v>
          </cell>
        </row>
        <row r="507">
          <cell r="A507" t="str">
            <v>27-4032</v>
          </cell>
          <cell r="B507" t="str">
            <v>Film and Video Editors</v>
          </cell>
          <cell r="C507">
            <v>29240</v>
          </cell>
          <cell r="D507">
            <v>3.7</v>
          </cell>
          <cell r="E507">
            <v>83470</v>
          </cell>
          <cell r="F507">
            <v>1.5</v>
          </cell>
          <cell r="G507">
            <v>66600</v>
          </cell>
        </row>
        <row r="508">
          <cell r="A508" t="str">
            <v>27-4090</v>
          </cell>
          <cell r="B508" t="str">
            <v>Miscellaneous Media and Communication Equipment Workers</v>
          </cell>
          <cell r="C508">
            <v>11430</v>
          </cell>
          <cell r="D508">
            <v>3.9</v>
          </cell>
          <cell r="E508">
            <v>75860</v>
          </cell>
          <cell r="F508">
            <v>2</v>
          </cell>
          <cell r="G508">
            <v>71340</v>
          </cell>
        </row>
        <row r="509">
          <cell r="A509" t="str">
            <v>27-4099</v>
          </cell>
          <cell r="B509" t="str">
            <v>Media and Communication Equipment Workers, All Other</v>
          </cell>
          <cell r="C509">
            <v>11430</v>
          </cell>
          <cell r="D509">
            <v>3.9</v>
          </cell>
          <cell r="E509">
            <v>75860</v>
          </cell>
          <cell r="F509">
            <v>2</v>
          </cell>
          <cell r="G509">
            <v>71340</v>
          </cell>
        </row>
        <row r="510">
          <cell r="A510" t="str">
            <v>29-0000</v>
          </cell>
          <cell r="B510" t="str">
            <v>Healthcare Practitioners and Technical Occupations</v>
          </cell>
          <cell r="C510">
            <v>9284210</v>
          </cell>
          <cell r="D510">
            <v>0.1</v>
          </cell>
          <cell r="E510">
            <v>102060</v>
          </cell>
          <cell r="F510">
            <v>0.3</v>
          </cell>
          <cell r="G510">
            <v>80820</v>
          </cell>
        </row>
        <row r="511">
          <cell r="A511" t="str">
            <v>29-1000</v>
          </cell>
          <cell r="B511" t="str">
            <v>Healthcare Diagnosing or Treating Practitioners</v>
          </cell>
          <cell r="C511">
            <v>6151910</v>
          </cell>
          <cell r="D511">
            <v>0.2</v>
          </cell>
          <cell r="E511">
            <v>124800</v>
          </cell>
          <cell r="F511">
            <v>0.3</v>
          </cell>
          <cell r="G511">
            <v>98760</v>
          </cell>
        </row>
        <row r="512">
          <cell r="A512" t="str">
            <v>29-1010</v>
          </cell>
          <cell r="B512" t="str">
            <v>Chiropractors</v>
          </cell>
          <cell r="C512">
            <v>41480</v>
          </cell>
          <cell r="D512">
            <v>6.9</v>
          </cell>
          <cell r="E512">
            <v>89760</v>
          </cell>
          <cell r="F512">
            <v>3</v>
          </cell>
          <cell r="G512">
            <v>76530</v>
          </cell>
        </row>
        <row r="513">
          <cell r="A513" t="str">
            <v>29-1011</v>
          </cell>
          <cell r="B513" t="str">
            <v>Chiropractors</v>
          </cell>
          <cell r="C513">
            <v>41480</v>
          </cell>
          <cell r="D513">
            <v>6.9</v>
          </cell>
          <cell r="E513">
            <v>89760</v>
          </cell>
          <cell r="F513">
            <v>3</v>
          </cell>
          <cell r="G513">
            <v>76530</v>
          </cell>
        </row>
        <row r="514">
          <cell r="A514" t="str">
            <v>29-1020</v>
          </cell>
          <cell r="B514" t="str">
            <v>Dentists</v>
          </cell>
          <cell r="C514">
            <v>138680</v>
          </cell>
          <cell r="D514">
            <v>1.6</v>
          </cell>
          <cell r="E514">
            <v>200870</v>
          </cell>
          <cell r="F514">
            <v>1.5</v>
          </cell>
          <cell r="G514">
            <v>170910</v>
          </cell>
        </row>
        <row r="515">
          <cell r="A515" t="str">
            <v>29-1021</v>
          </cell>
          <cell r="B515" t="str">
            <v>Dentists, General</v>
          </cell>
          <cell r="C515">
            <v>121640</v>
          </cell>
          <cell r="D515">
            <v>1.9</v>
          </cell>
          <cell r="E515">
            <v>191750</v>
          </cell>
          <cell r="F515">
            <v>1.4</v>
          </cell>
          <cell r="G515">
            <v>166300</v>
          </cell>
        </row>
        <row r="516">
          <cell r="A516" t="str">
            <v>29-1022</v>
          </cell>
          <cell r="B516" t="str">
            <v>Oral and Maxillofacial Surgeons</v>
          </cell>
          <cell r="C516">
            <v>4160</v>
          </cell>
          <cell r="D516">
            <v>7</v>
          </cell>
          <cell r="E516">
            <v>334310</v>
          </cell>
          <cell r="F516">
            <v>5.7</v>
          </cell>
          <cell r="G516" t="str">
            <v>#</v>
          </cell>
        </row>
        <row r="517">
          <cell r="A517" t="str">
            <v>29-1023</v>
          </cell>
          <cell r="B517" t="str">
            <v>Orthodontists</v>
          </cell>
          <cell r="C517">
            <v>6400</v>
          </cell>
          <cell r="D517">
            <v>16.100000000000001</v>
          </cell>
          <cell r="E517">
            <v>243620</v>
          </cell>
          <cell r="F517">
            <v>9</v>
          </cell>
          <cell r="G517" t="str">
            <v>#</v>
          </cell>
        </row>
        <row r="518">
          <cell r="A518" t="str">
            <v>29-1024</v>
          </cell>
          <cell r="B518" t="str">
            <v>Prosthodontists</v>
          </cell>
          <cell r="C518">
            <v>570</v>
          </cell>
          <cell r="D518">
            <v>33.4</v>
          </cell>
          <cell r="E518">
            <v>240750</v>
          </cell>
          <cell r="F518">
            <v>9.4</v>
          </cell>
          <cell r="G518">
            <v>234000</v>
          </cell>
        </row>
        <row r="519">
          <cell r="A519" t="str">
            <v>29-1029</v>
          </cell>
          <cell r="B519" t="str">
            <v>Dentists, All Other Specialists</v>
          </cell>
          <cell r="C519">
            <v>5920</v>
          </cell>
          <cell r="D519">
            <v>10.9</v>
          </cell>
          <cell r="E519">
            <v>244470</v>
          </cell>
          <cell r="F519">
            <v>4.7</v>
          </cell>
          <cell r="G519">
            <v>227690</v>
          </cell>
        </row>
        <row r="520">
          <cell r="A520" t="str">
            <v>29-1030</v>
          </cell>
          <cell r="B520" t="str">
            <v>Dietitians and Nutritionists</v>
          </cell>
          <cell r="C520">
            <v>73860</v>
          </cell>
          <cell r="D520">
            <v>1.9</v>
          </cell>
          <cell r="E520">
            <v>71280</v>
          </cell>
          <cell r="F520">
            <v>1.2</v>
          </cell>
          <cell r="G520">
            <v>69680</v>
          </cell>
        </row>
        <row r="521">
          <cell r="A521" t="str">
            <v>29-1031</v>
          </cell>
          <cell r="B521" t="str">
            <v>Dietitians and Nutritionists</v>
          </cell>
          <cell r="C521">
            <v>73860</v>
          </cell>
          <cell r="D521">
            <v>1.9</v>
          </cell>
          <cell r="E521">
            <v>71280</v>
          </cell>
          <cell r="F521">
            <v>1.2</v>
          </cell>
          <cell r="G521">
            <v>69680</v>
          </cell>
        </row>
        <row r="522">
          <cell r="A522" t="str">
            <v>29-1040</v>
          </cell>
          <cell r="B522" t="str">
            <v>Optometrists</v>
          </cell>
          <cell r="C522">
            <v>41390</v>
          </cell>
          <cell r="D522">
            <v>1.7</v>
          </cell>
          <cell r="E522">
            <v>143000</v>
          </cell>
          <cell r="F522">
            <v>1.4</v>
          </cell>
          <cell r="G522">
            <v>131860</v>
          </cell>
        </row>
        <row r="523">
          <cell r="A523" t="str">
            <v>29-1041</v>
          </cell>
          <cell r="B523" t="str">
            <v>Optometrists</v>
          </cell>
          <cell r="C523">
            <v>41390</v>
          </cell>
          <cell r="D523">
            <v>1.7</v>
          </cell>
          <cell r="E523">
            <v>143000</v>
          </cell>
          <cell r="F523">
            <v>1.4</v>
          </cell>
          <cell r="G523">
            <v>131860</v>
          </cell>
        </row>
        <row r="524">
          <cell r="A524" t="str">
            <v>29-1050</v>
          </cell>
          <cell r="B524" t="str">
            <v>Pharmacists</v>
          </cell>
          <cell r="C524">
            <v>331700</v>
          </cell>
          <cell r="D524">
            <v>0.6</v>
          </cell>
          <cell r="E524">
            <v>134790</v>
          </cell>
          <cell r="F524">
            <v>0.3</v>
          </cell>
          <cell r="G524">
            <v>136030</v>
          </cell>
        </row>
        <row r="525">
          <cell r="A525" t="str">
            <v>29-1051</v>
          </cell>
          <cell r="B525" t="str">
            <v>Pharmacists</v>
          </cell>
          <cell r="C525">
            <v>331700</v>
          </cell>
          <cell r="D525">
            <v>0.6</v>
          </cell>
          <cell r="E525">
            <v>134790</v>
          </cell>
          <cell r="F525">
            <v>0.3</v>
          </cell>
          <cell r="G525">
            <v>136030</v>
          </cell>
        </row>
        <row r="526">
          <cell r="A526" t="str">
            <v>29-1070</v>
          </cell>
          <cell r="B526" t="str">
            <v>Physician Assistants</v>
          </cell>
          <cell r="C526">
            <v>145740</v>
          </cell>
          <cell r="D526">
            <v>1.7</v>
          </cell>
          <cell r="E526">
            <v>130490</v>
          </cell>
          <cell r="F526">
            <v>0.4</v>
          </cell>
          <cell r="G526">
            <v>130020</v>
          </cell>
        </row>
        <row r="527">
          <cell r="A527" t="str">
            <v>29-1071</v>
          </cell>
          <cell r="B527" t="str">
            <v>Physician Assistants</v>
          </cell>
          <cell r="C527">
            <v>145740</v>
          </cell>
          <cell r="D527">
            <v>1.7</v>
          </cell>
          <cell r="E527">
            <v>130490</v>
          </cell>
          <cell r="F527">
            <v>0.4</v>
          </cell>
          <cell r="G527">
            <v>130020</v>
          </cell>
        </row>
        <row r="528">
          <cell r="A528" t="str">
            <v>29-1080</v>
          </cell>
          <cell r="B528" t="str">
            <v>Podiatrists</v>
          </cell>
          <cell r="C528">
            <v>9470</v>
          </cell>
          <cell r="D528">
            <v>5.7</v>
          </cell>
          <cell r="E528">
            <v>162520</v>
          </cell>
          <cell r="F528">
            <v>5.6</v>
          </cell>
          <cell r="G528">
            <v>141650</v>
          </cell>
        </row>
        <row r="529">
          <cell r="A529" t="str">
            <v>29-1081</v>
          </cell>
          <cell r="B529" t="str">
            <v>Podiatrists</v>
          </cell>
          <cell r="C529">
            <v>9470</v>
          </cell>
          <cell r="D529">
            <v>5.7</v>
          </cell>
          <cell r="E529">
            <v>162520</v>
          </cell>
          <cell r="F529">
            <v>5.6</v>
          </cell>
          <cell r="G529">
            <v>141650</v>
          </cell>
        </row>
        <row r="530">
          <cell r="A530" t="str">
            <v>29-1120</v>
          </cell>
          <cell r="B530" t="str">
            <v>Therapists</v>
          </cell>
          <cell r="C530">
            <v>744240</v>
          </cell>
          <cell r="D530">
            <v>0.6</v>
          </cell>
          <cell r="E530">
            <v>92670</v>
          </cell>
          <cell r="F530">
            <v>0.3</v>
          </cell>
          <cell r="G530">
            <v>90400</v>
          </cell>
        </row>
        <row r="531">
          <cell r="A531" t="str">
            <v>29-1122</v>
          </cell>
          <cell r="B531" t="str">
            <v>Occupational Therapists</v>
          </cell>
          <cell r="C531">
            <v>144840</v>
          </cell>
          <cell r="D531">
            <v>1.1000000000000001</v>
          </cell>
          <cell r="E531">
            <v>96790</v>
          </cell>
          <cell r="F531">
            <v>0.4</v>
          </cell>
          <cell r="G531">
            <v>96370</v>
          </cell>
        </row>
        <row r="532">
          <cell r="A532" t="str">
            <v>29-1123</v>
          </cell>
          <cell r="B532" t="str">
            <v>Physical Therapists</v>
          </cell>
          <cell r="C532">
            <v>240820</v>
          </cell>
          <cell r="D532">
            <v>1.3</v>
          </cell>
          <cell r="E532">
            <v>100440</v>
          </cell>
          <cell r="F532">
            <v>0.5</v>
          </cell>
          <cell r="G532">
            <v>99710</v>
          </cell>
        </row>
        <row r="533">
          <cell r="A533" t="str">
            <v>29-1124</v>
          </cell>
          <cell r="B533" t="str">
            <v>Radiation Therapists</v>
          </cell>
          <cell r="C533">
            <v>16640</v>
          </cell>
          <cell r="D533">
            <v>4.3</v>
          </cell>
          <cell r="E533">
            <v>104420</v>
          </cell>
          <cell r="F533">
            <v>0.4</v>
          </cell>
          <cell r="G533">
            <v>98300</v>
          </cell>
        </row>
        <row r="534">
          <cell r="A534" t="str">
            <v>29-1125</v>
          </cell>
          <cell r="B534" t="str">
            <v>Recreational Therapists</v>
          </cell>
          <cell r="C534">
            <v>15540</v>
          </cell>
          <cell r="D534">
            <v>1.3</v>
          </cell>
          <cell r="E534">
            <v>60910</v>
          </cell>
          <cell r="F534">
            <v>0.4</v>
          </cell>
          <cell r="G534">
            <v>57120</v>
          </cell>
        </row>
        <row r="535">
          <cell r="A535" t="str">
            <v>29-1126</v>
          </cell>
          <cell r="B535" t="str">
            <v>Respiratory Therapists</v>
          </cell>
          <cell r="C535">
            <v>129750</v>
          </cell>
          <cell r="D535">
            <v>0.5</v>
          </cell>
          <cell r="E535">
            <v>80340</v>
          </cell>
          <cell r="F535">
            <v>0.3</v>
          </cell>
          <cell r="G535">
            <v>77960</v>
          </cell>
        </row>
        <row r="536">
          <cell r="A536" t="str">
            <v>29-1127</v>
          </cell>
          <cell r="B536" t="str">
            <v>Speech-Language Pathologists</v>
          </cell>
          <cell r="C536">
            <v>172100</v>
          </cell>
          <cell r="D536">
            <v>1.1000000000000001</v>
          </cell>
          <cell r="E536">
            <v>92630</v>
          </cell>
          <cell r="F536">
            <v>0.4</v>
          </cell>
          <cell r="G536">
            <v>89290</v>
          </cell>
        </row>
        <row r="537">
          <cell r="A537" t="str">
            <v>29-1128</v>
          </cell>
          <cell r="B537" t="str">
            <v>Exercise Physiologists</v>
          </cell>
          <cell r="C537">
            <v>8060</v>
          </cell>
          <cell r="D537">
            <v>5.6</v>
          </cell>
          <cell r="E537">
            <v>57050</v>
          </cell>
          <cell r="F537">
            <v>1.7</v>
          </cell>
          <cell r="G537">
            <v>54860</v>
          </cell>
        </row>
        <row r="538">
          <cell r="A538" t="str">
            <v>29-1129</v>
          </cell>
          <cell r="B538" t="str">
            <v>Therapists, All Other</v>
          </cell>
          <cell r="C538">
            <v>16490</v>
          </cell>
          <cell r="D538">
            <v>3.5</v>
          </cell>
          <cell r="E538">
            <v>75660</v>
          </cell>
          <cell r="F538">
            <v>2</v>
          </cell>
          <cell r="G538">
            <v>63650</v>
          </cell>
        </row>
        <row r="539">
          <cell r="A539" t="str">
            <v>29-1130</v>
          </cell>
          <cell r="B539" t="str">
            <v>Veterinarians</v>
          </cell>
          <cell r="C539">
            <v>78220</v>
          </cell>
          <cell r="D539">
            <v>0.9</v>
          </cell>
          <cell r="E539">
            <v>136300</v>
          </cell>
          <cell r="F539">
            <v>2.8</v>
          </cell>
          <cell r="G539">
            <v>119100</v>
          </cell>
        </row>
        <row r="540">
          <cell r="A540" t="str">
            <v>29-1131</v>
          </cell>
          <cell r="B540" t="str">
            <v>Veterinarians</v>
          </cell>
          <cell r="C540">
            <v>78220</v>
          </cell>
          <cell r="D540">
            <v>0.9</v>
          </cell>
          <cell r="E540">
            <v>136300</v>
          </cell>
          <cell r="F540">
            <v>2.8</v>
          </cell>
          <cell r="G540">
            <v>119100</v>
          </cell>
        </row>
        <row r="541">
          <cell r="A541" t="str">
            <v>29-1140</v>
          </cell>
          <cell r="B541" t="str">
            <v>Registered Nurses</v>
          </cell>
          <cell r="C541">
            <v>3175390</v>
          </cell>
          <cell r="D541">
            <v>0.5</v>
          </cell>
          <cell r="E541">
            <v>94480</v>
          </cell>
          <cell r="F541">
            <v>0.2</v>
          </cell>
          <cell r="G541">
            <v>86070</v>
          </cell>
        </row>
        <row r="542">
          <cell r="A542" t="str">
            <v>29-1141</v>
          </cell>
          <cell r="B542" t="str">
            <v>Registered Nurses</v>
          </cell>
          <cell r="C542">
            <v>3175390</v>
          </cell>
          <cell r="D542">
            <v>0.5</v>
          </cell>
          <cell r="E542">
            <v>94480</v>
          </cell>
          <cell r="F542">
            <v>0.2</v>
          </cell>
          <cell r="G542">
            <v>86070</v>
          </cell>
        </row>
        <row r="543">
          <cell r="A543" t="str">
            <v>29-1150</v>
          </cell>
          <cell r="B543" t="str">
            <v>Nurse Anesthetists</v>
          </cell>
          <cell r="C543">
            <v>47810</v>
          </cell>
          <cell r="D543">
            <v>3.8</v>
          </cell>
          <cell r="E543">
            <v>214200</v>
          </cell>
          <cell r="F543">
            <v>0.9</v>
          </cell>
          <cell r="G543">
            <v>212650</v>
          </cell>
        </row>
        <row r="544">
          <cell r="A544" t="str">
            <v>29-1151</v>
          </cell>
          <cell r="B544" t="str">
            <v>Nurse Anesthetists</v>
          </cell>
          <cell r="C544">
            <v>47810</v>
          </cell>
          <cell r="D544">
            <v>3.8</v>
          </cell>
          <cell r="E544">
            <v>214200</v>
          </cell>
          <cell r="F544">
            <v>0.9</v>
          </cell>
          <cell r="G544">
            <v>212650</v>
          </cell>
        </row>
        <row r="545">
          <cell r="A545" t="str">
            <v>29-1160</v>
          </cell>
          <cell r="B545" t="str">
            <v>Nurse Midwives</v>
          </cell>
          <cell r="C545">
            <v>6960</v>
          </cell>
          <cell r="D545">
            <v>6.5</v>
          </cell>
          <cell r="E545">
            <v>131570</v>
          </cell>
          <cell r="F545">
            <v>1.6</v>
          </cell>
          <cell r="G545">
            <v>129650</v>
          </cell>
        </row>
        <row r="546">
          <cell r="A546" t="str">
            <v>29-1161</v>
          </cell>
          <cell r="B546" t="str">
            <v>Nurse Midwives</v>
          </cell>
          <cell r="C546">
            <v>6960</v>
          </cell>
          <cell r="D546">
            <v>6.5</v>
          </cell>
          <cell r="E546">
            <v>131570</v>
          </cell>
          <cell r="F546">
            <v>1.6</v>
          </cell>
          <cell r="G546">
            <v>129650</v>
          </cell>
        </row>
        <row r="547">
          <cell r="A547" t="str">
            <v>29-1170</v>
          </cell>
          <cell r="B547" t="str">
            <v>Nurse Practitioners</v>
          </cell>
          <cell r="C547">
            <v>280140</v>
          </cell>
          <cell r="D547">
            <v>1.3</v>
          </cell>
          <cell r="E547">
            <v>128490</v>
          </cell>
          <cell r="F547">
            <v>0.6</v>
          </cell>
          <cell r="G547">
            <v>126260</v>
          </cell>
        </row>
        <row r="548">
          <cell r="A548" t="str">
            <v>29-1171</v>
          </cell>
          <cell r="B548" t="str">
            <v>Nurse Practitioners</v>
          </cell>
          <cell r="C548">
            <v>280140</v>
          </cell>
          <cell r="D548">
            <v>1.3</v>
          </cell>
          <cell r="E548">
            <v>128490</v>
          </cell>
          <cell r="F548">
            <v>0.6</v>
          </cell>
          <cell r="G548">
            <v>126260</v>
          </cell>
        </row>
        <row r="549">
          <cell r="A549" t="str">
            <v>29-1180</v>
          </cell>
          <cell r="B549" t="str">
            <v>Audiologists</v>
          </cell>
          <cell r="C549">
            <v>13880</v>
          </cell>
          <cell r="D549">
            <v>4.4000000000000004</v>
          </cell>
          <cell r="E549">
            <v>92620</v>
          </cell>
          <cell r="F549">
            <v>1.7</v>
          </cell>
          <cell r="G549">
            <v>87740</v>
          </cell>
        </row>
        <row r="550">
          <cell r="A550" t="str">
            <v>29-1181</v>
          </cell>
          <cell r="B550" t="str">
            <v>Audiologists</v>
          </cell>
          <cell r="C550">
            <v>13880</v>
          </cell>
          <cell r="D550">
            <v>4.4000000000000004</v>
          </cell>
          <cell r="E550">
            <v>92620</v>
          </cell>
          <cell r="F550">
            <v>1.7</v>
          </cell>
          <cell r="G550">
            <v>87740</v>
          </cell>
        </row>
        <row r="551">
          <cell r="A551" t="str">
            <v>29-1210</v>
          </cell>
          <cell r="B551" t="str">
            <v>Physicians</v>
          </cell>
          <cell r="C551">
            <v>716950</v>
          </cell>
          <cell r="D551">
            <v>0.8</v>
          </cell>
          <cell r="E551">
            <v>263840</v>
          </cell>
          <cell r="F551">
            <v>0.9</v>
          </cell>
          <cell r="G551" t="str">
            <v>#</v>
          </cell>
        </row>
        <row r="552">
          <cell r="A552" t="str">
            <v>29-1211</v>
          </cell>
          <cell r="B552" t="str">
            <v>Anesthesiologists</v>
          </cell>
          <cell r="C552">
            <v>33470</v>
          </cell>
          <cell r="D552">
            <v>5.4</v>
          </cell>
          <cell r="E552">
            <v>339470</v>
          </cell>
          <cell r="F552">
            <v>2.7</v>
          </cell>
          <cell r="G552" t="str">
            <v>#</v>
          </cell>
        </row>
        <row r="553">
          <cell r="A553" t="str">
            <v>29-1212</v>
          </cell>
          <cell r="B553" t="str">
            <v>Cardiologists</v>
          </cell>
          <cell r="C553">
            <v>15190</v>
          </cell>
          <cell r="D553">
            <v>7.3</v>
          </cell>
          <cell r="E553">
            <v>423250</v>
          </cell>
          <cell r="F553">
            <v>2.5</v>
          </cell>
          <cell r="G553" t="str">
            <v>#</v>
          </cell>
        </row>
        <row r="554">
          <cell r="A554" t="str">
            <v>29-1213</v>
          </cell>
          <cell r="B554" t="str">
            <v>Dermatologists</v>
          </cell>
          <cell r="C554">
            <v>12040</v>
          </cell>
          <cell r="D554">
            <v>7.8</v>
          </cell>
          <cell r="E554">
            <v>342860</v>
          </cell>
          <cell r="F554">
            <v>5.7</v>
          </cell>
          <cell r="G554" t="str">
            <v>#</v>
          </cell>
        </row>
        <row r="555">
          <cell r="A555" t="str">
            <v>29-1214</v>
          </cell>
          <cell r="B555" t="str">
            <v>Emergency Medicine Physicians</v>
          </cell>
          <cell r="C555">
            <v>35100</v>
          </cell>
          <cell r="D555">
            <v>12.3</v>
          </cell>
          <cell r="E555">
            <v>306640</v>
          </cell>
          <cell r="F555">
            <v>2.5</v>
          </cell>
          <cell r="G555" t="str">
            <v>#</v>
          </cell>
        </row>
        <row r="556">
          <cell r="A556" t="str">
            <v>29-1215</v>
          </cell>
          <cell r="B556" t="str">
            <v>Family Medicine Physicians</v>
          </cell>
          <cell r="C556">
            <v>112010</v>
          </cell>
          <cell r="D556">
            <v>2.2999999999999998</v>
          </cell>
          <cell r="E556">
            <v>240790</v>
          </cell>
          <cell r="F556">
            <v>1.6</v>
          </cell>
          <cell r="G556">
            <v>224640</v>
          </cell>
        </row>
        <row r="557">
          <cell r="A557" t="str">
            <v>29-1216</v>
          </cell>
          <cell r="B557" t="str">
            <v>General Internal Medicine Physicians</v>
          </cell>
          <cell r="C557">
            <v>67210</v>
          </cell>
          <cell r="D557">
            <v>3.5</v>
          </cell>
          <cell r="E557">
            <v>245450</v>
          </cell>
          <cell r="F557">
            <v>3.6</v>
          </cell>
          <cell r="G557">
            <v>223310</v>
          </cell>
        </row>
        <row r="558">
          <cell r="A558" t="str">
            <v>29-1217</v>
          </cell>
          <cell r="B558" t="str">
            <v>Neurologists</v>
          </cell>
          <cell r="C558">
            <v>9350</v>
          </cell>
          <cell r="D558">
            <v>8.6</v>
          </cell>
          <cell r="E558">
            <v>271470</v>
          </cell>
          <cell r="F558">
            <v>3.7</v>
          </cell>
          <cell r="G558" t="str">
            <v>#</v>
          </cell>
        </row>
        <row r="559">
          <cell r="A559" t="str">
            <v>29-1218</v>
          </cell>
          <cell r="B559" t="str">
            <v>Obstetricians and Gynecologists</v>
          </cell>
          <cell r="C559">
            <v>19820</v>
          </cell>
          <cell r="D559">
            <v>6.4</v>
          </cell>
          <cell r="E559">
            <v>278660</v>
          </cell>
          <cell r="F559">
            <v>1.7</v>
          </cell>
          <cell r="G559" t="str">
            <v>#</v>
          </cell>
        </row>
        <row r="560">
          <cell r="A560" t="str">
            <v>29-1221</v>
          </cell>
          <cell r="B560" t="str">
            <v>Pediatricians, General</v>
          </cell>
          <cell r="C560">
            <v>34870</v>
          </cell>
          <cell r="D560">
            <v>5.3</v>
          </cell>
          <cell r="E560">
            <v>205860</v>
          </cell>
          <cell r="F560">
            <v>2</v>
          </cell>
          <cell r="G560">
            <v>198690</v>
          </cell>
        </row>
        <row r="561">
          <cell r="A561" t="str">
            <v>29-1222</v>
          </cell>
          <cell r="B561" t="str">
            <v>Physicians, Pathologists</v>
          </cell>
          <cell r="C561">
            <v>11020</v>
          </cell>
          <cell r="D561">
            <v>9.6999999999999993</v>
          </cell>
          <cell r="E561">
            <v>270560</v>
          </cell>
          <cell r="F561">
            <v>3.1</v>
          </cell>
          <cell r="G561" t="str">
            <v>#</v>
          </cell>
        </row>
        <row r="562">
          <cell r="A562" t="str">
            <v>29-1223</v>
          </cell>
          <cell r="B562" t="str">
            <v>Psychiatrists</v>
          </cell>
          <cell r="C562">
            <v>24830</v>
          </cell>
          <cell r="D562">
            <v>3.9</v>
          </cell>
          <cell r="E562">
            <v>256930</v>
          </cell>
          <cell r="F562">
            <v>3.9</v>
          </cell>
          <cell r="G562" t="str">
            <v>#</v>
          </cell>
        </row>
        <row r="563">
          <cell r="A563" t="str">
            <v>29-1224</v>
          </cell>
          <cell r="B563" t="str">
            <v>Radiologists</v>
          </cell>
          <cell r="C563">
            <v>31960</v>
          </cell>
          <cell r="D563">
            <v>5.2</v>
          </cell>
          <cell r="E563">
            <v>353960</v>
          </cell>
          <cell r="F563">
            <v>4.0999999999999996</v>
          </cell>
          <cell r="G563" t="str">
            <v>#</v>
          </cell>
        </row>
        <row r="564">
          <cell r="A564" t="str">
            <v>29-1229</v>
          </cell>
          <cell r="B564" t="str">
            <v>Physicians, All Other</v>
          </cell>
          <cell r="C564">
            <v>310080</v>
          </cell>
          <cell r="D564">
            <v>1.2</v>
          </cell>
          <cell r="E564">
            <v>248640</v>
          </cell>
          <cell r="F564">
            <v>1.4</v>
          </cell>
          <cell r="G564">
            <v>236000</v>
          </cell>
        </row>
        <row r="565">
          <cell r="A565" t="str">
            <v>29-1240</v>
          </cell>
          <cell r="B565" t="str">
            <v>Surgeons</v>
          </cell>
          <cell r="C565">
            <v>53900</v>
          </cell>
          <cell r="D565">
            <v>3.2</v>
          </cell>
          <cell r="E565">
            <v>348890</v>
          </cell>
          <cell r="F565">
            <v>1.7</v>
          </cell>
          <cell r="G565" t="str">
            <v>#</v>
          </cell>
        </row>
        <row r="566">
          <cell r="A566" t="str">
            <v>29-1241</v>
          </cell>
          <cell r="B566" t="str">
            <v>Ophthalmologists, Except Pediatric</v>
          </cell>
          <cell r="C566">
            <v>11530</v>
          </cell>
          <cell r="D566">
            <v>7.5</v>
          </cell>
          <cell r="E566">
            <v>312120</v>
          </cell>
          <cell r="F566">
            <v>3.7</v>
          </cell>
          <cell r="G566" t="str">
            <v>#</v>
          </cell>
        </row>
        <row r="567">
          <cell r="A567" t="str">
            <v>29-1242</v>
          </cell>
          <cell r="B567" t="str">
            <v>Orthopedic Surgeons, Except Pediatric</v>
          </cell>
          <cell r="C567">
            <v>14820</v>
          </cell>
          <cell r="D567">
            <v>6.1</v>
          </cell>
          <cell r="E567">
            <v>378250</v>
          </cell>
          <cell r="F567">
            <v>5.6</v>
          </cell>
          <cell r="G567" t="str">
            <v>#</v>
          </cell>
        </row>
        <row r="568">
          <cell r="A568" t="str">
            <v>29-1243</v>
          </cell>
          <cell r="B568" t="str">
            <v>Pediatric Surgeons</v>
          </cell>
          <cell r="C568">
            <v>1180</v>
          </cell>
          <cell r="D568">
            <v>30.6</v>
          </cell>
          <cell r="E568">
            <v>449320</v>
          </cell>
          <cell r="F568">
            <v>7.9</v>
          </cell>
          <cell r="G568" t="str">
            <v>#</v>
          </cell>
        </row>
        <row r="569">
          <cell r="A569" t="str">
            <v>29-1249</v>
          </cell>
          <cell r="B569" t="str">
            <v>Surgeons, All Other</v>
          </cell>
          <cell r="C569">
            <v>26370</v>
          </cell>
          <cell r="D569">
            <v>4.9000000000000004</v>
          </cell>
          <cell r="E569">
            <v>343990</v>
          </cell>
          <cell r="F569">
            <v>2.8</v>
          </cell>
          <cell r="G569" t="str">
            <v>#</v>
          </cell>
        </row>
        <row r="570">
          <cell r="A570" t="str">
            <v>29-1290</v>
          </cell>
          <cell r="B570" t="str">
            <v>Miscellaneous Healthcare Diagnosing or Treating Practitioners</v>
          </cell>
          <cell r="C570">
            <v>252100</v>
          </cell>
          <cell r="D570">
            <v>1.6</v>
          </cell>
          <cell r="E570">
            <v>93870</v>
          </cell>
          <cell r="F570">
            <v>0.8</v>
          </cell>
          <cell r="G570">
            <v>89260</v>
          </cell>
        </row>
        <row r="571">
          <cell r="A571" t="str">
            <v>29-1291</v>
          </cell>
          <cell r="B571" t="str">
            <v>Acupuncturists</v>
          </cell>
          <cell r="C571">
            <v>9370</v>
          </cell>
          <cell r="D571">
            <v>10.6</v>
          </cell>
          <cell r="E571">
            <v>84260</v>
          </cell>
          <cell r="F571">
            <v>2.6</v>
          </cell>
          <cell r="G571">
            <v>78220</v>
          </cell>
        </row>
        <row r="572">
          <cell r="A572" t="str">
            <v>29-1292</v>
          </cell>
          <cell r="B572" t="str">
            <v>Dental Hygienists</v>
          </cell>
          <cell r="C572">
            <v>211630</v>
          </cell>
          <cell r="D572">
            <v>1.3</v>
          </cell>
          <cell r="E572">
            <v>89890</v>
          </cell>
          <cell r="F572">
            <v>0.7</v>
          </cell>
          <cell r="G572">
            <v>87530</v>
          </cell>
        </row>
        <row r="573">
          <cell r="A573" t="str">
            <v>29-1299</v>
          </cell>
          <cell r="B573" t="str">
            <v>Healthcare Diagnosing or Treating Practitioners, All Other</v>
          </cell>
          <cell r="C573">
            <v>31100</v>
          </cell>
          <cell r="D573">
            <v>7.8</v>
          </cell>
          <cell r="E573">
            <v>123840</v>
          </cell>
          <cell r="F573">
            <v>1.2</v>
          </cell>
          <cell r="G573">
            <v>107990</v>
          </cell>
        </row>
        <row r="574">
          <cell r="A574" t="str">
            <v>29-2000</v>
          </cell>
          <cell r="B574" t="str">
            <v>Health Technologists and Technicians</v>
          </cell>
          <cell r="C574">
            <v>3010670</v>
          </cell>
          <cell r="D574">
            <v>0.3</v>
          </cell>
          <cell r="E574">
            <v>56950</v>
          </cell>
          <cell r="F574">
            <v>0.2</v>
          </cell>
          <cell r="G574">
            <v>51250</v>
          </cell>
        </row>
        <row r="575">
          <cell r="A575" t="str">
            <v>29-2010</v>
          </cell>
          <cell r="B575" t="str">
            <v>Clinical Laboratory Technologists and Technicians</v>
          </cell>
          <cell r="C575">
            <v>334380</v>
          </cell>
          <cell r="D575">
            <v>0.6</v>
          </cell>
          <cell r="E575">
            <v>62870</v>
          </cell>
          <cell r="F575">
            <v>0.3</v>
          </cell>
          <cell r="G575">
            <v>60780</v>
          </cell>
        </row>
        <row r="576">
          <cell r="A576" t="str">
            <v>29-2010</v>
          </cell>
          <cell r="B576" t="str">
            <v>Clinical Laboratory Technologists and Technicians</v>
          </cell>
          <cell r="C576">
            <v>334380</v>
          </cell>
          <cell r="D576">
            <v>0.6</v>
          </cell>
          <cell r="E576">
            <v>62870</v>
          </cell>
          <cell r="F576">
            <v>0.3</v>
          </cell>
          <cell r="G576">
            <v>60780</v>
          </cell>
        </row>
        <row r="577">
          <cell r="A577" t="str">
            <v>29-2030</v>
          </cell>
          <cell r="B577" t="str">
            <v>Diagnostic Related Technologists and Technicians</v>
          </cell>
          <cell r="C577">
            <v>421410</v>
          </cell>
          <cell r="D577">
            <v>0.5</v>
          </cell>
          <cell r="E577">
            <v>79710</v>
          </cell>
          <cell r="F577">
            <v>0.3</v>
          </cell>
          <cell r="G577">
            <v>78330</v>
          </cell>
        </row>
        <row r="578">
          <cell r="A578" t="str">
            <v>29-2031</v>
          </cell>
          <cell r="B578" t="str">
            <v>Cardiovascular Technologists and Technicians</v>
          </cell>
          <cell r="C578">
            <v>55660</v>
          </cell>
          <cell r="D578">
            <v>1.1000000000000001</v>
          </cell>
          <cell r="E578">
            <v>70270</v>
          </cell>
          <cell r="F578">
            <v>0.9</v>
          </cell>
          <cell r="G578">
            <v>66170</v>
          </cell>
        </row>
        <row r="579">
          <cell r="A579" t="str">
            <v>29-2032</v>
          </cell>
          <cell r="B579" t="str">
            <v>Diagnostic Medical Sonographers</v>
          </cell>
          <cell r="C579">
            <v>82780</v>
          </cell>
          <cell r="D579">
            <v>1</v>
          </cell>
          <cell r="E579">
            <v>89020</v>
          </cell>
          <cell r="F579">
            <v>0.3</v>
          </cell>
          <cell r="G579">
            <v>84470</v>
          </cell>
        </row>
        <row r="580">
          <cell r="A580" t="str">
            <v>29-2033</v>
          </cell>
          <cell r="B580" t="str">
            <v>Nuclear Medicine Technologists</v>
          </cell>
          <cell r="C580">
            <v>16560</v>
          </cell>
          <cell r="D580">
            <v>2.6</v>
          </cell>
          <cell r="E580">
            <v>95080</v>
          </cell>
          <cell r="F580">
            <v>0.5</v>
          </cell>
          <cell r="G580">
            <v>92500</v>
          </cell>
        </row>
        <row r="581">
          <cell r="A581" t="str">
            <v>29-2034</v>
          </cell>
          <cell r="B581" t="str">
            <v>Radiologic Technologists and Technicians</v>
          </cell>
          <cell r="C581">
            <v>221170</v>
          </cell>
          <cell r="D581">
            <v>1</v>
          </cell>
          <cell r="E581">
            <v>75250</v>
          </cell>
          <cell r="F581">
            <v>0.3</v>
          </cell>
          <cell r="G581">
            <v>73410</v>
          </cell>
        </row>
        <row r="582">
          <cell r="A582" t="str">
            <v>29-2035</v>
          </cell>
          <cell r="B582" t="str">
            <v>Magnetic Resonance Imaging Technologists</v>
          </cell>
          <cell r="C582">
            <v>41340</v>
          </cell>
          <cell r="D582">
            <v>2.2999999999999998</v>
          </cell>
          <cell r="E582">
            <v>86600</v>
          </cell>
          <cell r="F582">
            <v>0.8</v>
          </cell>
          <cell r="G582">
            <v>83740</v>
          </cell>
        </row>
        <row r="583">
          <cell r="A583" t="str">
            <v>29-2036</v>
          </cell>
          <cell r="B583" t="str">
            <v>Medical Dosimetrists</v>
          </cell>
          <cell r="C583">
            <v>3900</v>
          </cell>
          <cell r="D583">
            <v>7</v>
          </cell>
          <cell r="E583">
            <v>131850</v>
          </cell>
          <cell r="F583">
            <v>3</v>
          </cell>
          <cell r="G583">
            <v>132880</v>
          </cell>
        </row>
        <row r="584">
          <cell r="A584" t="str">
            <v>29-2040</v>
          </cell>
          <cell r="B584" t="str">
            <v>Emergency Medical Technicians and Paramedics</v>
          </cell>
          <cell r="C584">
            <v>265810</v>
          </cell>
          <cell r="D584">
            <v>0.6</v>
          </cell>
          <cell r="E584">
            <v>48430</v>
          </cell>
          <cell r="F584">
            <v>0.3</v>
          </cell>
          <cell r="G584">
            <v>44780</v>
          </cell>
        </row>
        <row r="585">
          <cell r="A585" t="str">
            <v>29-2042</v>
          </cell>
          <cell r="B585" t="str">
            <v>Emergency Medical Technicians</v>
          </cell>
          <cell r="C585">
            <v>167040</v>
          </cell>
          <cell r="D585">
            <v>0.7</v>
          </cell>
          <cell r="E585">
            <v>43100</v>
          </cell>
          <cell r="F585">
            <v>0.3</v>
          </cell>
          <cell r="G585">
            <v>38930</v>
          </cell>
        </row>
        <row r="586">
          <cell r="A586" t="str">
            <v>29-2043</v>
          </cell>
          <cell r="B586" t="str">
            <v>Paramedics</v>
          </cell>
          <cell r="C586">
            <v>98770</v>
          </cell>
          <cell r="D586">
            <v>1</v>
          </cell>
          <cell r="E586">
            <v>57450</v>
          </cell>
          <cell r="F586">
            <v>0.4</v>
          </cell>
          <cell r="G586">
            <v>53180</v>
          </cell>
        </row>
        <row r="587">
          <cell r="A587" t="str">
            <v>29-2050</v>
          </cell>
          <cell r="B587" t="str">
            <v>Health Practitioner Support Technologists and Technicians</v>
          </cell>
          <cell r="C587">
            <v>906180</v>
          </cell>
          <cell r="D587">
            <v>0.5</v>
          </cell>
          <cell r="E587">
            <v>45720</v>
          </cell>
          <cell r="F587">
            <v>0.3</v>
          </cell>
          <cell r="G587">
            <v>43130</v>
          </cell>
        </row>
        <row r="588">
          <cell r="A588" t="str">
            <v>29-2051</v>
          </cell>
          <cell r="B588" t="str">
            <v>Dietetic Technicians</v>
          </cell>
          <cell r="C588">
            <v>24240</v>
          </cell>
          <cell r="D588">
            <v>2.9</v>
          </cell>
          <cell r="E588">
            <v>38440</v>
          </cell>
          <cell r="F588">
            <v>0.7</v>
          </cell>
          <cell r="G588">
            <v>36520</v>
          </cell>
        </row>
        <row r="589">
          <cell r="A589" t="str">
            <v>29-2052</v>
          </cell>
          <cell r="B589" t="str">
            <v>Pharmacy Technicians</v>
          </cell>
          <cell r="C589">
            <v>460280</v>
          </cell>
          <cell r="D589">
            <v>0.8</v>
          </cell>
          <cell r="E589">
            <v>43330</v>
          </cell>
          <cell r="F589">
            <v>0.2</v>
          </cell>
          <cell r="G589">
            <v>40300</v>
          </cell>
        </row>
        <row r="590">
          <cell r="A590" t="str">
            <v>29-2053</v>
          </cell>
          <cell r="B590" t="str">
            <v>Psychiatric Technicians</v>
          </cell>
          <cell r="C590">
            <v>115940</v>
          </cell>
          <cell r="D590">
            <v>2</v>
          </cell>
          <cell r="E590">
            <v>43650</v>
          </cell>
          <cell r="F590">
            <v>0.5</v>
          </cell>
          <cell r="G590">
            <v>39700</v>
          </cell>
        </row>
        <row r="591">
          <cell r="A591" t="str">
            <v>29-2055</v>
          </cell>
          <cell r="B591" t="str">
            <v>Surgical Technologists</v>
          </cell>
          <cell r="C591">
            <v>110320</v>
          </cell>
          <cell r="D591">
            <v>0.9</v>
          </cell>
          <cell r="E591">
            <v>62250</v>
          </cell>
          <cell r="F591">
            <v>0.3</v>
          </cell>
          <cell r="G591">
            <v>60610</v>
          </cell>
        </row>
        <row r="592">
          <cell r="A592" t="str">
            <v>29-2056</v>
          </cell>
          <cell r="B592" t="str">
            <v>Veterinary Technologists and Technicians</v>
          </cell>
          <cell r="C592">
            <v>122000</v>
          </cell>
          <cell r="D592">
            <v>1.1000000000000001</v>
          </cell>
          <cell r="E592">
            <v>44040</v>
          </cell>
          <cell r="F592">
            <v>0.7</v>
          </cell>
          <cell r="G592">
            <v>43740</v>
          </cell>
        </row>
        <row r="593">
          <cell r="A593" t="str">
            <v>29-2057</v>
          </cell>
          <cell r="B593" t="str">
            <v>Ophthalmic Medical Technicians</v>
          </cell>
          <cell r="C593">
            <v>73390</v>
          </cell>
          <cell r="D593">
            <v>3.2</v>
          </cell>
          <cell r="E593">
            <v>44290</v>
          </cell>
          <cell r="F593">
            <v>0.6</v>
          </cell>
          <cell r="G593">
            <v>41780</v>
          </cell>
        </row>
        <row r="594">
          <cell r="A594" t="str">
            <v>29-2060</v>
          </cell>
          <cell r="B594" t="str">
            <v>Licensed Practical and Licensed Vocational Nurses</v>
          </cell>
          <cell r="C594">
            <v>630250</v>
          </cell>
          <cell r="D594">
            <v>1.1000000000000001</v>
          </cell>
          <cell r="E594">
            <v>60790</v>
          </cell>
          <cell r="F594">
            <v>0.3</v>
          </cell>
          <cell r="G594">
            <v>59730</v>
          </cell>
        </row>
        <row r="595">
          <cell r="A595" t="str">
            <v>29-2061</v>
          </cell>
          <cell r="B595" t="str">
            <v>Licensed Practical and Licensed Vocational Nurses</v>
          </cell>
          <cell r="C595">
            <v>630250</v>
          </cell>
          <cell r="D595">
            <v>1.1000000000000001</v>
          </cell>
          <cell r="E595">
            <v>60790</v>
          </cell>
          <cell r="F595">
            <v>0.3</v>
          </cell>
          <cell r="G595">
            <v>59730</v>
          </cell>
        </row>
        <row r="596">
          <cell r="A596" t="str">
            <v>29-2070</v>
          </cell>
          <cell r="B596" t="str">
            <v>Medical Records Specialists</v>
          </cell>
          <cell r="C596">
            <v>185690</v>
          </cell>
          <cell r="D596">
            <v>1</v>
          </cell>
          <cell r="E596">
            <v>53690</v>
          </cell>
          <cell r="F596">
            <v>0.4</v>
          </cell>
          <cell r="G596">
            <v>48780</v>
          </cell>
        </row>
        <row r="597">
          <cell r="A597" t="str">
            <v>29-2072</v>
          </cell>
          <cell r="B597" t="str">
            <v>Medical Records Specialists</v>
          </cell>
          <cell r="C597">
            <v>185690</v>
          </cell>
          <cell r="D597">
            <v>1</v>
          </cell>
          <cell r="E597">
            <v>53690</v>
          </cell>
          <cell r="F597">
            <v>0.4</v>
          </cell>
          <cell r="G597">
            <v>48780</v>
          </cell>
        </row>
        <row r="598">
          <cell r="A598" t="str">
            <v>29-2080</v>
          </cell>
          <cell r="B598" t="str">
            <v>Opticians, Dispensing</v>
          </cell>
          <cell r="C598">
            <v>76770</v>
          </cell>
          <cell r="D598">
            <v>1.5</v>
          </cell>
          <cell r="E598">
            <v>47560</v>
          </cell>
          <cell r="F598">
            <v>0.6</v>
          </cell>
          <cell r="G598">
            <v>44170</v>
          </cell>
        </row>
        <row r="599">
          <cell r="A599" t="str">
            <v>29-2081</v>
          </cell>
          <cell r="B599" t="str">
            <v>Opticians, Dispensing</v>
          </cell>
          <cell r="C599">
            <v>76770</v>
          </cell>
          <cell r="D599">
            <v>1.5</v>
          </cell>
          <cell r="E599">
            <v>47560</v>
          </cell>
          <cell r="F599">
            <v>0.6</v>
          </cell>
          <cell r="G599">
            <v>44170</v>
          </cell>
        </row>
        <row r="600">
          <cell r="A600" t="str">
            <v>29-2090</v>
          </cell>
          <cell r="B600" t="str">
            <v>Miscellaneous Health Technologists and Technicians</v>
          </cell>
          <cell r="C600">
            <v>190180</v>
          </cell>
          <cell r="D600">
            <v>0.9</v>
          </cell>
          <cell r="E600">
            <v>55830</v>
          </cell>
          <cell r="F600">
            <v>0.4</v>
          </cell>
          <cell r="G600">
            <v>48010</v>
          </cell>
        </row>
        <row r="601">
          <cell r="A601" t="str">
            <v>29-2091</v>
          </cell>
          <cell r="B601" t="str">
            <v>Orthotists and Prosthetists</v>
          </cell>
          <cell r="C601">
            <v>8820</v>
          </cell>
          <cell r="D601">
            <v>6.6</v>
          </cell>
          <cell r="E601">
            <v>80500</v>
          </cell>
          <cell r="F601">
            <v>2.1</v>
          </cell>
          <cell r="G601">
            <v>78100</v>
          </cell>
        </row>
        <row r="602">
          <cell r="A602" t="str">
            <v>29-2092</v>
          </cell>
          <cell r="B602" t="str">
            <v>Hearing Aid Specialists</v>
          </cell>
          <cell r="C602">
            <v>10250</v>
          </cell>
          <cell r="D602">
            <v>8</v>
          </cell>
          <cell r="E602">
            <v>61550</v>
          </cell>
          <cell r="F602">
            <v>3.2</v>
          </cell>
          <cell r="G602">
            <v>58670</v>
          </cell>
        </row>
        <row r="603">
          <cell r="A603" t="str">
            <v>29-2099</v>
          </cell>
          <cell r="B603" t="str">
            <v>Health Technologists and Technicians, All Other</v>
          </cell>
          <cell r="C603">
            <v>171110</v>
          </cell>
          <cell r="D603">
            <v>1.1000000000000001</v>
          </cell>
          <cell r="E603">
            <v>54220</v>
          </cell>
          <cell r="F603">
            <v>0.5</v>
          </cell>
          <cell r="G603">
            <v>47470</v>
          </cell>
        </row>
        <row r="604">
          <cell r="A604" t="str">
            <v>29-9000</v>
          </cell>
          <cell r="B604" t="str">
            <v>Other Healthcare Practitioners and Technical Occupations</v>
          </cell>
          <cell r="C604">
            <v>121640</v>
          </cell>
          <cell r="D604">
            <v>1.2</v>
          </cell>
          <cell r="E604">
            <v>68300</v>
          </cell>
          <cell r="F604">
            <v>0.4</v>
          </cell>
          <cell r="G604">
            <v>61020</v>
          </cell>
        </row>
        <row r="605">
          <cell r="A605" t="str">
            <v>29-9020</v>
          </cell>
          <cell r="B605" t="str">
            <v>Health Information Technologists and Medical Registrars</v>
          </cell>
          <cell r="C605">
            <v>34430</v>
          </cell>
          <cell r="D605">
            <v>1.4</v>
          </cell>
          <cell r="E605">
            <v>70260</v>
          </cell>
          <cell r="F605">
            <v>0.6</v>
          </cell>
          <cell r="G605">
            <v>62990</v>
          </cell>
        </row>
        <row r="606">
          <cell r="A606" t="str">
            <v>29-9021</v>
          </cell>
          <cell r="B606" t="str">
            <v>Health Information Technologists and Medical Registrars</v>
          </cell>
          <cell r="C606">
            <v>34430</v>
          </cell>
          <cell r="D606">
            <v>1.4</v>
          </cell>
          <cell r="E606">
            <v>70260</v>
          </cell>
          <cell r="F606">
            <v>0.6</v>
          </cell>
          <cell r="G606">
            <v>62990</v>
          </cell>
        </row>
        <row r="607">
          <cell r="A607" t="str">
            <v>29-9090</v>
          </cell>
          <cell r="B607" t="str">
            <v>Miscellaneous Health Practitioners and Technical Workers</v>
          </cell>
          <cell r="C607">
            <v>87210</v>
          </cell>
          <cell r="D607">
            <v>1.6</v>
          </cell>
          <cell r="E607">
            <v>67520</v>
          </cell>
          <cell r="F607">
            <v>0.6</v>
          </cell>
          <cell r="G607">
            <v>60410</v>
          </cell>
        </row>
        <row r="608">
          <cell r="A608" t="str">
            <v>29-9091</v>
          </cell>
          <cell r="B608" t="str">
            <v>Athletic Trainers</v>
          </cell>
          <cell r="C608">
            <v>28480</v>
          </cell>
          <cell r="D608">
            <v>2.1</v>
          </cell>
          <cell r="E608">
            <v>61540</v>
          </cell>
          <cell r="F608">
            <v>0.5</v>
          </cell>
          <cell r="G608">
            <v>57930</v>
          </cell>
        </row>
        <row r="609">
          <cell r="A609" t="str">
            <v>29-9092</v>
          </cell>
          <cell r="B609" t="str">
            <v>Genetic Counselors</v>
          </cell>
          <cell r="C609">
            <v>3050</v>
          </cell>
          <cell r="D609">
            <v>3.4</v>
          </cell>
          <cell r="E609">
            <v>98130</v>
          </cell>
          <cell r="F609">
            <v>1.1000000000000001</v>
          </cell>
          <cell r="G609">
            <v>95770</v>
          </cell>
        </row>
        <row r="610">
          <cell r="A610" t="str">
            <v>29-9093</v>
          </cell>
          <cell r="B610" t="str">
            <v>Surgical Assistants</v>
          </cell>
          <cell r="C610">
            <v>18780</v>
          </cell>
          <cell r="D610">
            <v>6</v>
          </cell>
          <cell r="E610">
            <v>65190</v>
          </cell>
          <cell r="F610">
            <v>1.3</v>
          </cell>
          <cell r="G610">
            <v>59160</v>
          </cell>
        </row>
        <row r="611">
          <cell r="A611" t="str">
            <v>29-9099</v>
          </cell>
          <cell r="B611" t="str">
            <v>Healthcare Practitioners and Technical Workers, All Other</v>
          </cell>
          <cell r="C611">
            <v>36900</v>
          </cell>
          <cell r="D611">
            <v>1.7</v>
          </cell>
          <cell r="E611">
            <v>70800</v>
          </cell>
          <cell r="F611">
            <v>0.9</v>
          </cell>
          <cell r="G611">
            <v>63630</v>
          </cell>
        </row>
        <row r="612">
          <cell r="A612" t="str">
            <v>31-0000</v>
          </cell>
          <cell r="B612" t="str">
            <v>Healthcare Support Occupations</v>
          </cell>
          <cell r="C612">
            <v>7063530</v>
          </cell>
          <cell r="D612">
            <v>0.2</v>
          </cell>
          <cell r="E612">
            <v>38220</v>
          </cell>
          <cell r="F612">
            <v>0.3</v>
          </cell>
          <cell r="G612">
            <v>36140</v>
          </cell>
        </row>
        <row r="613">
          <cell r="A613" t="str">
            <v>31-1100</v>
          </cell>
          <cell r="B613" t="str">
            <v>Home Health and Personal Care Aides; and Nursing Assistants, Orderlies, and Psychiatric Aides</v>
          </cell>
          <cell r="C613">
            <v>5122130</v>
          </cell>
          <cell r="D613">
            <v>0.2</v>
          </cell>
          <cell r="E613">
            <v>35120</v>
          </cell>
          <cell r="F613">
            <v>0.2</v>
          </cell>
          <cell r="G613">
            <v>34570</v>
          </cell>
        </row>
        <row r="614">
          <cell r="A614" t="str">
            <v>31-1120</v>
          </cell>
          <cell r="B614" t="str">
            <v>Home Health and Personal Care Aides</v>
          </cell>
          <cell r="C614">
            <v>3689350</v>
          </cell>
          <cell r="D614">
            <v>0.3</v>
          </cell>
          <cell r="E614">
            <v>33380</v>
          </cell>
          <cell r="F614">
            <v>0.2</v>
          </cell>
          <cell r="G614">
            <v>33530</v>
          </cell>
        </row>
        <row r="615">
          <cell r="A615" t="str">
            <v>31-1120</v>
          </cell>
          <cell r="B615" t="str">
            <v>Home Health and Personal Care Aides</v>
          </cell>
          <cell r="C615">
            <v>3689350</v>
          </cell>
          <cell r="D615">
            <v>0.3</v>
          </cell>
          <cell r="E615">
            <v>33380</v>
          </cell>
          <cell r="F615">
            <v>0.2</v>
          </cell>
          <cell r="G615">
            <v>33530</v>
          </cell>
        </row>
        <row r="616">
          <cell r="A616" t="str">
            <v>31-1130</v>
          </cell>
          <cell r="B616" t="str">
            <v>Nursing Assistants, Orderlies, and Psychiatric Aides</v>
          </cell>
          <cell r="C616">
            <v>1432790</v>
          </cell>
          <cell r="D616">
            <v>0.4</v>
          </cell>
          <cell r="E616">
            <v>39600</v>
          </cell>
          <cell r="F616">
            <v>0.3</v>
          </cell>
          <cell r="G616">
            <v>38140</v>
          </cell>
        </row>
        <row r="617">
          <cell r="A617" t="str">
            <v>31-1131</v>
          </cell>
          <cell r="B617" t="str">
            <v>Nursing Assistants</v>
          </cell>
          <cell r="C617">
            <v>1351760</v>
          </cell>
          <cell r="D617">
            <v>0.4</v>
          </cell>
          <cell r="E617">
            <v>39610</v>
          </cell>
          <cell r="F617">
            <v>0.3</v>
          </cell>
          <cell r="G617">
            <v>38200</v>
          </cell>
        </row>
        <row r="618">
          <cell r="A618" t="str">
            <v>31-1132</v>
          </cell>
          <cell r="B618" t="str">
            <v>Orderlies</v>
          </cell>
          <cell r="C618">
            <v>48710</v>
          </cell>
          <cell r="D618">
            <v>1.7</v>
          </cell>
          <cell r="E618">
            <v>38440</v>
          </cell>
          <cell r="F618">
            <v>0.4</v>
          </cell>
          <cell r="G618">
            <v>36830</v>
          </cell>
        </row>
        <row r="619">
          <cell r="A619" t="str">
            <v>31-1133</v>
          </cell>
          <cell r="B619" t="str">
            <v>Psychiatric Aides</v>
          </cell>
          <cell r="C619">
            <v>32310</v>
          </cell>
          <cell r="D619">
            <v>1.4</v>
          </cell>
          <cell r="E619">
            <v>41000</v>
          </cell>
          <cell r="F619">
            <v>0.4</v>
          </cell>
          <cell r="G619">
            <v>39160</v>
          </cell>
        </row>
        <row r="620">
          <cell r="A620" t="str">
            <v>31-2000</v>
          </cell>
          <cell r="B620" t="str">
            <v>Occupational Therapy and Physical Therapist Assistants and Aides</v>
          </cell>
          <cell r="C620">
            <v>196900</v>
          </cell>
          <cell r="D620">
            <v>1.2</v>
          </cell>
          <cell r="E620">
            <v>59180</v>
          </cell>
          <cell r="F620">
            <v>0.5</v>
          </cell>
          <cell r="G620">
            <v>60830</v>
          </cell>
        </row>
        <row r="621">
          <cell r="A621" t="str">
            <v>31-2010</v>
          </cell>
          <cell r="B621" t="str">
            <v>Occupational Therapy Assistants and Aides</v>
          </cell>
          <cell r="C621">
            <v>50520</v>
          </cell>
          <cell r="D621">
            <v>1.6</v>
          </cell>
          <cell r="E621">
            <v>65880</v>
          </cell>
          <cell r="F621">
            <v>0.6</v>
          </cell>
          <cell r="G621">
            <v>65450</v>
          </cell>
        </row>
        <row r="622">
          <cell r="A622" t="str">
            <v>31-2011</v>
          </cell>
          <cell r="B622" t="str">
            <v>Occupational Therapy Assistants</v>
          </cell>
          <cell r="C622">
            <v>46090</v>
          </cell>
          <cell r="D622">
            <v>1.8</v>
          </cell>
          <cell r="E622">
            <v>68170</v>
          </cell>
          <cell r="F622">
            <v>0.5</v>
          </cell>
          <cell r="G622">
            <v>67010</v>
          </cell>
        </row>
        <row r="623">
          <cell r="A623" t="str">
            <v>31-2012</v>
          </cell>
          <cell r="B623" t="str">
            <v>Occupational Therapy Aides</v>
          </cell>
          <cell r="C623">
            <v>4430</v>
          </cell>
          <cell r="D623">
            <v>7.2</v>
          </cell>
          <cell r="E623">
            <v>42060</v>
          </cell>
          <cell r="F623">
            <v>2</v>
          </cell>
          <cell r="G623">
            <v>36970</v>
          </cell>
        </row>
        <row r="624">
          <cell r="A624" t="str">
            <v>31-2020</v>
          </cell>
          <cell r="B624" t="str">
            <v>Physical Therapist Assistants and Aides</v>
          </cell>
          <cell r="C624">
            <v>146380</v>
          </cell>
          <cell r="D624">
            <v>1.5</v>
          </cell>
          <cell r="E624">
            <v>56870</v>
          </cell>
          <cell r="F624">
            <v>0.5</v>
          </cell>
          <cell r="G624">
            <v>58740</v>
          </cell>
        </row>
        <row r="625">
          <cell r="A625" t="str">
            <v>31-2021</v>
          </cell>
          <cell r="B625" t="str">
            <v>Physical Therapist Assistants</v>
          </cell>
          <cell r="C625">
            <v>104000</v>
          </cell>
          <cell r="D625">
            <v>1.7</v>
          </cell>
          <cell r="E625">
            <v>65860</v>
          </cell>
          <cell r="F625">
            <v>0.5</v>
          </cell>
          <cell r="G625">
            <v>64080</v>
          </cell>
        </row>
        <row r="626">
          <cell r="A626" t="str">
            <v>31-2022</v>
          </cell>
          <cell r="B626" t="str">
            <v>Physical Therapist Aides</v>
          </cell>
          <cell r="C626">
            <v>42390</v>
          </cell>
          <cell r="D626">
            <v>2.4</v>
          </cell>
          <cell r="E626">
            <v>34810</v>
          </cell>
          <cell r="F626">
            <v>1.8</v>
          </cell>
          <cell r="G626">
            <v>33520</v>
          </cell>
        </row>
        <row r="627">
          <cell r="A627" t="str">
            <v>31-9000</v>
          </cell>
          <cell r="B627" t="str">
            <v>Other Healthcare Support Occupations</v>
          </cell>
          <cell r="C627">
            <v>1744490</v>
          </cell>
          <cell r="D627">
            <v>0.4</v>
          </cell>
          <cell r="E627">
            <v>44930</v>
          </cell>
          <cell r="F627">
            <v>0.5</v>
          </cell>
          <cell r="G627">
            <v>43330</v>
          </cell>
        </row>
        <row r="628">
          <cell r="A628" t="str">
            <v>31-9010</v>
          </cell>
          <cell r="B628" t="str">
            <v>Massage Therapists</v>
          </cell>
          <cell r="C628">
            <v>92650</v>
          </cell>
          <cell r="D628">
            <v>2.2000000000000002</v>
          </cell>
          <cell r="E628">
            <v>62560</v>
          </cell>
          <cell r="F628">
            <v>2.2999999999999998</v>
          </cell>
          <cell r="G628">
            <v>55310</v>
          </cell>
        </row>
        <row r="629">
          <cell r="A629" t="str">
            <v>31-9011</v>
          </cell>
          <cell r="B629" t="str">
            <v>Massage Therapists</v>
          </cell>
          <cell r="C629">
            <v>92650</v>
          </cell>
          <cell r="D629">
            <v>2.2000000000000002</v>
          </cell>
          <cell r="E629">
            <v>62560</v>
          </cell>
          <cell r="F629">
            <v>2.2999999999999998</v>
          </cell>
          <cell r="G629">
            <v>55310</v>
          </cell>
        </row>
        <row r="630">
          <cell r="A630" t="str">
            <v>31-9090</v>
          </cell>
          <cell r="B630" t="str">
            <v>Miscellaneous Healthcare Support Occupations</v>
          </cell>
          <cell r="C630">
            <v>1651840</v>
          </cell>
          <cell r="D630">
            <v>0.5</v>
          </cell>
          <cell r="E630">
            <v>43940</v>
          </cell>
          <cell r="F630">
            <v>0.4</v>
          </cell>
          <cell r="G630">
            <v>42880</v>
          </cell>
        </row>
        <row r="631">
          <cell r="A631" t="str">
            <v>31-9091</v>
          </cell>
          <cell r="B631" t="str">
            <v>Dental Assistants</v>
          </cell>
          <cell r="C631">
            <v>370690</v>
          </cell>
          <cell r="D631">
            <v>1</v>
          </cell>
          <cell r="E631">
            <v>47350</v>
          </cell>
          <cell r="F631">
            <v>0.7</v>
          </cell>
          <cell r="G631">
            <v>46540</v>
          </cell>
        </row>
        <row r="632">
          <cell r="A632" t="str">
            <v>31-9092</v>
          </cell>
          <cell r="B632" t="str">
            <v>Medical Assistants</v>
          </cell>
          <cell r="C632">
            <v>763040</v>
          </cell>
          <cell r="D632">
            <v>0.6</v>
          </cell>
          <cell r="E632">
            <v>43350</v>
          </cell>
          <cell r="F632">
            <v>0.4</v>
          </cell>
          <cell r="G632">
            <v>42000</v>
          </cell>
        </row>
        <row r="633">
          <cell r="A633" t="str">
            <v>31-9093</v>
          </cell>
          <cell r="B633" t="str">
            <v>Medical Equipment Preparers</v>
          </cell>
          <cell r="C633">
            <v>66790</v>
          </cell>
          <cell r="D633">
            <v>0.8</v>
          </cell>
          <cell r="E633">
            <v>47410</v>
          </cell>
          <cell r="F633">
            <v>0.4</v>
          </cell>
          <cell r="G633">
            <v>45280</v>
          </cell>
        </row>
        <row r="634">
          <cell r="A634" t="str">
            <v>31-9094</v>
          </cell>
          <cell r="B634" t="str">
            <v>Medical Transcriptionists</v>
          </cell>
          <cell r="C634">
            <v>52420</v>
          </cell>
          <cell r="D634">
            <v>3.7</v>
          </cell>
          <cell r="E634">
            <v>39090</v>
          </cell>
          <cell r="F634">
            <v>0.9</v>
          </cell>
          <cell r="G634">
            <v>37060</v>
          </cell>
        </row>
        <row r="635">
          <cell r="A635" t="str">
            <v>31-9095</v>
          </cell>
          <cell r="B635" t="str">
            <v>Pharmacy Aides</v>
          </cell>
          <cell r="C635">
            <v>43830</v>
          </cell>
          <cell r="D635">
            <v>2.9</v>
          </cell>
          <cell r="E635">
            <v>38980</v>
          </cell>
          <cell r="F635">
            <v>0.7</v>
          </cell>
          <cell r="G635">
            <v>36200</v>
          </cell>
        </row>
        <row r="636">
          <cell r="A636" t="str">
            <v>31-9096</v>
          </cell>
          <cell r="B636" t="str">
            <v>Veterinary Assistants and Laboratory Animal Caretakers</v>
          </cell>
          <cell r="C636">
            <v>115770</v>
          </cell>
          <cell r="D636">
            <v>1.1000000000000001</v>
          </cell>
          <cell r="E636">
            <v>37310</v>
          </cell>
          <cell r="F636">
            <v>0.4</v>
          </cell>
          <cell r="G636">
            <v>36440</v>
          </cell>
        </row>
        <row r="637">
          <cell r="A637" t="str">
            <v>31-9097</v>
          </cell>
          <cell r="B637" t="str">
            <v>Phlebotomists</v>
          </cell>
          <cell r="C637">
            <v>137080</v>
          </cell>
          <cell r="D637">
            <v>1.1000000000000001</v>
          </cell>
          <cell r="E637">
            <v>43130</v>
          </cell>
          <cell r="F637">
            <v>0.3</v>
          </cell>
          <cell r="G637">
            <v>41810</v>
          </cell>
        </row>
        <row r="638">
          <cell r="A638" t="str">
            <v>31-9099</v>
          </cell>
          <cell r="B638" t="str">
            <v>Healthcare Support Workers, All Other</v>
          </cell>
          <cell r="C638">
            <v>102230</v>
          </cell>
          <cell r="D638">
            <v>1.1000000000000001</v>
          </cell>
          <cell r="E638">
            <v>47010</v>
          </cell>
          <cell r="F638">
            <v>0.5</v>
          </cell>
          <cell r="G638">
            <v>44490</v>
          </cell>
        </row>
        <row r="639">
          <cell r="A639" t="str">
            <v>33-0000</v>
          </cell>
          <cell r="B639" t="str">
            <v>Protective Service Occupations</v>
          </cell>
          <cell r="C639">
            <v>3504330</v>
          </cell>
          <cell r="D639">
            <v>0.3</v>
          </cell>
          <cell r="E639">
            <v>57710</v>
          </cell>
          <cell r="F639">
            <v>0.3</v>
          </cell>
          <cell r="G639">
            <v>47760</v>
          </cell>
        </row>
        <row r="640">
          <cell r="A640" t="str">
            <v>33-1000</v>
          </cell>
          <cell r="B640" t="str">
            <v>Supervisors of Protective Service Workers</v>
          </cell>
          <cell r="C640">
            <v>359050</v>
          </cell>
          <cell r="D640">
            <v>0.3</v>
          </cell>
          <cell r="E640">
            <v>87710</v>
          </cell>
          <cell r="F640">
            <v>0.3</v>
          </cell>
          <cell r="G640">
            <v>81240</v>
          </cell>
        </row>
        <row r="641">
          <cell r="A641" t="str">
            <v>33-1010</v>
          </cell>
          <cell r="B641" t="str">
            <v>First-Line Supervisors of Law Enforcement Workers</v>
          </cell>
          <cell r="C641">
            <v>190410</v>
          </cell>
          <cell r="D641">
            <v>0.3</v>
          </cell>
          <cell r="E641">
            <v>98000</v>
          </cell>
          <cell r="F641">
            <v>0.3</v>
          </cell>
          <cell r="G641">
            <v>93800</v>
          </cell>
        </row>
        <row r="642">
          <cell r="A642" t="str">
            <v>33-1011</v>
          </cell>
          <cell r="B642" t="str">
            <v>First-Line Supervisors of Correctional Officers</v>
          </cell>
          <cell r="C642">
            <v>52280</v>
          </cell>
          <cell r="D642">
            <v>0.3</v>
          </cell>
          <cell r="E642">
            <v>76840</v>
          </cell>
          <cell r="F642">
            <v>0.2</v>
          </cell>
          <cell r="G642">
            <v>70530</v>
          </cell>
        </row>
        <row r="643">
          <cell r="A643" t="str">
            <v>33-1012</v>
          </cell>
          <cell r="B643" t="str">
            <v>First-Line Supervisors of Police and Detectives</v>
          </cell>
          <cell r="C643">
            <v>138140</v>
          </cell>
          <cell r="D643">
            <v>0.4</v>
          </cell>
          <cell r="E643">
            <v>106000</v>
          </cell>
          <cell r="F643">
            <v>0.3</v>
          </cell>
          <cell r="G643">
            <v>101750</v>
          </cell>
        </row>
        <row r="644">
          <cell r="A644" t="str">
            <v>33-1020</v>
          </cell>
          <cell r="B644" t="str">
            <v>First-Line Supervisors of Firefighting and Prevention Workers</v>
          </cell>
          <cell r="C644">
            <v>84120</v>
          </cell>
          <cell r="D644">
            <v>0.8</v>
          </cell>
          <cell r="E644">
            <v>90740</v>
          </cell>
          <cell r="F644">
            <v>0.5</v>
          </cell>
          <cell r="G644">
            <v>86220</v>
          </cell>
        </row>
        <row r="645">
          <cell r="A645" t="str">
            <v>33-1021</v>
          </cell>
          <cell r="B645" t="str">
            <v>First-Line Supervisors of Firefighting and Prevention Workers</v>
          </cell>
          <cell r="C645">
            <v>84120</v>
          </cell>
          <cell r="D645">
            <v>0.8</v>
          </cell>
          <cell r="E645">
            <v>90740</v>
          </cell>
          <cell r="F645">
            <v>0.5</v>
          </cell>
          <cell r="G645">
            <v>86220</v>
          </cell>
        </row>
        <row r="646">
          <cell r="A646" t="str">
            <v>33-1090</v>
          </cell>
          <cell r="B646" t="str">
            <v>Miscellaneous First-Line Supervisors, Protective Service Workers</v>
          </cell>
          <cell r="C646">
            <v>84510</v>
          </cell>
          <cell r="D646">
            <v>0.8</v>
          </cell>
          <cell r="E646">
            <v>61500</v>
          </cell>
          <cell r="F646">
            <v>0.4</v>
          </cell>
          <cell r="G646">
            <v>57590</v>
          </cell>
        </row>
        <row r="647">
          <cell r="A647" t="str">
            <v>33-1091</v>
          </cell>
          <cell r="B647" t="str">
            <v>First-Line Supervisors of Security Workers</v>
          </cell>
          <cell r="C647">
            <v>64900</v>
          </cell>
          <cell r="D647">
            <v>1</v>
          </cell>
          <cell r="E647">
            <v>59580</v>
          </cell>
          <cell r="F647">
            <v>0.5</v>
          </cell>
          <cell r="G647">
            <v>54580</v>
          </cell>
        </row>
        <row r="648">
          <cell r="A648" t="str">
            <v>33-1099</v>
          </cell>
          <cell r="B648" t="str">
            <v>First-Line Supervisors of Protective Service Workers, All Other</v>
          </cell>
          <cell r="C648">
            <v>19620</v>
          </cell>
          <cell r="D648">
            <v>1.2</v>
          </cell>
          <cell r="E648">
            <v>67870</v>
          </cell>
          <cell r="F648">
            <v>0.5</v>
          </cell>
          <cell r="G648">
            <v>65050</v>
          </cell>
        </row>
        <row r="649">
          <cell r="A649" t="str">
            <v>33-2000</v>
          </cell>
          <cell r="B649" t="str">
            <v>Firefighting and Prevention Workers</v>
          </cell>
          <cell r="C649">
            <v>331940</v>
          </cell>
          <cell r="D649">
            <v>0.7</v>
          </cell>
          <cell r="E649">
            <v>61340</v>
          </cell>
          <cell r="F649">
            <v>0.5</v>
          </cell>
          <cell r="G649">
            <v>57900</v>
          </cell>
        </row>
        <row r="650">
          <cell r="A650" t="str">
            <v>33-2010</v>
          </cell>
          <cell r="B650" t="str">
            <v>Firefighters</v>
          </cell>
          <cell r="C650">
            <v>315460</v>
          </cell>
          <cell r="D650">
            <v>0.8</v>
          </cell>
          <cell r="E650">
            <v>60390</v>
          </cell>
          <cell r="F650">
            <v>0.5</v>
          </cell>
          <cell r="G650">
            <v>57120</v>
          </cell>
        </row>
        <row r="651">
          <cell r="A651" t="str">
            <v>33-2011</v>
          </cell>
          <cell r="B651" t="str">
            <v>Firefighters</v>
          </cell>
          <cell r="C651">
            <v>315460</v>
          </cell>
          <cell r="D651">
            <v>0.8</v>
          </cell>
          <cell r="E651">
            <v>60390</v>
          </cell>
          <cell r="F651">
            <v>0.5</v>
          </cell>
          <cell r="G651">
            <v>57120</v>
          </cell>
        </row>
        <row r="652">
          <cell r="A652" t="str">
            <v>33-2020</v>
          </cell>
          <cell r="B652" t="str">
            <v>Fire Inspectors</v>
          </cell>
          <cell r="C652">
            <v>16470</v>
          </cell>
          <cell r="D652">
            <v>1.5</v>
          </cell>
          <cell r="E652">
            <v>79550</v>
          </cell>
          <cell r="F652">
            <v>0.6</v>
          </cell>
          <cell r="G652">
            <v>71420</v>
          </cell>
        </row>
        <row r="653">
          <cell r="A653" t="str">
            <v>33-2021</v>
          </cell>
          <cell r="B653" t="str">
            <v>Fire Inspectors and Investigators</v>
          </cell>
          <cell r="C653">
            <v>14200</v>
          </cell>
          <cell r="D653">
            <v>1.6</v>
          </cell>
          <cell r="E653">
            <v>82510</v>
          </cell>
          <cell r="F653">
            <v>0.7</v>
          </cell>
          <cell r="G653">
            <v>74160</v>
          </cell>
        </row>
        <row r="654">
          <cell r="A654" t="str">
            <v>33-2022</v>
          </cell>
          <cell r="B654" t="str">
            <v>Forest Fire Inspectors and Prevention Specialists</v>
          </cell>
          <cell r="C654">
            <v>2270</v>
          </cell>
          <cell r="D654">
            <v>3.8</v>
          </cell>
          <cell r="E654">
            <v>61090</v>
          </cell>
          <cell r="F654">
            <v>1.3</v>
          </cell>
          <cell r="G654">
            <v>54080</v>
          </cell>
        </row>
        <row r="655">
          <cell r="A655" t="str">
            <v>33-3000</v>
          </cell>
          <cell r="B655" t="str">
            <v>Law Enforcement Workers</v>
          </cell>
          <cell r="C655">
            <v>1136430</v>
          </cell>
          <cell r="D655">
            <v>0.3</v>
          </cell>
          <cell r="E655">
            <v>72370</v>
          </cell>
          <cell r="F655">
            <v>0.3</v>
          </cell>
          <cell r="G655">
            <v>66030</v>
          </cell>
        </row>
        <row r="656">
          <cell r="A656" t="str">
            <v>33-3010</v>
          </cell>
          <cell r="B656" t="str">
            <v>Bailiffs, Correctional Officers, and Jailers</v>
          </cell>
          <cell r="C656">
            <v>367320</v>
          </cell>
          <cell r="D656">
            <v>0.3</v>
          </cell>
          <cell r="E656">
            <v>58790</v>
          </cell>
          <cell r="F656">
            <v>0.2</v>
          </cell>
          <cell r="G656">
            <v>53290</v>
          </cell>
        </row>
        <row r="657">
          <cell r="A657" t="str">
            <v>33-3011</v>
          </cell>
          <cell r="B657" t="str">
            <v>Bailiffs</v>
          </cell>
          <cell r="C657">
            <v>15900</v>
          </cell>
          <cell r="D657">
            <v>1.5</v>
          </cell>
          <cell r="E657">
            <v>58460</v>
          </cell>
          <cell r="F657">
            <v>0.7</v>
          </cell>
          <cell r="G657">
            <v>53040</v>
          </cell>
        </row>
        <row r="658">
          <cell r="A658" t="str">
            <v>33-3012</v>
          </cell>
          <cell r="B658" t="str">
            <v>Correctional Officers and Jailers</v>
          </cell>
          <cell r="C658">
            <v>351420</v>
          </cell>
          <cell r="D658">
            <v>0.3</v>
          </cell>
          <cell r="E658">
            <v>58810</v>
          </cell>
          <cell r="F658">
            <v>0.2</v>
          </cell>
          <cell r="G658">
            <v>53300</v>
          </cell>
        </row>
        <row r="659">
          <cell r="A659" t="str">
            <v>33-3020</v>
          </cell>
          <cell r="B659" t="str">
            <v>Detectives and Criminal Investigators</v>
          </cell>
          <cell r="C659">
            <v>106730</v>
          </cell>
          <cell r="D659">
            <v>0.2</v>
          </cell>
          <cell r="E659">
            <v>95930</v>
          </cell>
          <cell r="F659">
            <v>0.2</v>
          </cell>
          <cell r="G659">
            <v>91100</v>
          </cell>
        </row>
        <row r="660">
          <cell r="A660" t="str">
            <v>33-3021</v>
          </cell>
          <cell r="B660" t="str">
            <v>Detectives and Criminal Investigators</v>
          </cell>
          <cell r="C660">
            <v>106730</v>
          </cell>
          <cell r="D660">
            <v>0.2</v>
          </cell>
          <cell r="E660">
            <v>95930</v>
          </cell>
          <cell r="F660">
            <v>0.2</v>
          </cell>
          <cell r="G660">
            <v>91100</v>
          </cell>
        </row>
        <row r="661">
          <cell r="A661" t="str">
            <v>33-3030</v>
          </cell>
          <cell r="B661" t="str">
            <v>Fish and Game Wardens</v>
          </cell>
          <cell r="C661">
            <v>6290</v>
          </cell>
          <cell r="D661">
            <v>0.3</v>
          </cell>
          <cell r="E661">
            <v>61120</v>
          </cell>
          <cell r="F661">
            <v>0.1</v>
          </cell>
          <cell r="G661">
            <v>60380</v>
          </cell>
        </row>
        <row r="662">
          <cell r="A662" t="str">
            <v>33-3031</v>
          </cell>
          <cell r="B662" t="str">
            <v>Fish and Game Wardens</v>
          </cell>
          <cell r="C662">
            <v>6290</v>
          </cell>
          <cell r="D662">
            <v>0.3</v>
          </cell>
          <cell r="E662">
            <v>61120</v>
          </cell>
          <cell r="F662">
            <v>0.1</v>
          </cell>
          <cell r="G662">
            <v>60380</v>
          </cell>
        </row>
        <row r="663">
          <cell r="A663" t="str">
            <v>33-3040</v>
          </cell>
          <cell r="B663" t="str">
            <v>Parking Enforcement Workers</v>
          </cell>
          <cell r="C663">
            <v>7420</v>
          </cell>
          <cell r="D663">
            <v>2.4</v>
          </cell>
          <cell r="E663">
            <v>50430</v>
          </cell>
          <cell r="F663">
            <v>0.6</v>
          </cell>
          <cell r="G663">
            <v>46840</v>
          </cell>
        </row>
        <row r="664">
          <cell r="A664" t="str">
            <v>33-3041</v>
          </cell>
          <cell r="B664" t="str">
            <v>Parking Enforcement Workers</v>
          </cell>
          <cell r="C664">
            <v>7420</v>
          </cell>
          <cell r="D664">
            <v>2.4</v>
          </cell>
          <cell r="E664">
            <v>50430</v>
          </cell>
          <cell r="F664">
            <v>0.6</v>
          </cell>
          <cell r="G664">
            <v>46840</v>
          </cell>
        </row>
        <row r="665">
          <cell r="A665" t="str">
            <v>33-3050</v>
          </cell>
          <cell r="B665" t="str">
            <v>Police Officers</v>
          </cell>
          <cell r="C665">
            <v>648670</v>
          </cell>
          <cell r="D665">
            <v>0.5</v>
          </cell>
          <cell r="E665">
            <v>76550</v>
          </cell>
          <cell r="F665">
            <v>0.3</v>
          </cell>
          <cell r="G665">
            <v>72260</v>
          </cell>
        </row>
        <row r="666">
          <cell r="A666" t="str">
            <v>33-3051</v>
          </cell>
          <cell r="B666" t="str">
            <v>Police and Sheriff's Patrol Officers</v>
          </cell>
          <cell r="C666">
            <v>646310</v>
          </cell>
          <cell r="D666">
            <v>0.5</v>
          </cell>
          <cell r="E666">
            <v>76550</v>
          </cell>
          <cell r="F666">
            <v>0.3</v>
          </cell>
          <cell r="G666">
            <v>72280</v>
          </cell>
        </row>
        <row r="667">
          <cell r="A667" t="str">
            <v>33-3052</v>
          </cell>
          <cell r="B667" t="str">
            <v>Transit and Railroad Police</v>
          </cell>
          <cell r="C667">
            <v>2360</v>
          </cell>
          <cell r="D667">
            <v>2.2999999999999998</v>
          </cell>
          <cell r="E667">
            <v>78230</v>
          </cell>
          <cell r="F667">
            <v>1.6</v>
          </cell>
          <cell r="G667">
            <v>72250</v>
          </cell>
        </row>
        <row r="668">
          <cell r="A668" t="str">
            <v>33-9000</v>
          </cell>
          <cell r="B668" t="str">
            <v>Other Protective Service Workers</v>
          </cell>
          <cell r="C668">
            <v>1676920</v>
          </cell>
          <cell r="D668">
            <v>0.5</v>
          </cell>
          <cell r="E668">
            <v>40620</v>
          </cell>
          <cell r="F668">
            <v>0.3</v>
          </cell>
          <cell r="G668">
            <v>36920</v>
          </cell>
        </row>
        <row r="669">
          <cell r="A669" t="str">
            <v>33-9010</v>
          </cell>
          <cell r="B669" t="str">
            <v>Animal Control Workers</v>
          </cell>
          <cell r="C669">
            <v>11600</v>
          </cell>
          <cell r="D669">
            <v>2.4</v>
          </cell>
          <cell r="E669">
            <v>48150</v>
          </cell>
          <cell r="F669">
            <v>1.1000000000000001</v>
          </cell>
          <cell r="G669">
            <v>43170</v>
          </cell>
        </row>
        <row r="670">
          <cell r="A670" t="str">
            <v>33-9011</v>
          </cell>
          <cell r="B670" t="str">
            <v>Animal Control Workers</v>
          </cell>
          <cell r="C670">
            <v>11600</v>
          </cell>
          <cell r="D670">
            <v>2.4</v>
          </cell>
          <cell r="E670">
            <v>48150</v>
          </cell>
          <cell r="F670">
            <v>1.1000000000000001</v>
          </cell>
          <cell r="G670">
            <v>43170</v>
          </cell>
        </row>
        <row r="671">
          <cell r="A671" t="str">
            <v>33-9020</v>
          </cell>
          <cell r="B671" t="str">
            <v>Private Detectives and Investigators</v>
          </cell>
          <cell r="C671">
            <v>34600</v>
          </cell>
          <cell r="D671">
            <v>1.7</v>
          </cell>
          <cell r="E671">
            <v>60270</v>
          </cell>
          <cell r="F671">
            <v>0.9</v>
          </cell>
          <cell r="G671">
            <v>49540</v>
          </cell>
        </row>
        <row r="672">
          <cell r="A672" t="str">
            <v>33-9021</v>
          </cell>
          <cell r="B672" t="str">
            <v>Private Detectives and Investigators</v>
          </cell>
          <cell r="C672">
            <v>34600</v>
          </cell>
          <cell r="D672">
            <v>1.7</v>
          </cell>
          <cell r="E672">
            <v>60270</v>
          </cell>
          <cell r="F672">
            <v>0.9</v>
          </cell>
          <cell r="G672">
            <v>49540</v>
          </cell>
        </row>
        <row r="673">
          <cell r="A673" t="str">
            <v>33-9030</v>
          </cell>
          <cell r="B673" t="str">
            <v>Security Guards and Gambling Surveillance Officers</v>
          </cell>
          <cell r="C673">
            <v>1213610</v>
          </cell>
          <cell r="D673">
            <v>0.3</v>
          </cell>
          <cell r="E673">
            <v>40460</v>
          </cell>
          <cell r="F673">
            <v>0.4</v>
          </cell>
          <cell r="G673">
            <v>37090</v>
          </cell>
        </row>
        <row r="674">
          <cell r="A674" t="str">
            <v>33-9031</v>
          </cell>
          <cell r="B674" t="str">
            <v>Gambling Surveillance Officers and Gambling Investigators</v>
          </cell>
          <cell r="C674">
            <v>10660</v>
          </cell>
          <cell r="D674">
            <v>5.2</v>
          </cell>
          <cell r="E674">
            <v>42460</v>
          </cell>
          <cell r="F674">
            <v>0.8</v>
          </cell>
          <cell r="G674">
            <v>39210</v>
          </cell>
        </row>
        <row r="675">
          <cell r="A675" t="str">
            <v>33-9032</v>
          </cell>
          <cell r="B675" t="str">
            <v>Security Guards</v>
          </cell>
          <cell r="C675">
            <v>1202940</v>
          </cell>
          <cell r="D675">
            <v>0.3</v>
          </cell>
          <cell r="E675">
            <v>40440</v>
          </cell>
          <cell r="F675">
            <v>0.4</v>
          </cell>
          <cell r="G675">
            <v>37070</v>
          </cell>
        </row>
        <row r="676">
          <cell r="A676" t="str">
            <v>33-9090</v>
          </cell>
          <cell r="B676" t="str">
            <v>Miscellaneous Protective Service Workers</v>
          </cell>
          <cell r="C676">
            <v>417110</v>
          </cell>
          <cell r="D676">
            <v>1.3</v>
          </cell>
          <cell r="E676">
            <v>39270</v>
          </cell>
          <cell r="F676">
            <v>0.4</v>
          </cell>
          <cell r="G676">
            <v>35730</v>
          </cell>
        </row>
        <row r="677">
          <cell r="A677" t="str">
            <v>33-9091</v>
          </cell>
          <cell r="B677" t="str">
            <v>Crossing Guards and Flaggers</v>
          </cell>
          <cell r="C677">
            <v>90780</v>
          </cell>
          <cell r="D677">
            <v>2.9</v>
          </cell>
          <cell r="E677">
            <v>40650</v>
          </cell>
          <cell r="F677">
            <v>0.9</v>
          </cell>
          <cell r="G677">
            <v>36370</v>
          </cell>
        </row>
        <row r="678">
          <cell r="A678" t="str">
            <v>33-9092</v>
          </cell>
          <cell r="B678" t="str">
            <v>Lifeguards, Ski Patrol, and Other Recreational Protective Service Workers</v>
          </cell>
          <cell r="C678">
            <v>123560</v>
          </cell>
          <cell r="D678">
            <v>2.1</v>
          </cell>
          <cell r="E678">
            <v>31340</v>
          </cell>
          <cell r="F678">
            <v>0.4</v>
          </cell>
          <cell r="G678">
            <v>30380</v>
          </cell>
        </row>
        <row r="679">
          <cell r="A679" t="str">
            <v>33-9093</v>
          </cell>
          <cell r="B679" t="str">
            <v>Transportation Security Screeners</v>
          </cell>
          <cell r="C679">
            <v>47950</v>
          </cell>
          <cell r="D679">
            <v>1</v>
          </cell>
          <cell r="E679">
            <v>51040</v>
          </cell>
          <cell r="F679">
            <v>0.2</v>
          </cell>
          <cell r="G679">
            <v>50020</v>
          </cell>
        </row>
        <row r="680">
          <cell r="A680" t="str">
            <v>33-9094</v>
          </cell>
          <cell r="B680" t="str">
            <v>School Bus Monitors</v>
          </cell>
          <cell r="C680">
            <v>72320</v>
          </cell>
          <cell r="D680">
            <v>1.4</v>
          </cell>
          <cell r="E680">
            <v>33970</v>
          </cell>
          <cell r="F680">
            <v>0.4</v>
          </cell>
          <cell r="G680">
            <v>33130</v>
          </cell>
        </row>
        <row r="681">
          <cell r="A681" t="str">
            <v>33-9099</v>
          </cell>
          <cell r="B681" t="str">
            <v>Protective Service Workers, All Other</v>
          </cell>
          <cell r="C681">
            <v>82500</v>
          </cell>
          <cell r="D681">
            <v>1.9</v>
          </cell>
          <cell r="E681">
            <v>47420</v>
          </cell>
          <cell r="F681">
            <v>1.5</v>
          </cell>
          <cell r="G681">
            <v>39360</v>
          </cell>
        </row>
        <row r="682">
          <cell r="A682" t="str">
            <v>35-0000</v>
          </cell>
          <cell r="B682" t="str">
            <v>Food Preparation and Serving Related Occupations</v>
          </cell>
          <cell r="C682">
            <v>13247870</v>
          </cell>
          <cell r="D682">
            <v>0.2</v>
          </cell>
          <cell r="E682">
            <v>34490</v>
          </cell>
          <cell r="F682">
            <v>0.4</v>
          </cell>
          <cell r="G682">
            <v>32240</v>
          </cell>
        </row>
        <row r="683">
          <cell r="A683" t="str">
            <v>35-1000</v>
          </cell>
          <cell r="B683" t="str">
            <v>Supervisors of Food Preparation and Serving Workers</v>
          </cell>
          <cell r="C683">
            <v>1348910</v>
          </cell>
          <cell r="D683">
            <v>0.6</v>
          </cell>
          <cell r="E683">
            <v>45780</v>
          </cell>
          <cell r="F683">
            <v>0.4</v>
          </cell>
          <cell r="G683">
            <v>40950</v>
          </cell>
        </row>
        <row r="684">
          <cell r="A684" t="str">
            <v>35-1010</v>
          </cell>
          <cell r="B684" t="str">
            <v>Supervisors of Food Preparation and Serving Workers</v>
          </cell>
          <cell r="C684">
            <v>1348910</v>
          </cell>
          <cell r="D684">
            <v>0.6</v>
          </cell>
          <cell r="E684">
            <v>45780</v>
          </cell>
          <cell r="F684">
            <v>0.4</v>
          </cell>
          <cell r="G684">
            <v>40950</v>
          </cell>
        </row>
        <row r="685">
          <cell r="A685" t="str">
            <v>35-1011</v>
          </cell>
          <cell r="B685" t="str">
            <v>Chefs and Head Cooks</v>
          </cell>
          <cell r="C685">
            <v>172370</v>
          </cell>
          <cell r="D685">
            <v>3.1</v>
          </cell>
          <cell r="E685">
            <v>62640</v>
          </cell>
          <cell r="F685">
            <v>0.9</v>
          </cell>
          <cell r="G685">
            <v>58920</v>
          </cell>
        </row>
        <row r="686">
          <cell r="A686" t="str">
            <v>35-1012</v>
          </cell>
          <cell r="B686" t="str">
            <v>First-Line Supervisors of Food Preparation and Serving Workers</v>
          </cell>
          <cell r="C686">
            <v>1176540</v>
          </cell>
          <cell r="D686">
            <v>0.6</v>
          </cell>
          <cell r="E686">
            <v>43310</v>
          </cell>
          <cell r="F686">
            <v>0.4</v>
          </cell>
          <cell r="G686">
            <v>38520</v>
          </cell>
        </row>
        <row r="687">
          <cell r="A687" t="str">
            <v>35-2000</v>
          </cell>
          <cell r="B687" t="str">
            <v>Cooks and Food Preparation Workers</v>
          </cell>
          <cell r="C687">
            <v>3546860</v>
          </cell>
          <cell r="D687">
            <v>0.5</v>
          </cell>
          <cell r="E687">
            <v>34010</v>
          </cell>
          <cell r="F687">
            <v>0.4</v>
          </cell>
          <cell r="G687">
            <v>34020</v>
          </cell>
        </row>
        <row r="688">
          <cell r="A688" t="str">
            <v>35-2010</v>
          </cell>
          <cell r="B688" t="str">
            <v>Cooks</v>
          </cell>
          <cell r="C688">
            <v>2667250</v>
          </cell>
          <cell r="D688">
            <v>0.6</v>
          </cell>
          <cell r="E688">
            <v>34360</v>
          </cell>
          <cell r="F688">
            <v>0.4</v>
          </cell>
          <cell r="G688">
            <v>34320</v>
          </cell>
        </row>
        <row r="689">
          <cell r="A689" t="str">
            <v>35-2011</v>
          </cell>
          <cell r="B689" t="str">
            <v>Cooks, Fast Food</v>
          </cell>
          <cell r="C689">
            <v>673490</v>
          </cell>
          <cell r="D689">
            <v>1.9</v>
          </cell>
          <cell r="E689">
            <v>29760</v>
          </cell>
          <cell r="F689">
            <v>0.6</v>
          </cell>
          <cell r="G689">
            <v>29260</v>
          </cell>
        </row>
        <row r="690">
          <cell r="A690" t="str">
            <v>35-2012</v>
          </cell>
          <cell r="B690" t="str">
            <v>Cooks, Institution and Cafeteria</v>
          </cell>
          <cell r="C690">
            <v>435640</v>
          </cell>
          <cell r="D690">
            <v>1</v>
          </cell>
          <cell r="E690">
            <v>35920</v>
          </cell>
          <cell r="F690">
            <v>0.4</v>
          </cell>
          <cell r="G690">
            <v>35320</v>
          </cell>
        </row>
        <row r="691">
          <cell r="A691" t="str">
            <v>35-2013</v>
          </cell>
          <cell r="B691" t="str">
            <v>Cooks, Private Household</v>
          </cell>
          <cell r="C691">
            <v>740</v>
          </cell>
          <cell r="D691">
            <v>29.6</v>
          </cell>
          <cell r="E691">
            <v>49790</v>
          </cell>
          <cell r="F691">
            <v>11.8</v>
          </cell>
          <cell r="G691">
            <v>42590</v>
          </cell>
        </row>
        <row r="692">
          <cell r="A692" t="str">
            <v>35-2014</v>
          </cell>
          <cell r="B692" t="str">
            <v>Cooks, Restaurant</v>
          </cell>
          <cell r="C692">
            <v>1412350</v>
          </cell>
          <cell r="D692">
            <v>0.8</v>
          </cell>
          <cell r="E692">
            <v>36060</v>
          </cell>
          <cell r="F692">
            <v>0.4</v>
          </cell>
          <cell r="G692">
            <v>35780</v>
          </cell>
        </row>
        <row r="693">
          <cell r="A693" t="str">
            <v>35-2015</v>
          </cell>
          <cell r="B693" t="str">
            <v>Cooks, Short Order</v>
          </cell>
          <cell r="C693">
            <v>126370</v>
          </cell>
          <cell r="D693">
            <v>5</v>
          </cell>
          <cell r="E693">
            <v>33920</v>
          </cell>
          <cell r="F693">
            <v>1.1000000000000001</v>
          </cell>
          <cell r="G693">
            <v>34130</v>
          </cell>
        </row>
        <row r="694">
          <cell r="A694" t="str">
            <v>35-2019</v>
          </cell>
          <cell r="B694" t="str">
            <v>Cooks, All Other</v>
          </cell>
          <cell r="C694">
            <v>18650</v>
          </cell>
          <cell r="D694">
            <v>5.8</v>
          </cell>
          <cell r="E694">
            <v>37610</v>
          </cell>
          <cell r="F694">
            <v>1.6</v>
          </cell>
          <cell r="G694">
            <v>35920</v>
          </cell>
        </row>
        <row r="695">
          <cell r="A695" t="str">
            <v>35-2020</v>
          </cell>
          <cell r="B695" t="str">
            <v>Food Preparation Workers</v>
          </cell>
          <cell r="C695">
            <v>879610</v>
          </cell>
          <cell r="D695">
            <v>1.2</v>
          </cell>
          <cell r="E695">
            <v>32960</v>
          </cell>
          <cell r="F695">
            <v>0.4</v>
          </cell>
          <cell r="G695">
            <v>32420</v>
          </cell>
        </row>
        <row r="696">
          <cell r="A696" t="str">
            <v>35-2021</v>
          </cell>
          <cell r="B696" t="str">
            <v>Food Preparation Workers</v>
          </cell>
          <cell r="C696">
            <v>879610</v>
          </cell>
          <cell r="D696">
            <v>1.2</v>
          </cell>
          <cell r="E696">
            <v>32960</v>
          </cell>
          <cell r="F696">
            <v>0.4</v>
          </cell>
          <cell r="G696">
            <v>32420</v>
          </cell>
        </row>
        <row r="697">
          <cell r="A697" t="str">
            <v>35-3000</v>
          </cell>
          <cell r="B697" t="str">
            <v>Food and Beverage Serving Workers</v>
          </cell>
          <cell r="C697">
            <v>6893410</v>
          </cell>
          <cell r="D697">
            <v>0.4</v>
          </cell>
          <cell r="E697">
            <v>33060</v>
          </cell>
          <cell r="F697">
            <v>0.5</v>
          </cell>
          <cell r="G697">
            <v>30160</v>
          </cell>
        </row>
        <row r="698">
          <cell r="A698" t="str">
            <v>35-3010</v>
          </cell>
          <cell r="B698" t="str">
            <v>Bartenders</v>
          </cell>
          <cell r="C698">
            <v>711140</v>
          </cell>
          <cell r="D698">
            <v>1</v>
          </cell>
          <cell r="E698">
            <v>37090</v>
          </cell>
          <cell r="F698">
            <v>0.7</v>
          </cell>
          <cell r="G698">
            <v>31510</v>
          </cell>
        </row>
        <row r="699">
          <cell r="A699" t="str">
            <v>35-3011</v>
          </cell>
          <cell r="B699" t="str">
            <v>Bartenders</v>
          </cell>
          <cell r="C699">
            <v>711140</v>
          </cell>
          <cell r="D699">
            <v>1</v>
          </cell>
          <cell r="E699">
            <v>37090</v>
          </cell>
          <cell r="F699">
            <v>0.7</v>
          </cell>
          <cell r="G699">
            <v>31510</v>
          </cell>
        </row>
        <row r="700">
          <cell r="A700" t="str">
            <v>35-3020</v>
          </cell>
          <cell r="B700" t="str">
            <v>Fast Food and Counter Workers</v>
          </cell>
          <cell r="C700">
            <v>3676580</v>
          </cell>
          <cell r="D700">
            <v>0.6</v>
          </cell>
          <cell r="E700">
            <v>30110</v>
          </cell>
          <cell r="F700">
            <v>0.6</v>
          </cell>
          <cell r="G700">
            <v>29540</v>
          </cell>
        </row>
        <row r="701">
          <cell r="A701" t="str">
            <v>35-3023</v>
          </cell>
          <cell r="B701" t="str">
            <v>Fast Food and Counter Workers</v>
          </cell>
          <cell r="C701">
            <v>3676580</v>
          </cell>
          <cell r="D701">
            <v>0.6</v>
          </cell>
          <cell r="E701">
            <v>30110</v>
          </cell>
          <cell r="F701">
            <v>0.6</v>
          </cell>
          <cell r="G701">
            <v>29540</v>
          </cell>
        </row>
        <row r="702">
          <cell r="A702" t="str">
            <v>35-3030</v>
          </cell>
          <cell r="B702" t="str">
            <v>Waiters and Waitresses</v>
          </cell>
          <cell r="C702">
            <v>2237850</v>
          </cell>
          <cell r="D702">
            <v>0.8</v>
          </cell>
          <cell r="E702">
            <v>36530</v>
          </cell>
          <cell r="F702">
            <v>0.7</v>
          </cell>
          <cell r="G702">
            <v>31940</v>
          </cell>
        </row>
        <row r="703">
          <cell r="A703" t="str">
            <v>35-3031</v>
          </cell>
          <cell r="B703" t="str">
            <v>Waiters and Waitresses</v>
          </cell>
          <cell r="C703">
            <v>2237850</v>
          </cell>
          <cell r="D703">
            <v>0.8</v>
          </cell>
          <cell r="E703">
            <v>36530</v>
          </cell>
          <cell r="F703">
            <v>0.7</v>
          </cell>
          <cell r="G703">
            <v>31940</v>
          </cell>
        </row>
        <row r="704">
          <cell r="A704" t="str">
            <v>35-3040</v>
          </cell>
          <cell r="B704" t="str">
            <v>Food Servers, Nonrestaurant</v>
          </cell>
          <cell r="C704">
            <v>267840</v>
          </cell>
          <cell r="D704">
            <v>1.1000000000000001</v>
          </cell>
          <cell r="E704">
            <v>33840</v>
          </cell>
          <cell r="F704">
            <v>0.5</v>
          </cell>
          <cell r="G704">
            <v>33110</v>
          </cell>
        </row>
        <row r="705">
          <cell r="A705" t="str">
            <v>35-3041</v>
          </cell>
          <cell r="B705" t="str">
            <v>Food Servers, Nonrestaurant</v>
          </cell>
          <cell r="C705">
            <v>267840</v>
          </cell>
          <cell r="D705">
            <v>1.1000000000000001</v>
          </cell>
          <cell r="E705">
            <v>33840</v>
          </cell>
          <cell r="F705">
            <v>0.5</v>
          </cell>
          <cell r="G705">
            <v>33110</v>
          </cell>
        </row>
        <row r="706">
          <cell r="A706" t="str">
            <v>35-9000</v>
          </cell>
          <cell r="B706" t="str">
            <v>Other Food Preparation and Serving Related Workers</v>
          </cell>
          <cell r="C706">
            <v>1458690</v>
          </cell>
          <cell r="D706">
            <v>0.8</v>
          </cell>
          <cell r="E706">
            <v>31970</v>
          </cell>
          <cell r="F706">
            <v>0.5</v>
          </cell>
          <cell r="G706">
            <v>30620</v>
          </cell>
        </row>
        <row r="707">
          <cell r="A707" t="str">
            <v>35-9010</v>
          </cell>
          <cell r="B707" t="str">
            <v>Dining Room and Cafeteria Attendants and Bartender Helpers</v>
          </cell>
          <cell r="C707">
            <v>483390</v>
          </cell>
          <cell r="D707">
            <v>2.5</v>
          </cell>
          <cell r="E707">
            <v>32730</v>
          </cell>
          <cell r="F707">
            <v>0.7</v>
          </cell>
          <cell r="G707">
            <v>31180</v>
          </cell>
        </row>
        <row r="708">
          <cell r="A708" t="str">
            <v>35-9011</v>
          </cell>
          <cell r="B708" t="str">
            <v>Dining Room and Cafeteria Attendants and Bartender Helpers</v>
          </cell>
          <cell r="C708">
            <v>483390</v>
          </cell>
          <cell r="D708">
            <v>2.5</v>
          </cell>
          <cell r="E708">
            <v>32730</v>
          </cell>
          <cell r="F708">
            <v>0.7</v>
          </cell>
          <cell r="G708">
            <v>31180</v>
          </cell>
        </row>
        <row r="709">
          <cell r="A709" t="str">
            <v>35-9020</v>
          </cell>
          <cell r="B709" t="str">
            <v>Dishwashers</v>
          </cell>
          <cell r="C709">
            <v>463940</v>
          </cell>
          <cell r="D709">
            <v>1.4</v>
          </cell>
          <cell r="E709">
            <v>31650</v>
          </cell>
          <cell r="F709">
            <v>0.5</v>
          </cell>
          <cell r="G709">
            <v>31200</v>
          </cell>
        </row>
        <row r="710">
          <cell r="A710" t="str">
            <v>35-9021</v>
          </cell>
          <cell r="B710" t="str">
            <v>Dishwashers</v>
          </cell>
          <cell r="C710">
            <v>463940</v>
          </cell>
          <cell r="D710">
            <v>1.4</v>
          </cell>
          <cell r="E710">
            <v>31650</v>
          </cell>
          <cell r="F710">
            <v>0.5</v>
          </cell>
          <cell r="G710">
            <v>31200</v>
          </cell>
        </row>
        <row r="711">
          <cell r="A711" t="str">
            <v>35-9030</v>
          </cell>
          <cell r="B711" t="str">
            <v>Hosts and Hostesses, Restaurant, Lounge, and Coffee Shop</v>
          </cell>
          <cell r="C711">
            <v>425020</v>
          </cell>
          <cell r="D711">
            <v>1.2</v>
          </cell>
          <cell r="E711">
            <v>30750</v>
          </cell>
          <cell r="F711">
            <v>0.5</v>
          </cell>
          <cell r="G711">
            <v>29220</v>
          </cell>
        </row>
        <row r="712">
          <cell r="A712" t="str">
            <v>35-9031</v>
          </cell>
          <cell r="B712" t="str">
            <v>Hosts and Hostesses, Restaurant, Lounge, and Coffee Shop</v>
          </cell>
          <cell r="C712">
            <v>425020</v>
          </cell>
          <cell r="D712">
            <v>1.2</v>
          </cell>
          <cell r="E712">
            <v>30750</v>
          </cell>
          <cell r="F712">
            <v>0.5</v>
          </cell>
          <cell r="G712">
            <v>29220</v>
          </cell>
        </row>
        <row r="713">
          <cell r="A713" t="str">
            <v>35-9090</v>
          </cell>
          <cell r="B713" t="str">
            <v>Miscellaneous Food Preparation and Serving Related Workers</v>
          </cell>
          <cell r="C713">
            <v>86350</v>
          </cell>
          <cell r="D713">
            <v>3.8</v>
          </cell>
          <cell r="E713">
            <v>35430</v>
          </cell>
          <cell r="F713">
            <v>1.3</v>
          </cell>
          <cell r="G713">
            <v>33870</v>
          </cell>
        </row>
        <row r="714">
          <cell r="A714" t="str">
            <v>35-9099</v>
          </cell>
          <cell r="B714" t="str">
            <v>Food Preparation and Serving Related Workers, All Other</v>
          </cell>
          <cell r="C714">
            <v>86350</v>
          </cell>
          <cell r="D714">
            <v>3.8</v>
          </cell>
          <cell r="E714">
            <v>35430</v>
          </cell>
          <cell r="F714">
            <v>1.3</v>
          </cell>
          <cell r="G714">
            <v>33870</v>
          </cell>
        </row>
        <row r="715">
          <cell r="A715" t="str">
            <v>37-0000</v>
          </cell>
          <cell r="B715" t="str">
            <v>Building and Grounds Cleaning and Maintenance Occupations</v>
          </cell>
          <cell r="C715">
            <v>4429070</v>
          </cell>
          <cell r="D715">
            <v>0.4</v>
          </cell>
          <cell r="E715">
            <v>38320</v>
          </cell>
          <cell r="F715">
            <v>0.3</v>
          </cell>
          <cell r="G715">
            <v>35990</v>
          </cell>
        </row>
        <row r="716">
          <cell r="A716" t="str">
            <v>37-1000</v>
          </cell>
          <cell r="B716" t="str">
            <v>Supervisors of Building and Grounds Cleaning and Maintenance Workers</v>
          </cell>
          <cell r="C716">
            <v>297150</v>
          </cell>
          <cell r="D716">
            <v>0.6</v>
          </cell>
          <cell r="E716">
            <v>53770</v>
          </cell>
          <cell r="F716">
            <v>0.4</v>
          </cell>
          <cell r="G716">
            <v>49310</v>
          </cell>
        </row>
        <row r="717">
          <cell r="A717" t="str">
            <v>37-1010</v>
          </cell>
          <cell r="B717" t="str">
            <v>First-Line Supervisors of Building and Grounds Cleaning and Maintenance Workers</v>
          </cell>
          <cell r="C717">
            <v>297150</v>
          </cell>
          <cell r="D717">
            <v>0.6</v>
          </cell>
          <cell r="E717">
            <v>53770</v>
          </cell>
          <cell r="F717">
            <v>0.4</v>
          </cell>
          <cell r="G717">
            <v>49310</v>
          </cell>
        </row>
        <row r="718">
          <cell r="A718" t="str">
            <v>37-1011</v>
          </cell>
          <cell r="B718" t="str">
            <v>First-Line Supervisors of Housekeeping and Janitorial Workers</v>
          </cell>
          <cell r="C718">
            <v>171120</v>
          </cell>
          <cell r="D718">
            <v>0.6</v>
          </cell>
          <cell r="E718">
            <v>49980</v>
          </cell>
          <cell r="F718">
            <v>0.4</v>
          </cell>
          <cell r="G718">
            <v>46650</v>
          </cell>
        </row>
        <row r="719">
          <cell r="A719" t="str">
            <v>37-1012</v>
          </cell>
          <cell r="B719" t="str">
            <v>First-Line Supervisors of Landscaping, Lawn Service, and Groundskeeping Workers</v>
          </cell>
          <cell r="C719">
            <v>126020</v>
          </cell>
          <cell r="D719">
            <v>1.2</v>
          </cell>
          <cell r="E719">
            <v>58920</v>
          </cell>
          <cell r="F719">
            <v>0.5</v>
          </cell>
          <cell r="G719">
            <v>55740</v>
          </cell>
        </row>
        <row r="720">
          <cell r="A720" t="str">
            <v>37-2000</v>
          </cell>
          <cell r="B720" t="str">
            <v>Building Cleaning and Pest Control Workers</v>
          </cell>
          <cell r="C720">
            <v>3116220</v>
          </cell>
          <cell r="D720">
            <v>0.5</v>
          </cell>
          <cell r="E720">
            <v>36100</v>
          </cell>
          <cell r="F720">
            <v>0.3</v>
          </cell>
          <cell r="G720">
            <v>34780</v>
          </cell>
        </row>
        <row r="721">
          <cell r="A721" t="str">
            <v>37-2010</v>
          </cell>
          <cell r="B721" t="str">
            <v>Building Cleaning Workers</v>
          </cell>
          <cell r="C721">
            <v>3022470</v>
          </cell>
          <cell r="D721">
            <v>0.5</v>
          </cell>
          <cell r="E721">
            <v>35840</v>
          </cell>
          <cell r="F721">
            <v>0.3</v>
          </cell>
          <cell r="G721">
            <v>34600</v>
          </cell>
        </row>
        <row r="722">
          <cell r="A722" t="str">
            <v>37-2011</v>
          </cell>
          <cell r="B722" t="str">
            <v>Janitors and Cleaners, Except Maids and Housekeeping Cleaners</v>
          </cell>
          <cell r="C722">
            <v>2172500</v>
          </cell>
          <cell r="D722">
            <v>0.3</v>
          </cell>
          <cell r="E722">
            <v>36250</v>
          </cell>
          <cell r="F722">
            <v>0.3</v>
          </cell>
          <cell r="G722">
            <v>35020</v>
          </cell>
        </row>
        <row r="723">
          <cell r="A723" t="str">
            <v>37-2012</v>
          </cell>
          <cell r="B723" t="str">
            <v>Maids and Housekeeping Cleaners</v>
          </cell>
          <cell r="C723">
            <v>836230</v>
          </cell>
          <cell r="D723">
            <v>1.2</v>
          </cell>
          <cell r="E723">
            <v>34650</v>
          </cell>
          <cell r="F723">
            <v>0.5</v>
          </cell>
          <cell r="G723">
            <v>33450</v>
          </cell>
        </row>
        <row r="724">
          <cell r="A724" t="str">
            <v>37-2019</v>
          </cell>
          <cell r="B724" t="str">
            <v>Building Cleaning Workers, All Other</v>
          </cell>
          <cell r="C724">
            <v>13740</v>
          </cell>
          <cell r="D724">
            <v>5.9</v>
          </cell>
          <cell r="E724">
            <v>43740</v>
          </cell>
          <cell r="F724">
            <v>1.9</v>
          </cell>
          <cell r="G724">
            <v>39900</v>
          </cell>
        </row>
        <row r="725">
          <cell r="A725" t="str">
            <v>37-2020</v>
          </cell>
          <cell r="B725" t="str">
            <v>Pest Control Workers</v>
          </cell>
          <cell r="C725">
            <v>93760</v>
          </cell>
          <cell r="D725">
            <v>0.9</v>
          </cell>
          <cell r="E725">
            <v>44650</v>
          </cell>
          <cell r="F725">
            <v>0.5</v>
          </cell>
          <cell r="G725">
            <v>43470</v>
          </cell>
        </row>
        <row r="726">
          <cell r="A726" t="str">
            <v>37-2021</v>
          </cell>
          <cell r="B726" t="str">
            <v>Pest Control Workers</v>
          </cell>
          <cell r="C726">
            <v>93760</v>
          </cell>
          <cell r="D726">
            <v>0.9</v>
          </cell>
          <cell r="E726">
            <v>44650</v>
          </cell>
          <cell r="F726">
            <v>0.5</v>
          </cell>
          <cell r="G726">
            <v>43470</v>
          </cell>
        </row>
        <row r="727">
          <cell r="A727" t="str">
            <v>37-3000</v>
          </cell>
          <cell r="B727" t="str">
            <v>Grounds Maintenance Workers</v>
          </cell>
          <cell r="C727">
            <v>1015700</v>
          </cell>
          <cell r="D727">
            <v>0.5</v>
          </cell>
          <cell r="E727">
            <v>40620</v>
          </cell>
          <cell r="F727">
            <v>0.3</v>
          </cell>
          <cell r="G727">
            <v>37690</v>
          </cell>
        </row>
        <row r="728">
          <cell r="A728" t="str">
            <v>37-3010</v>
          </cell>
          <cell r="B728" t="str">
            <v>Grounds Maintenance Workers</v>
          </cell>
          <cell r="C728">
            <v>1015700</v>
          </cell>
          <cell r="D728">
            <v>0.5</v>
          </cell>
          <cell r="E728">
            <v>40620</v>
          </cell>
          <cell r="F728">
            <v>0.3</v>
          </cell>
          <cell r="G728">
            <v>37690</v>
          </cell>
        </row>
        <row r="729">
          <cell r="A729" t="str">
            <v>37-3011</v>
          </cell>
          <cell r="B729" t="str">
            <v>Landscaping and Groundskeeping Workers</v>
          </cell>
          <cell r="C729">
            <v>929930</v>
          </cell>
          <cell r="D729">
            <v>0.5</v>
          </cell>
          <cell r="E729">
            <v>39790</v>
          </cell>
          <cell r="F729">
            <v>0.3</v>
          </cell>
          <cell r="G729">
            <v>37360</v>
          </cell>
        </row>
        <row r="730">
          <cell r="A730" t="str">
            <v>37-3012</v>
          </cell>
          <cell r="B730" t="str">
            <v>Pesticide Handlers, Sprayers, and Applicators, Vegetation</v>
          </cell>
          <cell r="C730">
            <v>23520</v>
          </cell>
          <cell r="D730">
            <v>4.4000000000000004</v>
          </cell>
          <cell r="E730">
            <v>44480</v>
          </cell>
          <cell r="F730">
            <v>0.9</v>
          </cell>
          <cell r="G730">
            <v>44070</v>
          </cell>
        </row>
        <row r="731">
          <cell r="A731" t="str">
            <v>37-3013</v>
          </cell>
          <cell r="B731" t="str">
            <v>Tree Trimmers and Pruners</v>
          </cell>
          <cell r="C731">
            <v>50270</v>
          </cell>
          <cell r="D731">
            <v>4.0999999999999996</v>
          </cell>
          <cell r="E731">
            <v>52850</v>
          </cell>
          <cell r="F731">
            <v>1.5</v>
          </cell>
          <cell r="G731">
            <v>49070</v>
          </cell>
        </row>
        <row r="732">
          <cell r="A732" t="str">
            <v>37-3019</v>
          </cell>
          <cell r="B732" t="str">
            <v>Grounds Maintenance Workers, All Other</v>
          </cell>
          <cell r="C732">
            <v>11980</v>
          </cell>
          <cell r="D732">
            <v>7.4</v>
          </cell>
          <cell r="E732">
            <v>46540</v>
          </cell>
          <cell r="F732">
            <v>1.4</v>
          </cell>
          <cell r="G732">
            <v>43310</v>
          </cell>
        </row>
        <row r="733">
          <cell r="A733" t="str">
            <v>39-0000</v>
          </cell>
          <cell r="B733" t="str">
            <v>Personal Care and Service Occupations</v>
          </cell>
          <cell r="C733">
            <v>3040630</v>
          </cell>
          <cell r="D733">
            <v>0.6</v>
          </cell>
          <cell r="E733">
            <v>38430</v>
          </cell>
          <cell r="F733">
            <v>0.5</v>
          </cell>
          <cell r="G733">
            <v>34260</v>
          </cell>
        </row>
        <row r="734">
          <cell r="A734" t="str">
            <v>39-1000</v>
          </cell>
          <cell r="B734" t="str">
            <v>Supervisors of Personal Care and Service Workers</v>
          </cell>
          <cell r="C734">
            <v>219680</v>
          </cell>
          <cell r="D734">
            <v>1.1000000000000001</v>
          </cell>
          <cell r="E734">
            <v>51690</v>
          </cell>
          <cell r="F734">
            <v>0.5</v>
          </cell>
          <cell r="G734">
            <v>47550</v>
          </cell>
        </row>
        <row r="735">
          <cell r="A735" t="str">
            <v>39-1010</v>
          </cell>
          <cell r="B735" t="str">
            <v>First-Line Supervisors of Entertainment and Recreation Workers</v>
          </cell>
          <cell r="C735">
            <v>113230</v>
          </cell>
          <cell r="D735">
            <v>0.8</v>
          </cell>
          <cell r="E735">
            <v>53190</v>
          </cell>
          <cell r="F735">
            <v>0.5</v>
          </cell>
          <cell r="G735">
            <v>48430</v>
          </cell>
        </row>
        <row r="736">
          <cell r="A736" t="str">
            <v>39-1013</v>
          </cell>
          <cell r="B736" t="str">
            <v>First-Line Supervisors of Gambling Services Workers</v>
          </cell>
          <cell r="C736">
            <v>25100</v>
          </cell>
          <cell r="D736">
            <v>0.9</v>
          </cell>
          <cell r="E736">
            <v>62110</v>
          </cell>
          <cell r="F736">
            <v>0.6</v>
          </cell>
          <cell r="G736">
            <v>61210</v>
          </cell>
        </row>
        <row r="737">
          <cell r="A737" t="str">
            <v>39-1014</v>
          </cell>
          <cell r="B737" t="str">
            <v>First-Line Supervisors of Entertainment and Recreation Workers, Except Gambling Services</v>
          </cell>
          <cell r="C737">
            <v>88140</v>
          </cell>
          <cell r="D737">
            <v>1.1000000000000001</v>
          </cell>
          <cell r="E737">
            <v>50650</v>
          </cell>
          <cell r="F737">
            <v>0.6</v>
          </cell>
          <cell r="G737">
            <v>46060</v>
          </cell>
        </row>
        <row r="738">
          <cell r="A738" t="str">
            <v>39-1020</v>
          </cell>
          <cell r="B738" t="str">
            <v>First-Line Supervisors of Personal Service Workers</v>
          </cell>
          <cell r="C738">
            <v>106440</v>
          </cell>
          <cell r="D738">
            <v>1.7</v>
          </cell>
          <cell r="E738">
            <v>50090</v>
          </cell>
          <cell r="F738">
            <v>0.6</v>
          </cell>
          <cell r="G738">
            <v>46690</v>
          </cell>
        </row>
        <row r="739">
          <cell r="A739" t="str">
            <v>39-1022</v>
          </cell>
          <cell r="B739" t="str">
            <v>First-Line Supervisors of Personal Service Workers</v>
          </cell>
          <cell r="C739">
            <v>106440</v>
          </cell>
          <cell r="D739">
            <v>1.7</v>
          </cell>
          <cell r="E739">
            <v>50090</v>
          </cell>
          <cell r="F739">
            <v>0.6</v>
          </cell>
          <cell r="G739">
            <v>46690</v>
          </cell>
        </row>
        <row r="740">
          <cell r="A740" t="str">
            <v>39-2000</v>
          </cell>
          <cell r="B740" t="str">
            <v>Animal Care and Service Workers</v>
          </cell>
          <cell r="C740">
            <v>288060</v>
          </cell>
          <cell r="D740">
            <v>2.8</v>
          </cell>
          <cell r="E740">
            <v>34290</v>
          </cell>
          <cell r="F740">
            <v>0.5</v>
          </cell>
          <cell r="G740">
            <v>31830</v>
          </cell>
        </row>
        <row r="741">
          <cell r="A741" t="str">
            <v>39-2010</v>
          </cell>
          <cell r="B741" t="str">
            <v>Animal Trainers</v>
          </cell>
          <cell r="C741">
            <v>19240</v>
          </cell>
          <cell r="D741">
            <v>3.5</v>
          </cell>
          <cell r="E741">
            <v>44910</v>
          </cell>
          <cell r="F741">
            <v>1.6</v>
          </cell>
          <cell r="G741">
            <v>38810</v>
          </cell>
        </row>
        <row r="742">
          <cell r="A742" t="str">
            <v>39-2011</v>
          </cell>
          <cell r="B742" t="str">
            <v>Animal Trainers</v>
          </cell>
          <cell r="C742">
            <v>19240</v>
          </cell>
          <cell r="D742">
            <v>3.5</v>
          </cell>
          <cell r="E742">
            <v>44910</v>
          </cell>
          <cell r="F742">
            <v>1.6</v>
          </cell>
          <cell r="G742">
            <v>38810</v>
          </cell>
        </row>
        <row r="743">
          <cell r="A743" t="str">
            <v>39-2020</v>
          </cell>
          <cell r="B743" t="str">
            <v>Animal Caretakers</v>
          </cell>
          <cell r="C743">
            <v>268830</v>
          </cell>
          <cell r="D743">
            <v>3</v>
          </cell>
          <cell r="E743">
            <v>33530</v>
          </cell>
          <cell r="F743">
            <v>0.5</v>
          </cell>
          <cell r="G743">
            <v>31200</v>
          </cell>
        </row>
        <row r="744">
          <cell r="A744" t="str">
            <v>39-2021</v>
          </cell>
          <cell r="B744" t="str">
            <v>Animal Caretakers</v>
          </cell>
          <cell r="C744">
            <v>268830</v>
          </cell>
          <cell r="D744">
            <v>3</v>
          </cell>
          <cell r="E744">
            <v>33530</v>
          </cell>
          <cell r="F744">
            <v>0.5</v>
          </cell>
          <cell r="G744">
            <v>31200</v>
          </cell>
        </row>
        <row r="745">
          <cell r="A745" t="str">
            <v>39-3000</v>
          </cell>
          <cell r="B745" t="str">
            <v>Entertainment Attendants and Related Workers</v>
          </cell>
          <cell r="C745">
            <v>612760</v>
          </cell>
          <cell r="D745">
            <v>0.6</v>
          </cell>
          <cell r="E745">
            <v>32250</v>
          </cell>
          <cell r="F745">
            <v>0.5</v>
          </cell>
          <cell r="G745">
            <v>29840</v>
          </cell>
        </row>
        <row r="746">
          <cell r="A746" t="str">
            <v>39-3010</v>
          </cell>
          <cell r="B746" t="str">
            <v>Gambling Services Workers</v>
          </cell>
          <cell r="C746">
            <v>102570</v>
          </cell>
          <cell r="D746">
            <v>1.1000000000000001</v>
          </cell>
          <cell r="E746">
            <v>38790</v>
          </cell>
          <cell r="F746">
            <v>0.9</v>
          </cell>
          <cell r="G746">
            <v>32240</v>
          </cell>
        </row>
        <row r="747">
          <cell r="A747" t="str">
            <v>39-3011</v>
          </cell>
          <cell r="B747" t="str">
            <v>Gambling Dealers</v>
          </cell>
          <cell r="C747">
            <v>80570</v>
          </cell>
          <cell r="D747">
            <v>1.1000000000000001</v>
          </cell>
          <cell r="E747">
            <v>40030</v>
          </cell>
          <cell r="F747">
            <v>1</v>
          </cell>
          <cell r="G747">
            <v>32240</v>
          </cell>
        </row>
        <row r="748">
          <cell r="A748" t="str">
            <v>39-3012</v>
          </cell>
          <cell r="B748" t="str">
            <v>Gambling and Sports Book Writers and Runners</v>
          </cell>
          <cell r="C748">
            <v>8700</v>
          </cell>
          <cell r="D748">
            <v>4.3</v>
          </cell>
          <cell r="E748">
            <v>32030</v>
          </cell>
          <cell r="F748">
            <v>1.6</v>
          </cell>
          <cell r="G748">
            <v>29170</v>
          </cell>
        </row>
        <row r="749">
          <cell r="A749" t="str">
            <v>39-3019</v>
          </cell>
          <cell r="B749" t="str">
            <v>Gambling Service Workers, All Other</v>
          </cell>
          <cell r="C749">
            <v>13300</v>
          </cell>
          <cell r="D749">
            <v>3.9</v>
          </cell>
          <cell r="E749">
            <v>35650</v>
          </cell>
          <cell r="F749">
            <v>1.5</v>
          </cell>
          <cell r="G749">
            <v>32710</v>
          </cell>
        </row>
        <row r="750">
          <cell r="A750" t="str">
            <v>39-3020</v>
          </cell>
          <cell r="B750" t="str">
            <v>Motion Picture Projectionists</v>
          </cell>
          <cell r="C750">
            <v>2610</v>
          </cell>
          <cell r="D750">
            <v>10.1</v>
          </cell>
          <cell r="E750">
            <v>43800</v>
          </cell>
          <cell r="F750">
            <v>3.7</v>
          </cell>
          <cell r="G750">
            <v>35160</v>
          </cell>
        </row>
        <row r="751">
          <cell r="A751" t="str">
            <v>39-3021</v>
          </cell>
          <cell r="B751" t="str">
            <v>Motion Picture Projectionists</v>
          </cell>
          <cell r="C751">
            <v>2610</v>
          </cell>
          <cell r="D751">
            <v>10.1</v>
          </cell>
          <cell r="E751">
            <v>43800</v>
          </cell>
          <cell r="F751">
            <v>3.7</v>
          </cell>
          <cell r="G751">
            <v>35160</v>
          </cell>
        </row>
        <row r="752">
          <cell r="A752" t="str">
            <v>39-3030</v>
          </cell>
          <cell r="B752" t="str">
            <v>Ushers, Lobby Attendants, and Ticket Takers</v>
          </cell>
          <cell r="C752">
            <v>117560</v>
          </cell>
          <cell r="D752">
            <v>2.4</v>
          </cell>
          <cell r="E752">
            <v>30520</v>
          </cell>
          <cell r="F752">
            <v>0.6</v>
          </cell>
          <cell r="G752">
            <v>29780</v>
          </cell>
        </row>
        <row r="753">
          <cell r="A753" t="str">
            <v>39-3031</v>
          </cell>
          <cell r="B753" t="str">
            <v>Ushers, Lobby Attendants, and Ticket Takers</v>
          </cell>
          <cell r="C753">
            <v>117560</v>
          </cell>
          <cell r="D753">
            <v>2.4</v>
          </cell>
          <cell r="E753">
            <v>30520</v>
          </cell>
          <cell r="F753">
            <v>0.6</v>
          </cell>
          <cell r="G753">
            <v>29780</v>
          </cell>
        </row>
        <row r="754">
          <cell r="A754" t="str">
            <v>39-3090</v>
          </cell>
          <cell r="B754" t="str">
            <v>Miscellaneous Entertainment Attendants and Related Workers</v>
          </cell>
          <cell r="C754">
            <v>390020</v>
          </cell>
          <cell r="D754">
            <v>0.9</v>
          </cell>
          <cell r="E754">
            <v>30970</v>
          </cell>
          <cell r="F754">
            <v>0.5</v>
          </cell>
          <cell r="G754">
            <v>29560</v>
          </cell>
        </row>
        <row r="755">
          <cell r="A755" t="str">
            <v>39-3091</v>
          </cell>
          <cell r="B755" t="str">
            <v>Amusement and Recreation Attendants</v>
          </cell>
          <cell r="C755">
            <v>361680</v>
          </cell>
          <cell r="D755">
            <v>1</v>
          </cell>
          <cell r="E755">
            <v>30240</v>
          </cell>
          <cell r="F755">
            <v>0.5</v>
          </cell>
          <cell r="G755">
            <v>29390</v>
          </cell>
        </row>
        <row r="756">
          <cell r="A756" t="str">
            <v>39-3092</v>
          </cell>
          <cell r="B756" t="str">
            <v>Costume Attendants</v>
          </cell>
          <cell r="C756">
            <v>6300</v>
          </cell>
          <cell r="D756">
            <v>5.0999999999999996</v>
          </cell>
          <cell r="E756">
            <v>60230</v>
          </cell>
          <cell r="F756">
            <v>1.9</v>
          </cell>
          <cell r="G756">
            <v>52370</v>
          </cell>
        </row>
        <row r="757">
          <cell r="A757" t="str">
            <v>39-3093</v>
          </cell>
          <cell r="B757" t="str">
            <v>Locker Room, Coatroom, and Dressing Room Attendants</v>
          </cell>
          <cell r="C757">
            <v>14720</v>
          </cell>
          <cell r="D757">
            <v>4.5999999999999996</v>
          </cell>
          <cell r="E757">
            <v>34590</v>
          </cell>
          <cell r="F757">
            <v>1.8</v>
          </cell>
          <cell r="G757">
            <v>33450</v>
          </cell>
        </row>
        <row r="758">
          <cell r="A758" t="str">
            <v>39-3099</v>
          </cell>
          <cell r="B758" t="str">
            <v>Entertainment Attendants and Related Workers, All Other</v>
          </cell>
          <cell r="C758">
            <v>7320</v>
          </cell>
          <cell r="D758">
            <v>6.9</v>
          </cell>
          <cell r="E758">
            <v>34670</v>
          </cell>
          <cell r="F758">
            <v>1.5</v>
          </cell>
          <cell r="G758">
            <v>33280</v>
          </cell>
        </row>
        <row r="759">
          <cell r="A759" t="str">
            <v>39-4000</v>
          </cell>
          <cell r="B759" t="str">
            <v>Funeral Service Workers</v>
          </cell>
          <cell r="C759">
            <v>63430</v>
          </cell>
          <cell r="D759">
            <v>1.4</v>
          </cell>
          <cell r="E759">
            <v>45520</v>
          </cell>
          <cell r="F759">
            <v>0.7</v>
          </cell>
          <cell r="G759">
            <v>38080</v>
          </cell>
        </row>
        <row r="760">
          <cell r="A760" t="str">
            <v>39-4010</v>
          </cell>
          <cell r="B760" t="str">
            <v>Embalmers and Crematory Operators</v>
          </cell>
          <cell r="C760">
            <v>6600</v>
          </cell>
          <cell r="D760">
            <v>4.3</v>
          </cell>
          <cell r="E760">
            <v>50640</v>
          </cell>
          <cell r="F760">
            <v>1.3</v>
          </cell>
          <cell r="G760">
            <v>47830</v>
          </cell>
        </row>
        <row r="761">
          <cell r="A761" t="str">
            <v>39-4011</v>
          </cell>
          <cell r="B761" t="str">
            <v>Embalmers</v>
          </cell>
          <cell r="C761">
            <v>3380</v>
          </cell>
          <cell r="D761">
            <v>5.6</v>
          </cell>
          <cell r="E761">
            <v>56690</v>
          </cell>
          <cell r="F761">
            <v>1.5</v>
          </cell>
          <cell r="G761">
            <v>54090</v>
          </cell>
        </row>
        <row r="762">
          <cell r="A762" t="str">
            <v>39-4012</v>
          </cell>
          <cell r="B762" t="str">
            <v>Crematory Operators</v>
          </cell>
          <cell r="C762">
            <v>3220</v>
          </cell>
          <cell r="D762">
            <v>10.7</v>
          </cell>
          <cell r="E762">
            <v>44290</v>
          </cell>
          <cell r="F762">
            <v>1.7</v>
          </cell>
          <cell r="G762">
            <v>41670</v>
          </cell>
        </row>
        <row r="763">
          <cell r="A763" t="str">
            <v>39-4020</v>
          </cell>
          <cell r="B763" t="str">
            <v>Funeral Attendants</v>
          </cell>
          <cell r="C763">
            <v>32620</v>
          </cell>
          <cell r="D763">
            <v>1.8</v>
          </cell>
          <cell r="E763">
            <v>35200</v>
          </cell>
          <cell r="F763">
            <v>0.8</v>
          </cell>
          <cell r="G763">
            <v>33850</v>
          </cell>
        </row>
        <row r="764">
          <cell r="A764" t="str">
            <v>39-4021</v>
          </cell>
          <cell r="B764" t="str">
            <v>Funeral Attendants</v>
          </cell>
          <cell r="C764">
            <v>32620</v>
          </cell>
          <cell r="D764">
            <v>1.8</v>
          </cell>
          <cell r="E764">
            <v>35200</v>
          </cell>
          <cell r="F764">
            <v>0.8</v>
          </cell>
          <cell r="G764">
            <v>33850</v>
          </cell>
        </row>
        <row r="765">
          <cell r="A765" t="str">
            <v>39-4030</v>
          </cell>
          <cell r="B765" t="str">
            <v>Morticians, Undertakers, and Funeral Arrangers</v>
          </cell>
          <cell r="C765">
            <v>24200</v>
          </cell>
          <cell r="D765">
            <v>2.8</v>
          </cell>
          <cell r="E765">
            <v>58020</v>
          </cell>
          <cell r="F765">
            <v>1.1000000000000001</v>
          </cell>
          <cell r="G765">
            <v>51030</v>
          </cell>
        </row>
        <row r="766">
          <cell r="A766" t="str">
            <v>39-4031</v>
          </cell>
          <cell r="B766" t="str">
            <v>Morticians, Undertakers, and Funeral Arrangers</v>
          </cell>
          <cell r="C766">
            <v>24200</v>
          </cell>
          <cell r="D766">
            <v>2.8</v>
          </cell>
          <cell r="E766">
            <v>58020</v>
          </cell>
          <cell r="F766">
            <v>1.1000000000000001</v>
          </cell>
          <cell r="G766">
            <v>51030</v>
          </cell>
        </row>
        <row r="767">
          <cell r="A767" t="str">
            <v>39-5000</v>
          </cell>
          <cell r="B767" t="str">
            <v>Personal Appearance Workers</v>
          </cell>
          <cell r="C767">
            <v>532400</v>
          </cell>
          <cell r="D767">
            <v>0.7</v>
          </cell>
          <cell r="E767">
            <v>41510</v>
          </cell>
          <cell r="F767">
            <v>0.8</v>
          </cell>
          <cell r="G767">
            <v>34930</v>
          </cell>
        </row>
        <row r="768">
          <cell r="A768" t="str">
            <v>39-5010</v>
          </cell>
          <cell r="B768" t="str">
            <v>Barbers, Hairdressers, Hairstylists and Cosmetologists</v>
          </cell>
          <cell r="C768">
            <v>310830</v>
          </cell>
          <cell r="D768">
            <v>1.7</v>
          </cell>
          <cell r="E768">
            <v>41770</v>
          </cell>
          <cell r="F768">
            <v>0.9</v>
          </cell>
          <cell r="G768">
            <v>35080</v>
          </cell>
        </row>
        <row r="769">
          <cell r="A769" t="str">
            <v>39-5011</v>
          </cell>
          <cell r="B769" t="str">
            <v>Barbers</v>
          </cell>
          <cell r="C769">
            <v>15990</v>
          </cell>
          <cell r="D769">
            <v>17.7</v>
          </cell>
          <cell r="E769">
            <v>41570</v>
          </cell>
          <cell r="F769">
            <v>2.4</v>
          </cell>
          <cell r="G769">
            <v>36150</v>
          </cell>
        </row>
        <row r="770">
          <cell r="A770" t="str">
            <v>39-5012</v>
          </cell>
          <cell r="B770" t="str">
            <v>Hairdressers, Hairstylists, and Cosmetologists</v>
          </cell>
          <cell r="C770">
            <v>294840</v>
          </cell>
          <cell r="D770">
            <v>2.6</v>
          </cell>
          <cell r="E770">
            <v>41780</v>
          </cell>
          <cell r="F770">
            <v>0.9</v>
          </cell>
          <cell r="G770">
            <v>34970</v>
          </cell>
        </row>
        <row r="771">
          <cell r="A771" t="str">
            <v>39-5090</v>
          </cell>
          <cell r="B771" t="str">
            <v>Miscellaneous Personal Appearance Workers</v>
          </cell>
          <cell r="C771">
            <v>221570</v>
          </cell>
          <cell r="D771">
            <v>1.4</v>
          </cell>
          <cell r="E771">
            <v>41140</v>
          </cell>
          <cell r="F771">
            <v>1.2</v>
          </cell>
          <cell r="G771">
            <v>34810</v>
          </cell>
        </row>
        <row r="772">
          <cell r="A772" t="str">
            <v>39-5091</v>
          </cell>
          <cell r="B772" t="str">
            <v>Makeup Artists, Theatrical and Performance</v>
          </cell>
          <cell r="C772">
            <v>4130</v>
          </cell>
          <cell r="D772">
            <v>22.7</v>
          </cell>
          <cell r="E772">
            <v>68590</v>
          </cell>
          <cell r="F772">
            <v>12.1</v>
          </cell>
          <cell r="G772">
            <v>47390</v>
          </cell>
        </row>
        <row r="773">
          <cell r="A773" t="str">
            <v>39-5092</v>
          </cell>
          <cell r="B773" t="str">
            <v>Manicurists and Pedicurists</v>
          </cell>
          <cell r="C773">
            <v>144810</v>
          </cell>
          <cell r="D773">
            <v>1.7</v>
          </cell>
          <cell r="E773">
            <v>36480</v>
          </cell>
          <cell r="F773">
            <v>1</v>
          </cell>
          <cell r="G773">
            <v>34250</v>
          </cell>
        </row>
        <row r="774">
          <cell r="A774" t="str">
            <v>39-5093</v>
          </cell>
          <cell r="B774" t="str">
            <v>Shampooers</v>
          </cell>
          <cell r="C774">
            <v>7360</v>
          </cell>
          <cell r="D774">
            <v>9.9</v>
          </cell>
          <cell r="E774">
            <v>29260</v>
          </cell>
          <cell r="F774">
            <v>2.2999999999999998</v>
          </cell>
          <cell r="G774">
            <v>29530</v>
          </cell>
        </row>
        <row r="775">
          <cell r="A775" t="str">
            <v>39-5094</v>
          </cell>
          <cell r="B775" t="str">
            <v>Skincare Specialists</v>
          </cell>
          <cell r="C775">
            <v>65270</v>
          </cell>
          <cell r="D775">
            <v>3.1</v>
          </cell>
          <cell r="E775">
            <v>51100</v>
          </cell>
          <cell r="F775">
            <v>2.4</v>
          </cell>
          <cell r="G775">
            <v>43200</v>
          </cell>
        </row>
        <row r="776">
          <cell r="A776" t="str">
            <v>39-6000</v>
          </cell>
          <cell r="B776" t="str">
            <v>Baggage Porters, Bellhops, and Concierges</v>
          </cell>
          <cell r="C776">
            <v>69800</v>
          </cell>
          <cell r="D776">
            <v>6</v>
          </cell>
          <cell r="E776">
            <v>38530</v>
          </cell>
          <cell r="F776">
            <v>1.2</v>
          </cell>
          <cell r="G776">
            <v>36260</v>
          </cell>
        </row>
        <row r="777">
          <cell r="A777" t="str">
            <v>39-6010</v>
          </cell>
          <cell r="B777" t="str">
            <v>Baggage Porters, Bellhops, and Concierges</v>
          </cell>
          <cell r="C777">
            <v>69800</v>
          </cell>
          <cell r="D777">
            <v>6</v>
          </cell>
          <cell r="E777">
            <v>38530</v>
          </cell>
          <cell r="F777">
            <v>1.2</v>
          </cell>
          <cell r="G777">
            <v>36260</v>
          </cell>
        </row>
        <row r="778">
          <cell r="A778" t="str">
            <v>39-6011</v>
          </cell>
          <cell r="B778" t="str">
            <v>Baggage Porters and Bellhops</v>
          </cell>
          <cell r="C778">
            <v>28780</v>
          </cell>
          <cell r="D778">
            <v>6.2</v>
          </cell>
          <cell r="E778">
            <v>36100</v>
          </cell>
          <cell r="F778">
            <v>1.6</v>
          </cell>
          <cell r="G778">
            <v>34840</v>
          </cell>
        </row>
        <row r="779">
          <cell r="A779" t="str">
            <v>39-6012</v>
          </cell>
          <cell r="B779" t="str">
            <v>Concierges</v>
          </cell>
          <cell r="C779">
            <v>41020</v>
          </cell>
          <cell r="D779">
            <v>6.8</v>
          </cell>
          <cell r="E779">
            <v>40230</v>
          </cell>
          <cell r="F779">
            <v>1.2</v>
          </cell>
          <cell r="G779">
            <v>37150</v>
          </cell>
        </row>
        <row r="780">
          <cell r="A780" t="str">
            <v>39-7000</v>
          </cell>
          <cell r="B780" t="str">
            <v>Tour and Travel Guides</v>
          </cell>
          <cell r="C780">
            <v>46760</v>
          </cell>
          <cell r="D780">
            <v>2.4</v>
          </cell>
          <cell r="E780">
            <v>40280</v>
          </cell>
          <cell r="F780">
            <v>1.5</v>
          </cell>
          <cell r="G780">
            <v>36060</v>
          </cell>
        </row>
        <row r="781">
          <cell r="A781" t="str">
            <v>39-7010</v>
          </cell>
          <cell r="B781" t="str">
            <v>Tour and Travel Guides</v>
          </cell>
          <cell r="C781">
            <v>46760</v>
          </cell>
          <cell r="D781">
            <v>2.4</v>
          </cell>
          <cell r="E781">
            <v>40280</v>
          </cell>
          <cell r="F781">
            <v>1.5</v>
          </cell>
          <cell r="G781">
            <v>36060</v>
          </cell>
        </row>
        <row r="782">
          <cell r="A782" t="str">
            <v>39-7010</v>
          </cell>
          <cell r="B782" t="str">
            <v>Tour and Travel Guides</v>
          </cell>
          <cell r="C782">
            <v>46760</v>
          </cell>
          <cell r="D782">
            <v>2.4</v>
          </cell>
          <cell r="E782">
            <v>40280</v>
          </cell>
          <cell r="F782">
            <v>1.5</v>
          </cell>
          <cell r="G782">
            <v>36060</v>
          </cell>
        </row>
        <row r="783">
          <cell r="A783" t="str">
            <v>39-9000</v>
          </cell>
          <cell r="B783" t="str">
            <v>Other Personal Care and Service Workers</v>
          </cell>
          <cell r="C783">
            <v>1207740</v>
          </cell>
          <cell r="D783">
            <v>0.7</v>
          </cell>
          <cell r="E783">
            <v>38340</v>
          </cell>
          <cell r="F783">
            <v>0.6</v>
          </cell>
          <cell r="G783">
            <v>34690</v>
          </cell>
        </row>
        <row r="784">
          <cell r="A784" t="str">
            <v>39-9010</v>
          </cell>
          <cell r="B784" t="str">
            <v>Childcare Workers</v>
          </cell>
          <cell r="C784">
            <v>497450</v>
          </cell>
          <cell r="D784">
            <v>1.3</v>
          </cell>
          <cell r="E784">
            <v>32070</v>
          </cell>
          <cell r="F784">
            <v>0.7</v>
          </cell>
          <cell r="G784">
            <v>30370</v>
          </cell>
        </row>
        <row r="785">
          <cell r="A785" t="str">
            <v>39-9011</v>
          </cell>
          <cell r="B785" t="str">
            <v>Childcare Workers</v>
          </cell>
          <cell r="C785">
            <v>497450</v>
          </cell>
          <cell r="D785">
            <v>1.3</v>
          </cell>
          <cell r="E785">
            <v>32070</v>
          </cell>
          <cell r="F785">
            <v>0.7</v>
          </cell>
          <cell r="G785">
            <v>30370</v>
          </cell>
        </row>
        <row r="786">
          <cell r="A786" t="str">
            <v>39-9030</v>
          </cell>
          <cell r="B786" t="str">
            <v>Recreation and Fitness Workers</v>
          </cell>
          <cell r="C786">
            <v>561200</v>
          </cell>
          <cell r="D786">
            <v>0.7</v>
          </cell>
          <cell r="E786">
            <v>43740</v>
          </cell>
          <cell r="F786">
            <v>0.7</v>
          </cell>
          <cell r="G786">
            <v>37000</v>
          </cell>
        </row>
        <row r="787">
          <cell r="A787" t="str">
            <v>39-9031</v>
          </cell>
          <cell r="B787" t="str">
            <v>Exercise Trainers and Group Fitness Instructors</v>
          </cell>
          <cell r="C787">
            <v>279450</v>
          </cell>
          <cell r="D787">
            <v>1.2</v>
          </cell>
          <cell r="E787">
            <v>51270</v>
          </cell>
          <cell r="F787">
            <v>0.9</v>
          </cell>
          <cell r="G787">
            <v>46480</v>
          </cell>
        </row>
        <row r="788">
          <cell r="A788" t="str">
            <v>39-9032</v>
          </cell>
          <cell r="B788" t="str">
            <v>Recreation Workers</v>
          </cell>
          <cell r="C788">
            <v>281750</v>
          </cell>
          <cell r="D788">
            <v>0.9</v>
          </cell>
          <cell r="E788">
            <v>36270</v>
          </cell>
          <cell r="F788">
            <v>0.5</v>
          </cell>
          <cell r="G788">
            <v>34410</v>
          </cell>
        </row>
        <row r="789">
          <cell r="A789" t="str">
            <v>39-9040</v>
          </cell>
          <cell r="B789" t="str">
            <v>Residential Advisors</v>
          </cell>
          <cell r="C789">
            <v>88700</v>
          </cell>
          <cell r="D789">
            <v>2.8</v>
          </cell>
          <cell r="E789">
            <v>40200</v>
          </cell>
          <cell r="F789">
            <v>0.5</v>
          </cell>
          <cell r="G789">
            <v>37950</v>
          </cell>
        </row>
        <row r="790">
          <cell r="A790" t="str">
            <v>39-9041</v>
          </cell>
          <cell r="B790" t="str">
            <v>Residential Advisors</v>
          </cell>
          <cell r="C790">
            <v>88700</v>
          </cell>
          <cell r="D790">
            <v>2.8</v>
          </cell>
          <cell r="E790">
            <v>40200</v>
          </cell>
          <cell r="F790">
            <v>0.5</v>
          </cell>
          <cell r="G790">
            <v>37950</v>
          </cell>
        </row>
        <row r="791">
          <cell r="A791" t="str">
            <v>39-9090</v>
          </cell>
          <cell r="B791" t="str">
            <v>Miscellaneous Personal Care and Service Workers</v>
          </cell>
          <cell r="C791">
            <v>60390</v>
          </cell>
          <cell r="D791">
            <v>2.6</v>
          </cell>
          <cell r="E791">
            <v>37190</v>
          </cell>
          <cell r="F791">
            <v>1.6</v>
          </cell>
          <cell r="G791">
            <v>36980</v>
          </cell>
        </row>
        <row r="792">
          <cell r="A792" t="str">
            <v>39-9099</v>
          </cell>
          <cell r="B792" t="str">
            <v>Personal Care and Service Workers, All Other</v>
          </cell>
          <cell r="C792">
            <v>60390</v>
          </cell>
          <cell r="D792">
            <v>2.6</v>
          </cell>
          <cell r="E792">
            <v>37190</v>
          </cell>
          <cell r="F792">
            <v>1.6</v>
          </cell>
          <cell r="G792">
            <v>36980</v>
          </cell>
        </row>
        <row r="793">
          <cell r="A793" t="str">
            <v>41-0000</v>
          </cell>
          <cell r="B793" t="str">
            <v>Sales and Related Occupations</v>
          </cell>
          <cell r="C793">
            <v>13380660</v>
          </cell>
          <cell r="D793">
            <v>0.3</v>
          </cell>
          <cell r="E793">
            <v>53280</v>
          </cell>
          <cell r="F793">
            <v>0.7</v>
          </cell>
          <cell r="G793">
            <v>36760</v>
          </cell>
        </row>
        <row r="794">
          <cell r="A794" t="str">
            <v>41-1000</v>
          </cell>
          <cell r="B794" t="str">
            <v>Supervisors of Sales Workers</v>
          </cell>
          <cell r="C794">
            <v>1315030</v>
          </cell>
          <cell r="D794">
            <v>0.9</v>
          </cell>
          <cell r="E794">
            <v>60140</v>
          </cell>
          <cell r="F794">
            <v>0.8</v>
          </cell>
          <cell r="G794">
            <v>49020</v>
          </cell>
        </row>
        <row r="795">
          <cell r="A795" t="str">
            <v>41-1010</v>
          </cell>
          <cell r="B795" t="str">
            <v>First-Line Supervisors of Sales Workers</v>
          </cell>
          <cell r="C795">
            <v>1315030</v>
          </cell>
          <cell r="D795">
            <v>0.9</v>
          </cell>
          <cell r="E795">
            <v>60140</v>
          </cell>
          <cell r="F795">
            <v>0.8</v>
          </cell>
          <cell r="G795">
            <v>49020</v>
          </cell>
        </row>
        <row r="796">
          <cell r="A796" t="str">
            <v>41-1011</v>
          </cell>
          <cell r="B796" t="str">
            <v>First-Line Supervisors of Retail Sales Workers</v>
          </cell>
          <cell r="C796">
            <v>1087890</v>
          </cell>
          <cell r="D796">
            <v>1.2</v>
          </cell>
          <cell r="E796">
            <v>52030</v>
          </cell>
          <cell r="F796">
            <v>0.5</v>
          </cell>
          <cell r="G796">
            <v>46730</v>
          </cell>
        </row>
        <row r="797">
          <cell r="A797" t="str">
            <v>41-1012</v>
          </cell>
          <cell r="B797" t="str">
            <v>First-Line Supervisors of Non-Retail Sales Workers</v>
          </cell>
          <cell r="C797">
            <v>227150</v>
          </cell>
          <cell r="D797">
            <v>1</v>
          </cell>
          <cell r="E797">
            <v>99020</v>
          </cell>
          <cell r="F797">
            <v>1.1000000000000001</v>
          </cell>
          <cell r="G797">
            <v>84570</v>
          </cell>
        </row>
        <row r="798">
          <cell r="A798" t="str">
            <v>41-2000</v>
          </cell>
          <cell r="B798" t="str">
            <v>Retail Sales Workers</v>
          </cell>
          <cell r="C798">
            <v>7655030</v>
          </cell>
          <cell r="D798">
            <v>0.7</v>
          </cell>
          <cell r="E798">
            <v>34520</v>
          </cell>
          <cell r="F798">
            <v>0.3</v>
          </cell>
          <cell r="G798">
            <v>31940</v>
          </cell>
        </row>
        <row r="799">
          <cell r="A799" t="str">
            <v>41-2010</v>
          </cell>
          <cell r="B799" t="str">
            <v>Cashiers</v>
          </cell>
          <cell r="C799">
            <v>3319210</v>
          </cell>
          <cell r="D799">
            <v>0.5</v>
          </cell>
          <cell r="E799">
            <v>30750</v>
          </cell>
          <cell r="F799">
            <v>0.2</v>
          </cell>
          <cell r="G799">
            <v>29740</v>
          </cell>
        </row>
        <row r="800">
          <cell r="A800" t="str">
            <v>41-2011</v>
          </cell>
          <cell r="B800" t="str">
            <v>Cashiers</v>
          </cell>
          <cell r="C800">
            <v>3298660</v>
          </cell>
          <cell r="D800">
            <v>0.5</v>
          </cell>
          <cell r="E800">
            <v>30710</v>
          </cell>
          <cell r="F800">
            <v>0.2</v>
          </cell>
          <cell r="G800">
            <v>29720</v>
          </cell>
        </row>
        <row r="801">
          <cell r="A801" t="str">
            <v>41-2012</v>
          </cell>
          <cell r="B801" t="str">
            <v>Gambling Change Persons and Booth Cashiers</v>
          </cell>
          <cell r="C801">
            <v>20560</v>
          </cell>
          <cell r="D801">
            <v>2.1</v>
          </cell>
          <cell r="E801">
            <v>36030</v>
          </cell>
          <cell r="F801">
            <v>0.7</v>
          </cell>
          <cell r="G801">
            <v>33230</v>
          </cell>
        </row>
        <row r="802">
          <cell r="A802" t="str">
            <v>41-2020</v>
          </cell>
          <cell r="B802" t="str">
            <v>Counter and Rental Clerks and Parts Salespersons</v>
          </cell>
          <cell r="C802">
            <v>651070</v>
          </cell>
          <cell r="D802">
            <v>1.9</v>
          </cell>
          <cell r="E802">
            <v>41410</v>
          </cell>
          <cell r="F802">
            <v>0.5</v>
          </cell>
          <cell r="G802">
            <v>37200</v>
          </cell>
        </row>
        <row r="803">
          <cell r="A803" t="str">
            <v>41-2021</v>
          </cell>
          <cell r="B803" t="str">
            <v>Counter and Rental Clerks</v>
          </cell>
          <cell r="C803">
            <v>390300</v>
          </cell>
          <cell r="D803">
            <v>2</v>
          </cell>
          <cell r="E803">
            <v>41630</v>
          </cell>
          <cell r="F803">
            <v>0.6</v>
          </cell>
          <cell r="G803">
            <v>37400</v>
          </cell>
        </row>
        <row r="804">
          <cell r="A804" t="str">
            <v>41-2022</v>
          </cell>
          <cell r="B804" t="str">
            <v>Parts Salespersons</v>
          </cell>
          <cell r="C804">
            <v>260770</v>
          </cell>
          <cell r="D804">
            <v>1.9</v>
          </cell>
          <cell r="E804">
            <v>41080</v>
          </cell>
          <cell r="F804">
            <v>0.5</v>
          </cell>
          <cell r="G804">
            <v>36860</v>
          </cell>
        </row>
        <row r="805">
          <cell r="A805" t="str">
            <v>41-2030</v>
          </cell>
          <cell r="B805" t="str">
            <v>Retail Salespersons</v>
          </cell>
          <cell r="C805">
            <v>3684740</v>
          </cell>
          <cell r="D805">
            <v>0.7</v>
          </cell>
          <cell r="E805">
            <v>36690</v>
          </cell>
          <cell r="F805">
            <v>0.4</v>
          </cell>
          <cell r="G805">
            <v>33680</v>
          </cell>
        </row>
        <row r="806">
          <cell r="A806" t="str">
            <v>41-2031</v>
          </cell>
          <cell r="B806" t="str">
            <v>Retail Salespersons</v>
          </cell>
          <cell r="C806">
            <v>3684740</v>
          </cell>
          <cell r="D806">
            <v>0.7</v>
          </cell>
          <cell r="E806">
            <v>36690</v>
          </cell>
          <cell r="F806">
            <v>0.4</v>
          </cell>
          <cell r="G806">
            <v>33680</v>
          </cell>
        </row>
        <row r="807">
          <cell r="A807" t="str">
            <v>41-3000</v>
          </cell>
          <cell r="B807" t="str">
            <v>Sales Representatives, Services</v>
          </cell>
          <cell r="C807">
            <v>2245510</v>
          </cell>
          <cell r="D807">
            <v>1.1000000000000001</v>
          </cell>
          <cell r="E807">
            <v>85860</v>
          </cell>
          <cell r="F807">
            <v>1.3</v>
          </cell>
          <cell r="G807">
            <v>63150</v>
          </cell>
        </row>
        <row r="808">
          <cell r="A808" t="str">
            <v>41-3010</v>
          </cell>
          <cell r="B808" t="str">
            <v>Advertising Sales Agents</v>
          </cell>
          <cell r="C808">
            <v>108100</v>
          </cell>
          <cell r="D808">
            <v>2</v>
          </cell>
          <cell r="E808">
            <v>75820</v>
          </cell>
          <cell r="F808">
            <v>1.3</v>
          </cell>
          <cell r="G808">
            <v>61270</v>
          </cell>
        </row>
        <row r="809">
          <cell r="A809" t="str">
            <v>41-3011</v>
          </cell>
          <cell r="B809" t="str">
            <v>Advertising Sales Agents</v>
          </cell>
          <cell r="C809">
            <v>108100</v>
          </cell>
          <cell r="D809">
            <v>2</v>
          </cell>
          <cell r="E809">
            <v>75820</v>
          </cell>
          <cell r="F809">
            <v>1.3</v>
          </cell>
          <cell r="G809">
            <v>61270</v>
          </cell>
        </row>
        <row r="810">
          <cell r="A810" t="str">
            <v>41-3020</v>
          </cell>
          <cell r="B810" t="str">
            <v>Insurance Sales Agents</v>
          </cell>
          <cell r="C810">
            <v>457510</v>
          </cell>
          <cell r="D810">
            <v>1.2</v>
          </cell>
          <cell r="E810">
            <v>79700</v>
          </cell>
          <cell r="F810">
            <v>1.7</v>
          </cell>
          <cell r="G810">
            <v>59080</v>
          </cell>
        </row>
        <row r="811">
          <cell r="A811" t="str">
            <v>41-3021</v>
          </cell>
          <cell r="B811" t="str">
            <v>Insurance Sales Agents</v>
          </cell>
          <cell r="C811">
            <v>457510</v>
          </cell>
          <cell r="D811">
            <v>1.2</v>
          </cell>
          <cell r="E811">
            <v>79700</v>
          </cell>
          <cell r="F811">
            <v>1.7</v>
          </cell>
          <cell r="G811">
            <v>59080</v>
          </cell>
        </row>
        <row r="812">
          <cell r="A812" t="str">
            <v>41-3030</v>
          </cell>
          <cell r="B812" t="str">
            <v>Securities, Commodities, and Financial Services Sales Agents</v>
          </cell>
          <cell r="C812">
            <v>479630</v>
          </cell>
          <cell r="D812">
            <v>0.9</v>
          </cell>
          <cell r="E812">
            <v>109710</v>
          </cell>
          <cell r="F812">
            <v>1.3</v>
          </cell>
          <cell r="G812">
            <v>76900</v>
          </cell>
        </row>
        <row r="813">
          <cell r="A813" t="str">
            <v>41-3031</v>
          </cell>
          <cell r="B813" t="str">
            <v>Securities, Commodities, and Financial Services Sales Agents</v>
          </cell>
          <cell r="C813">
            <v>479630</v>
          </cell>
          <cell r="D813">
            <v>0.9</v>
          </cell>
          <cell r="E813">
            <v>109710</v>
          </cell>
          <cell r="F813">
            <v>1.3</v>
          </cell>
          <cell r="G813">
            <v>76900</v>
          </cell>
        </row>
        <row r="814">
          <cell r="A814" t="str">
            <v>41-3040</v>
          </cell>
          <cell r="B814" t="str">
            <v>Travel Agents</v>
          </cell>
          <cell r="C814">
            <v>58250</v>
          </cell>
          <cell r="D814">
            <v>3.6</v>
          </cell>
          <cell r="E814">
            <v>50040</v>
          </cell>
          <cell r="F814">
            <v>1.3</v>
          </cell>
          <cell r="G814">
            <v>47410</v>
          </cell>
        </row>
        <row r="815">
          <cell r="A815" t="str">
            <v>41-3041</v>
          </cell>
          <cell r="B815" t="str">
            <v>Travel Agents</v>
          </cell>
          <cell r="C815">
            <v>58250</v>
          </cell>
          <cell r="D815">
            <v>3.6</v>
          </cell>
          <cell r="E815">
            <v>50040</v>
          </cell>
          <cell r="F815">
            <v>1.3</v>
          </cell>
          <cell r="G815">
            <v>47410</v>
          </cell>
        </row>
        <row r="816">
          <cell r="A816" t="str">
            <v>41-3090</v>
          </cell>
          <cell r="B816" t="str">
            <v>Miscellaneous Sales Representatives, Services</v>
          </cell>
          <cell r="C816">
            <v>1142020</v>
          </cell>
          <cell r="D816">
            <v>2.5</v>
          </cell>
          <cell r="E816">
            <v>81080</v>
          </cell>
          <cell r="F816">
            <v>1.6</v>
          </cell>
          <cell r="G816">
            <v>64600</v>
          </cell>
        </row>
        <row r="817">
          <cell r="A817" t="str">
            <v>41-3091</v>
          </cell>
          <cell r="B817" t="str">
            <v>Sales Representatives of Services, Except Advertising, Insurance, Financial Services, and Travel</v>
          </cell>
          <cell r="C817">
            <v>1142020</v>
          </cell>
          <cell r="D817">
            <v>2.5</v>
          </cell>
          <cell r="E817">
            <v>81080</v>
          </cell>
          <cell r="F817">
            <v>1.6</v>
          </cell>
          <cell r="G817">
            <v>64600</v>
          </cell>
        </row>
        <row r="818">
          <cell r="A818" t="str">
            <v>41-4000</v>
          </cell>
          <cell r="B818" t="str">
            <v>Sales Representatives, Wholesale and Manufacturing</v>
          </cell>
          <cell r="C818">
            <v>1600700</v>
          </cell>
          <cell r="D818">
            <v>0.4</v>
          </cell>
          <cell r="E818">
            <v>86920</v>
          </cell>
          <cell r="F818">
            <v>0.5</v>
          </cell>
          <cell r="G818">
            <v>73080</v>
          </cell>
        </row>
        <row r="819">
          <cell r="A819" t="str">
            <v>41-4010</v>
          </cell>
          <cell r="B819" t="str">
            <v>Sales Representatives, Wholesale and Manufacturing</v>
          </cell>
          <cell r="C819">
            <v>1600700</v>
          </cell>
          <cell r="D819">
            <v>0.4</v>
          </cell>
          <cell r="E819">
            <v>86920</v>
          </cell>
          <cell r="F819">
            <v>0.5</v>
          </cell>
          <cell r="G819">
            <v>73080</v>
          </cell>
        </row>
        <row r="820">
          <cell r="A820" t="str">
            <v>41-4011</v>
          </cell>
          <cell r="B820" t="str">
            <v>Sales Representatives, Wholesale and Manufacturing, Technical and Scientific Products</v>
          </cell>
          <cell r="C820">
            <v>311780</v>
          </cell>
          <cell r="D820">
            <v>1.5</v>
          </cell>
          <cell r="E820">
            <v>113520</v>
          </cell>
          <cell r="F820">
            <v>1</v>
          </cell>
          <cell r="G820">
            <v>99710</v>
          </cell>
        </row>
        <row r="821">
          <cell r="A821" t="str">
            <v>41-4012</v>
          </cell>
          <cell r="B821" t="str">
            <v>Sales Representatives, Wholesale and Manufacturing, Except Technical and Scientific Products</v>
          </cell>
          <cell r="C821">
            <v>1288920</v>
          </cell>
          <cell r="D821">
            <v>0.6</v>
          </cell>
          <cell r="E821">
            <v>80490</v>
          </cell>
          <cell r="F821">
            <v>0.5</v>
          </cell>
          <cell r="G821">
            <v>65630</v>
          </cell>
        </row>
        <row r="822">
          <cell r="A822" t="str">
            <v>41-9000</v>
          </cell>
          <cell r="B822" t="str">
            <v>Other Sales and Related Workers</v>
          </cell>
          <cell r="C822">
            <v>564380</v>
          </cell>
          <cell r="D822">
            <v>1.2</v>
          </cell>
          <cell r="E822">
            <v>66760</v>
          </cell>
          <cell r="F822">
            <v>2</v>
          </cell>
          <cell r="G822">
            <v>47990</v>
          </cell>
        </row>
        <row r="823">
          <cell r="A823" t="str">
            <v>41-9010</v>
          </cell>
          <cell r="B823" t="str">
            <v>Models, Demonstrators, and Product Promoters</v>
          </cell>
          <cell r="C823">
            <v>53880</v>
          </cell>
          <cell r="D823">
            <v>3.5</v>
          </cell>
          <cell r="E823">
            <v>42680</v>
          </cell>
          <cell r="F823">
            <v>1.1000000000000001</v>
          </cell>
          <cell r="G823">
            <v>37190</v>
          </cell>
        </row>
        <row r="824">
          <cell r="A824" t="str">
            <v>41-9011</v>
          </cell>
          <cell r="B824" t="str">
            <v>Demonstrators and Product Promoters</v>
          </cell>
          <cell r="C824">
            <v>50790</v>
          </cell>
          <cell r="D824">
            <v>3.1</v>
          </cell>
          <cell r="E824">
            <v>41090</v>
          </cell>
          <cell r="F824">
            <v>1</v>
          </cell>
          <cell r="G824">
            <v>36970</v>
          </cell>
        </row>
        <row r="825">
          <cell r="A825" t="str">
            <v>41-9012</v>
          </cell>
          <cell r="B825" t="str">
            <v>Models</v>
          </cell>
          <cell r="C825">
            <v>3090</v>
          </cell>
          <cell r="D825">
            <v>21.2</v>
          </cell>
          <cell r="E825">
            <v>68700</v>
          </cell>
          <cell r="F825">
            <v>6.1</v>
          </cell>
          <cell r="G825">
            <v>47430</v>
          </cell>
        </row>
        <row r="826">
          <cell r="A826" t="str">
            <v>41-9020</v>
          </cell>
          <cell r="B826" t="str">
            <v>Real Estate Brokers and Sales Agents</v>
          </cell>
          <cell r="C826">
            <v>249080</v>
          </cell>
          <cell r="D826">
            <v>1.6</v>
          </cell>
          <cell r="E826">
            <v>73010</v>
          </cell>
          <cell r="F826">
            <v>3.4</v>
          </cell>
          <cell r="G826">
            <v>56620</v>
          </cell>
        </row>
        <row r="827">
          <cell r="A827" t="str">
            <v>41-9021</v>
          </cell>
          <cell r="B827" t="str">
            <v>Real Estate Brokers</v>
          </cell>
          <cell r="C827">
            <v>51350</v>
          </cell>
          <cell r="D827">
            <v>12.9</v>
          </cell>
          <cell r="E827">
            <v>86130</v>
          </cell>
          <cell r="F827">
            <v>9.5</v>
          </cell>
          <cell r="G827">
            <v>63060</v>
          </cell>
        </row>
        <row r="828">
          <cell r="A828" t="str">
            <v>41-9022</v>
          </cell>
          <cell r="B828" t="str">
            <v>Real Estate Sales Agents</v>
          </cell>
          <cell r="C828">
            <v>197720</v>
          </cell>
          <cell r="D828">
            <v>4.2</v>
          </cell>
          <cell r="E828">
            <v>69610</v>
          </cell>
          <cell r="F828">
            <v>1.5</v>
          </cell>
          <cell r="G828">
            <v>54300</v>
          </cell>
        </row>
        <row r="829">
          <cell r="A829" t="str">
            <v>41-9030</v>
          </cell>
          <cell r="B829" t="str">
            <v>Sales Engineers</v>
          </cell>
          <cell r="C829">
            <v>59340</v>
          </cell>
          <cell r="D829">
            <v>1.8</v>
          </cell>
          <cell r="E829">
            <v>130550</v>
          </cell>
          <cell r="F829">
            <v>1</v>
          </cell>
          <cell r="G829">
            <v>116950</v>
          </cell>
        </row>
        <row r="830">
          <cell r="A830" t="str">
            <v>41-9031</v>
          </cell>
          <cell r="B830" t="str">
            <v>Sales Engineers</v>
          </cell>
          <cell r="C830">
            <v>59340</v>
          </cell>
          <cell r="D830">
            <v>1.8</v>
          </cell>
          <cell r="E830">
            <v>130550</v>
          </cell>
          <cell r="F830">
            <v>1</v>
          </cell>
          <cell r="G830">
            <v>116950</v>
          </cell>
        </row>
        <row r="831">
          <cell r="A831" t="str">
            <v>41-9040</v>
          </cell>
          <cell r="B831" t="str">
            <v>Telemarketers</v>
          </cell>
          <cell r="C831">
            <v>81580</v>
          </cell>
          <cell r="D831">
            <v>2.9</v>
          </cell>
          <cell r="E831">
            <v>36680</v>
          </cell>
          <cell r="F831">
            <v>1.1000000000000001</v>
          </cell>
          <cell r="G831">
            <v>34480</v>
          </cell>
        </row>
        <row r="832">
          <cell r="A832" t="str">
            <v>41-9041</v>
          </cell>
          <cell r="B832" t="str">
            <v>Telemarketers</v>
          </cell>
          <cell r="C832">
            <v>81580</v>
          </cell>
          <cell r="D832">
            <v>2.9</v>
          </cell>
          <cell r="E832">
            <v>36680</v>
          </cell>
          <cell r="F832">
            <v>1.1000000000000001</v>
          </cell>
          <cell r="G832">
            <v>34480</v>
          </cell>
        </row>
        <row r="833">
          <cell r="A833" t="str">
            <v>41-9090</v>
          </cell>
          <cell r="B833" t="str">
            <v>Miscellaneous Sales and Related Workers</v>
          </cell>
          <cell r="C833">
            <v>120500</v>
          </cell>
          <cell r="D833">
            <v>3.6</v>
          </cell>
          <cell r="E833">
            <v>53530</v>
          </cell>
          <cell r="F833">
            <v>1</v>
          </cell>
          <cell r="G833">
            <v>44100</v>
          </cell>
        </row>
        <row r="834">
          <cell r="A834" t="str">
            <v>41-9091</v>
          </cell>
          <cell r="B834" t="str">
            <v>Door-to-Door Sales Workers, News and Street Vendors, and Related Workers</v>
          </cell>
          <cell r="C834">
            <v>6220</v>
          </cell>
          <cell r="D834">
            <v>12.3</v>
          </cell>
          <cell r="E834">
            <v>42200</v>
          </cell>
          <cell r="F834">
            <v>2.8</v>
          </cell>
          <cell r="G834">
            <v>34910</v>
          </cell>
        </row>
        <row r="835">
          <cell r="A835" t="str">
            <v>41-9099</v>
          </cell>
          <cell r="B835" t="str">
            <v>Sales and Related Workers, All Other</v>
          </cell>
          <cell r="C835">
            <v>114280</v>
          </cell>
          <cell r="D835">
            <v>3.3</v>
          </cell>
          <cell r="E835">
            <v>54150</v>
          </cell>
          <cell r="F835">
            <v>1</v>
          </cell>
          <cell r="G835">
            <v>44610</v>
          </cell>
        </row>
        <row r="836">
          <cell r="A836" t="str">
            <v>43-0000</v>
          </cell>
          <cell r="B836" t="str">
            <v>Office and Administrative Support Occupations</v>
          </cell>
          <cell r="C836">
            <v>18533450</v>
          </cell>
          <cell r="D836">
            <v>0.1</v>
          </cell>
          <cell r="E836">
            <v>47940</v>
          </cell>
          <cell r="F836">
            <v>0.1</v>
          </cell>
          <cell r="G836">
            <v>44480</v>
          </cell>
        </row>
        <row r="837">
          <cell r="A837" t="str">
            <v>43-1000</v>
          </cell>
          <cell r="B837" t="str">
            <v>Supervisors of Office and Administrative Support Workers</v>
          </cell>
          <cell r="C837">
            <v>1504570</v>
          </cell>
          <cell r="D837">
            <v>0.4</v>
          </cell>
          <cell r="E837">
            <v>68620</v>
          </cell>
          <cell r="F837">
            <v>0.2</v>
          </cell>
          <cell r="G837">
            <v>63450</v>
          </cell>
        </row>
        <row r="838">
          <cell r="A838" t="str">
            <v>43-1010</v>
          </cell>
          <cell r="B838" t="str">
            <v>First-Line Supervisors of Office and Administrative Support Workers</v>
          </cell>
          <cell r="C838">
            <v>1504570</v>
          </cell>
          <cell r="D838">
            <v>0.4</v>
          </cell>
          <cell r="E838">
            <v>68620</v>
          </cell>
          <cell r="F838">
            <v>0.2</v>
          </cell>
          <cell r="G838">
            <v>63450</v>
          </cell>
        </row>
        <row r="839">
          <cell r="A839" t="str">
            <v>43-1011</v>
          </cell>
          <cell r="B839" t="str">
            <v>First-Line Supervisors of Office and Administrative Support Workers</v>
          </cell>
          <cell r="C839">
            <v>1504570</v>
          </cell>
          <cell r="D839">
            <v>0.4</v>
          </cell>
          <cell r="E839">
            <v>68620</v>
          </cell>
          <cell r="F839">
            <v>0.2</v>
          </cell>
          <cell r="G839">
            <v>63450</v>
          </cell>
        </row>
        <row r="840">
          <cell r="A840" t="str">
            <v>43-2000</v>
          </cell>
          <cell r="B840" t="str">
            <v>Communications Equipment Operators</v>
          </cell>
          <cell r="C840">
            <v>49810</v>
          </cell>
          <cell r="D840">
            <v>2.2999999999999998</v>
          </cell>
          <cell r="E840">
            <v>40570</v>
          </cell>
          <cell r="F840">
            <v>0.6</v>
          </cell>
          <cell r="G840">
            <v>37030</v>
          </cell>
        </row>
        <row r="841">
          <cell r="A841" t="str">
            <v>43-2010</v>
          </cell>
          <cell r="B841" t="str">
            <v>Switchboard Operators, Including Answering Service</v>
          </cell>
          <cell r="C841">
            <v>43830</v>
          </cell>
          <cell r="D841">
            <v>2.5</v>
          </cell>
          <cell r="E841">
            <v>40020</v>
          </cell>
          <cell r="F841">
            <v>0.6</v>
          </cell>
          <cell r="G841">
            <v>36750</v>
          </cell>
        </row>
        <row r="842">
          <cell r="A842" t="str">
            <v>43-2011</v>
          </cell>
          <cell r="B842" t="str">
            <v>Switchboard Operators, Including Answering Service</v>
          </cell>
          <cell r="C842">
            <v>43830</v>
          </cell>
          <cell r="D842">
            <v>2.5</v>
          </cell>
          <cell r="E842">
            <v>40020</v>
          </cell>
          <cell r="F842">
            <v>0.6</v>
          </cell>
          <cell r="G842">
            <v>36750</v>
          </cell>
        </row>
        <row r="843">
          <cell r="A843" t="str">
            <v>43-2020</v>
          </cell>
          <cell r="B843" t="str">
            <v>Telephone Operators</v>
          </cell>
          <cell r="C843">
            <v>4600</v>
          </cell>
          <cell r="D843">
            <v>6.4</v>
          </cell>
          <cell r="E843">
            <v>42100</v>
          </cell>
          <cell r="F843">
            <v>2</v>
          </cell>
          <cell r="G843">
            <v>38080</v>
          </cell>
        </row>
        <row r="844">
          <cell r="A844" t="str">
            <v>43-2021</v>
          </cell>
          <cell r="B844" t="str">
            <v>Telephone Operators</v>
          </cell>
          <cell r="C844">
            <v>4600</v>
          </cell>
          <cell r="D844">
            <v>6.4</v>
          </cell>
          <cell r="E844">
            <v>42100</v>
          </cell>
          <cell r="F844">
            <v>2</v>
          </cell>
          <cell r="G844">
            <v>38080</v>
          </cell>
        </row>
        <row r="845">
          <cell r="A845" t="str">
            <v>43-2090</v>
          </cell>
          <cell r="B845" t="str">
            <v>Miscellaneous Communications Equipment Operators</v>
          </cell>
          <cell r="C845">
            <v>1380</v>
          </cell>
          <cell r="D845">
            <v>11.5</v>
          </cell>
          <cell r="E845">
            <v>53240</v>
          </cell>
          <cell r="F845">
            <v>2.6</v>
          </cell>
          <cell r="G845">
            <v>49310</v>
          </cell>
        </row>
        <row r="846">
          <cell r="A846" t="str">
            <v>43-2099</v>
          </cell>
          <cell r="B846" t="str">
            <v>Communications Equipment Operators, All Other</v>
          </cell>
          <cell r="C846">
            <v>1380</v>
          </cell>
          <cell r="D846">
            <v>11.5</v>
          </cell>
          <cell r="E846">
            <v>53240</v>
          </cell>
          <cell r="F846">
            <v>2.6</v>
          </cell>
          <cell r="G846">
            <v>49310</v>
          </cell>
        </row>
        <row r="847">
          <cell r="A847" t="str">
            <v>43-3000</v>
          </cell>
          <cell r="B847" t="str">
            <v>Financial Clerks</v>
          </cell>
          <cell r="C847">
            <v>2739760</v>
          </cell>
          <cell r="D847">
            <v>0.3</v>
          </cell>
          <cell r="E847">
            <v>47860</v>
          </cell>
          <cell r="F847">
            <v>0.1</v>
          </cell>
          <cell r="G847">
            <v>45790</v>
          </cell>
        </row>
        <row r="848">
          <cell r="A848" t="str">
            <v>43-3010</v>
          </cell>
          <cell r="B848" t="str">
            <v>Bill and Account Collectors</v>
          </cell>
          <cell r="C848">
            <v>190910</v>
          </cell>
          <cell r="D848">
            <v>2.8</v>
          </cell>
          <cell r="E848">
            <v>46020</v>
          </cell>
          <cell r="F848">
            <v>0.3</v>
          </cell>
          <cell r="G848">
            <v>44250</v>
          </cell>
        </row>
        <row r="849">
          <cell r="A849" t="str">
            <v>43-3011</v>
          </cell>
          <cell r="B849" t="str">
            <v>Bill and Account Collectors</v>
          </cell>
          <cell r="C849">
            <v>190910</v>
          </cell>
          <cell r="D849">
            <v>2.8</v>
          </cell>
          <cell r="E849">
            <v>46020</v>
          </cell>
          <cell r="F849">
            <v>0.3</v>
          </cell>
          <cell r="G849">
            <v>44250</v>
          </cell>
        </row>
        <row r="850">
          <cell r="A850" t="str">
            <v>43-3020</v>
          </cell>
          <cell r="B850" t="str">
            <v>Billing and Posting Clerks</v>
          </cell>
          <cell r="C850">
            <v>430220</v>
          </cell>
          <cell r="D850">
            <v>0.9</v>
          </cell>
          <cell r="E850">
            <v>47120</v>
          </cell>
          <cell r="F850">
            <v>0.2</v>
          </cell>
          <cell r="G850">
            <v>45590</v>
          </cell>
        </row>
        <row r="851">
          <cell r="A851" t="str">
            <v>43-3021</v>
          </cell>
          <cell r="B851" t="str">
            <v>Billing and Posting Clerks</v>
          </cell>
          <cell r="C851">
            <v>430220</v>
          </cell>
          <cell r="D851">
            <v>0.9</v>
          </cell>
          <cell r="E851">
            <v>47120</v>
          </cell>
          <cell r="F851">
            <v>0.2</v>
          </cell>
          <cell r="G851">
            <v>45590</v>
          </cell>
        </row>
        <row r="852">
          <cell r="A852" t="str">
            <v>43-3030</v>
          </cell>
          <cell r="B852" t="str">
            <v>Bookkeeping, Accounting, and Auditing Clerks</v>
          </cell>
          <cell r="C852">
            <v>1501910</v>
          </cell>
          <cell r="D852">
            <v>0.4</v>
          </cell>
          <cell r="E852">
            <v>49580</v>
          </cell>
          <cell r="F852">
            <v>0.1</v>
          </cell>
          <cell r="G852">
            <v>47440</v>
          </cell>
        </row>
        <row r="853">
          <cell r="A853" t="str">
            <v>43-3031</v>
          </cell>
          <cell r="B853" t="str">
            <v>Bookkeeping, Accounting, and Auditing Clerks</v>
          </cell>
          <cell r="C853">
            <v>1501910</v>
          </cell>
          <cell r="D853">
            <v>0.4</v>
          </cell>
          <cell r="E853">
            <v>49580</v>
          </cell>
          <cell r="F853">
            <v>0.1</v>
          </cell>
          <cell r="G853">
            <v>47440</v>
          </cell>
        </row>
        <row r="854">
          <cell r="A854" t="str">
            <v>43-3040</v>
          </cell>
          <cell r="B854" t="str">
            <v>Gambling Cage Workers</v>
          </cell>
          <cell r="C854">
            <v>12560</v>
          </cell>
          <cell r="D854">
            <v>1.9</v>
          </cell>
          <cell r="E854">
            <v>36750</v>
          </cell>
          <cell r="F854">
            <v>0.7</v>
          </cell>
          <cell r="G854">
            <v>36110</v>
          </cell>
        </row>
        <row r="855">
          <cell r="A855" t="str">
            <v>43-3041</v>
          </cell>
          <cell r="B855" t="str">
            <v>Gambling Cage Workers</v>
          </cell>
          <cell r="C855">
            <v>12560</v>
          </cell>
          <cell r="D855">
            <v>1.9</v>
          </cell>
          <cell r="E855">
            <v>36750</v>
          </cell>
          <cell r="F855">
            <v>0.7</v>
          </cell>
          <cell r="G855">
            <v>36110</v>
          </cell>
        </row>
        <row r="856">
          <cell r="A856" t="str">
            <v>43-3050</v>
          </cell>
          <cell r="B856" t="str">
            <v>Payroll and Timekeeping Clerks</v>
          </cell>
          <cell r="C856">
            <v>157230</v>
          </cell>
          <cell r="D856">
            <v>1.2</v>
          </cell>
          <cell r="E856">
            <v>54690</v>
          </cell>
          <cell r="F856">
            <v>0.3</v>
          </cell>
          <cell r="G856">
            <v>52240</v>
          </cell>
        </row>
        <row r="857">
          <cell r="A857" t="str">
            <v>43-3051</v>
          </cell>
          <cell r="B857" t="str">
            <v>Payroll and Timekeeping Clerks</v>
          </cell>
          <cell r="C857">
            <v>157230</v>
          </cell>
          <cell r="D857">
            <v>1.2</v>
          </cell>
          <cell r="E857">
            <v>54690</v>
          </cell>
          <cell r="F857">
            <v>0.3</v>
          </cell>
          <cell r="G857">
            <v>52240</v>
          </cell>
        </row>
        <row r="858">
          <cell r="A858" t="str">
            <v>43-3060</v>
          </cell>
          <cell r="B858" t="str">
            <v>Procurement Clerks</v>
          </cell>
          <cell r="C858">
            <v>61580</v>
          </cell>
          <cell r="D858">
            <v>1.1000000000000001</v>
          </cell>
          <cell r="E858">
            <v>47940</v>
          </cell>
          <cell r="F858">
            <v>0.3</v>
          </cell>
          <cell r="G858">
            <v>46670</v>
          </cell>
        </row>
        <row r="859">
          <cell r="A859" t="str">
            <v>43-3061</v>
          </cell>
          <cell r="B859" t="str">
            <v>Procurement Clerks</v>
          </cell>
          <cell r="C859">
            <v>61580</v>
          </cell>
          <cell r="D859">
            <v>1.1000000000000001</v>
          </cell>
          <cell r="E859">
            <v>47940</v>
          </cell>
          <cell r="F859">
            <v>0.3</v>
          </cell>
          <cell r="G859">
            <v>46670</v>
          </cell>
        </row>
        <row r="860">
          <cell r="A860" t="str">
            <v>43-3070</v>
          </cell>
          <cell r="B860" t="str">
            <v>Tellers</v>
          </cell>
          <cell r="C860">
            <v>340820</v>
          </cell>
          <cell r="D860">
            <v>2.1</v>
          </cell>
          <cell r="E860">
            <v>38850</v>
          </cell>
          <cell r="F860">
            <v>0.2</v>
          </cell>
          <cell r="G860">
            <v>37640</v>
          </cell>
        </row>
        <row r="861">
          <cell r="A861" t="str">
            <v>43-3071</v>
          </cell>
          <cell r="B861" t="str">
            <v>Tellers</v>
          </cell>
          <cell r="C861">
            <v>340820</v>
          </cell>
          <cell r="D861">
            <v>2.1</v>
          </cell>
          <cell r="E861">
            <v>38850</v>
          </cell>
          <cell r="F861">
            <v>0.2</v>
          </cell>
          <cell r="G861">
            <v>37640</v>
          </cell>
        </row>
        <row r="862">
          <cell r="A862" t="str">
            <v>43-3090</v>
          </cell>
          <cell r="B862" t="str">
            <v>Miscellaneous Financial Clerks</v>
          </cell>
          <cell r="C862">
            <v>44520</v>
          </cell>
          <cell r="D862">
            <v>4</v>
          </cell>
          <cell r="E862">
            <v>52690</v>
          </cell>
          <cell r="F862">
            <v>0.6</v>
          </cell>
          <cell r="G862">
            <v>49940</v>
          </cell>
        </row>
        <row r="863">
          <cell r="A863" t="str">
            <v>43-3099</v>
          </cell>
          <cell r="B863" t="str">
            <v>Financial Clerks, All Other</v>
          </cell>
          <cell r="C863">
            <v>44520</v>
          </cell>
          <cell r="D863">
            <v>4</v>
          </cell>
          <cell r="E863">
            <v>52690</v>
          </cell>
          <cell r="F863">
            <v>0.6</v>
          </cell>
          <cell r="G863">
            <v>49940</v>
          </cell>
        </row>
        <row r="864">
          <cell r="A864" t="str">
            <v>43-4000</v>
          </cell>
          <cell r="B864" t="str">
            <v>Information and Record Clerks</v>
          </cell>
          <cell r="C864">
            <v>5537420</v>
          </cell>
          <cell r="D864">
            <v>0.2</v>
          </cell>
          <cell r="E864">
            <v>42610</v>
          </cell>
          <cell r="F864">
            <v>0.1</v>
          </cell>
          <cell r="G864">
            <v>39030</v>
          </cell>
        </row>
        <row r="865">
          <cell r="A865" t="str">
            <v>43-4010</v>
          </cell>
          <cell r="B865" t="str">
            <v>Brokerage Clerks</v>
          </cell>
          <cell r="C865">
            <v>48060</v>
          </cell>
          <cell r="D865">
            <v>3.5</v>
          </cell>
          <cell r="E865">
            <v>63130</v>
          </cell>
          <cell r="F865">
            <v>0.9</v>
          </cell>
          <cell r="G865">
            <v>60150</v>
          </cell>
        </row>
        <row r="866">
          <cell r="A866" t="str">
            <v>43-4011</v>
          </cell>
          <cell r="B866" t="str">
            <v>Brokerage Clerks</v>
          </cell>
          <cell r="C866">
            <v>48060</v>
          </cell>
          <cell r="D866">
            <v>3.5</v>
          </cell>
          <cell r="E866">
            <v>63130</v>
          </cell>
          <cell r="F866">
            <v>0.9</v>
          </cell>
          <cell r="G866">
            <v>60150</v>
          </cell>
        </row>
        <row r="867">
          <cell r="A867" t="str">
            <v>43-4020</v>
          </cell>
          <cell r="B867" t="str">
            <v>Correspondence Clerks</v>
          </cell>
          <cell r="C867">
            <v>4650</v>
          </cell>
          <cell r="D867">
            <v>15</v>
          </cell>
          <cell r="E867">
            <v>46940</v>
          </cell>
          <cell r="F867">
            <v>6.1</v>
          </cell>
          <cell r="G867">
            <v>42120</v>
          </cell>
        </row>
        <row r="868">
          <cell r="A868" t="str">
            <v>43-4021</v>
          </cell>
          <cell r="B868" t="str">
            <v>Correspondence Clerks</v>
          </cell>
          <cell r="C868">
            <v>4650</v>
          </cell>
          <cell r="D868">
            <v>15</v>
          </cell>
          <cell r="E868">
            <v>46940</v>
          </cell>
          <cell r="F868">
            <v>6.1</v>
          </cell>
          <cell r="G868">
            <v>42120</v>
          </cell>
        </row>
        <row r="869">
          <cell r="A869" t="str">
            <v>43-4030</v>
          </cell>
          <cell r="B869" t="str">
            <v>Court, Municipal, and License Clerks</v>
          </cell>
          <cell r="C869">
            <v>157960</v>
          </cell>
          <cell r="D869">
            <v>0.6</v>
          </cell>
          <cell r="E869">
            <v>48760</v>
          </cell>
          <cell r="F869">
            <v>0.2</v>
          </cell>
          <cell r="G869">
            <v>46110</v>
          </cell>
        </row>
        <row r="870">
          <cell r="A870" t="str">
            <v>43-4031</v>
          </cell>
          <cell r="B870" t="str">
            <v>Court, Municipal, and License Clerks</v>
          </cell>
          <cell r="C870">
            <v>157960</v>
          </cell>
          <cell r="D870">
            <v>0.6</v>
          </cell>
          <cell r="E870">
            <v>48760</v>
          </cell>
          <cell r="F870">
            <v>0.2</v>
          </cell>
          <cell r="G870">
            <v>46110</v>
          </cell>
        </row>
        <row r="871">
          <cell r="A871" t="str">
            <v>43-4040</v>
          </cell>
          <cell r="B871" t="str">
            <v>Credit Authorizers, Checkers, and Clerks</v>
          </cell>
          <cell r="C871">
            <v>14290</v>
          </cell>
          <cell r="D871">
            <v>4.0999999999999996</v>
          </cell>
          <cell r="E871">
            <v>50380</v>
          </cell>
          <cell r="F871">
            <v>1.2</v>
          </cell>
          <cell r="G871">
            <v>48000</v>
          </cell>
        </row>
        <row r="872">
          <cell r="A872" t="str">
            <v>43-4041</v>
          </cell>
          <cell r="B872" t="str">
            <v>Credit Authorizers, Checkers, and Clerks</v>
          </cell>
          <cell r="C872">
            <v>14290</v>
          </cell>
          <cell r="D872">
            <v>4.0999999999999996</v>
          </cell>
          <cell r="E872">
            <v>50380</v>
          </cell>
          <cell r="F872">
            <v>1.2</v>
          </cell>
          <cell r="G872">
            <v>48000</v>
          </cell>
        </row>
        <row r="873">
          <cell r="A873" t="str">
            <v>43-4050</v>
          </cell>
          <cell r="B873" t="str">
            <v>Customer Service Representatives</v>
          </cell>
          <cell r="C873">
            <v>2858710</v>
          </cell>
          <cell r="D873">
            <v>0.5</v>
          </cell>
          <cell r="E873">
            <v>43520</v>
          </cell>
          <cell r="F873">
            <v>0.1</v>
          </cell>
          <cell r="G873">
            <v>39680</v>
          </cell>
        </row>
        <row r="874">
          <cell r="A874" t="str">
            <v>43-4051</v>
          </cell>
          <cell r="B874" t="str">
            <v>Customer Service Representatives</v>
          </cell>
          <cell r="C874">
            <v>2858710</v>
          </cell>
          <cell r="D874">
            <v>0.5</v>
          </cell>
          <cell r="E874">
            <v>43520</v>
          </cell>
          <cell r="F874">
            <v>0.1</v>
          </cell>
          <cell r="G874">
            <v>39680</v>
          </cell>
        </row>
        <row r="875">
          <cell r="A875" t="str">
            <v>43-4060</v>
          </cell>
          <cell r="B875" t="str">
            <v>Eligibility Interviewers, Government Programs</v>
          </cell>
          <cell r="C875">
            <v>150190</v>
          </cell>
          <cell r="D875">
            <v>0.6</v>
          </cell>
          <cell r="E875">
            <v>51840</v>
          </cell>
          <cell r="F875">
            <v>0.1</v>
          </cell>
          <cell r="G875">
            <v>50270</v>
          </cell>
        </row>
        <row r="876">
          <cell r="A876" t="str">
            <v>43-4061</v>
          </cell>
          <cell r="B876" t="str">
            <v>Eligibility Interviewers, Government Programs</v>
          </cell>
          <cell r="C876">
            <v>150190</v>
          </cell>
          <cell r="D876">
            <v>0.6</v>
          </cell>
          <cell r="E876">
            <v>51840</v>
          </cell>
          <cell r="F876">
            <v>0.1</v>
          </cell>
          <cell r="G876">
            <v>50270</v>
          </cell>
        </row>
        <row r="877">
          <cell r="A877" t="str">
            <v>43-4070</v>
          </cell>
          <cell r="B877" t="str">
            <v>File Clerks</v>
          </cell>
          <cell r="C877">
            <v>82290</v>
          </cell>
          <cell r="D877">
            <v>2.2000000000000002</v>
          </cell>
          <cell r="E877">
            <v>40730</v>
          </cell>
          <cell r="F877">
            <v>0.5</v>
          </cell>
          <cell r="G877">
            <v>38130</v>
          </cell>
        </row>
        <row r="878">
          <cell r="A878" t="str">
            <v>43-4071</v>
          </cell>
          <cell r="B878" t="str">
            <v>File Clerks</v>
          </cell>
          <cell r="C878">
            <v>82290</v>
          </cell>
          <cell r="D878">
            <v>2.2000000000000002</v>
          </cell>
          <cell r="E878">
            <v>40730</v>
          </cell>
          <cell r="F878">
            <v>0.5</v>
          </cell>
          <cell r="G878">
            <v>38130</v>
          </cell>
        </row>
        <row r="879">
          <cell r="A879" t="str">
            <v>43-4080</v>
          </cell>
          <cell r="B879" t="str">
            <v>Hotel, Motel, and Resort Desk Clerks</v>
          </cell>
          <cell r="C879">
            <v>263800</v>
          </cell>
          <cell r="D879">
            <v>1.3</v>
          </cell>
          <cell r="E879">
            <v>32570</v>
          </cell>
          <cell r="F879">
            <v>0.5</v>
          </cell>
          <cell r="G879">
            <v>30790</v>
          </cell>
        </row>
        <row r="880">
          <cell r="A880" t="str">
            <v>43-4081</v>
          </cell>
          <cell r="B880" t="str">
            <v>Hotel, Motel, and Resort Desk Clerks</v>
          </cell>
          <cell r="C880">
            <v>263800</v>
          </cell>
          <cell r="D880">
            <v>1.3</v>
          </cell>
          <cell r="E880">
            <v>32570</v>
          </cell>
          <cell r="F880">
            <v>0.5</v>
          </cell>
          <cell r="G880">
            <v>30790</v>
          </cell>
        </row>
        <row r="881">
          <cell r="A881" t="str">
            <v>43-4110</v>
          </cell>
          <cell r="B881" t="str">
            <v>Interviewers, Except Eligibility and Loan</v>
          </cell>
          <cell r="C881">
            <v>160550</v>
          </cell>
          <cell r="D881">
            <v>1</v>
          </cell>
          <cell r="E881">
            <v>42750</v>
          </cell>
          <cell r="F881">
            <v>0.3</v>
          </cell>
          <cell r="G881">
            <v>40300</v>
          </cell>
        </row>
        <row r="882">
          <cell r="A882" t="str">
            <v>43-4111</v>
          </cell>
          <cell r="B882" t="str">
            <v>Interviewers, Except Eligibility and Loan</v>
          </cell>
          <cell r="C882">
            <v>160550</v>
          </cell>
          <cell r="D882">
            <v>1</v>
          </cell>
          <cell r="E882">
            <v>42750</v>
          </cell>
          <cell r="F882">
            <v>0.3</v>
          </cell>
          <cell r="G882">
            <v>40300</v>
          </cell>
        </row>
        <row r="883">
          <cell r="A883" t="str">
            <v>43-4120</v>
          </cell>
          <cell r="B883" t="str">
            <v>Library Assistants, Clerical</v>
          </cell>
          <cell r="C883">
            <v>83680</v>
          </cell>
          <cell r="D883">
            <v>1.4</v>
          </cell>
          <cell r="E883">
            <v>35970</v>
          </cell>
          <cell r="F883">
            <v>0.3</v>
          </cell>
          <cell r="G883">
            <v>34020</v>
          </cell>
        </row>
        <row r="884">
          <cell r="A884" t="str">
            <v>43-4121</v>
          </cell>
          <cell r="B884" t="str">
            <v>Library Assistants, Clerical</v>
          </cell>
          <cell r="C884">
            <v>83680</v>
          </cell>
          <cell r="D884">
            <v>1.4</v>
          </cell>
          <cell r="E884">
            <v>35970</v>
          </cell>
          <cell r="F884">
            <v>0.3</v>
          </cell>
          <cell r="G884">
            <v>34020</v>
          </cell>
        </row>
        <row r="885">
          <cell r="A885" t="str">
            <v>43-4130</v>
          </cell>
          <cell r="B885" t="str">
            <v>Loan Interviewers and Clerks</v>
          </cell>
          <cell r="C885">
            <v>203940</v>
          </cell>
          <cell r="D885">
            <v>0.9</v>
          </cell>
          <cell r="E885">
            <v>48660</v>
          </cell>
          <cell r="F885">
            <v>0.3</v>
          </cell>
          <cell r="G885">
            <v>47380</v>
          </cell>
        </row>
        <row r="886">
          <cell r="A886" t="str">
            <v>43-4131</v>
          </cell>
          <cell r="B886" t="str">
            <v>Loan Interviewers and Clerks</v>
          </cell>
          <cell r="C886">
            <v>203940</v>
          </cell>
          <cell r="D886">
            <v>0.9</v>
          </cell>
          <cell r="E886">
            <v>48660</v>
          </cell>
          <cell r="F886">
            <v>0.3</v>
          </cell>
          <cell r="G886">
            <v>47380</v>
          </cell>
        </row>
        <row r="887">
          <cell r="A887" t="str">
            <v>43-4140</v>
          </cell>
          <cell r="B887" t="str">
            <v>New Accounts Clerks</v>
          </cell>
          <cell r="C887">
            <v>41180</v>
          </cell>
          <cell r="D887">
            <v>4</v>
          </cell>
          <cell r="E887">
            <v>44670</v>
          </cell>
          <cell r="F887">
            <v>0.9</v>
          </cell>
          <cell r="G887">
            <v>44630</v>
          </cell>
        </row>
        <row r="888">
          <cell r="A888" t="str">
            <v>43-4141</v>
          </cell>
          <cell r="B888" t="str">
            <v>New Accounts Clerks</v>
          </cell>
          <cell r="C888">
            <v>41180</v>
          </cell>
          <cell r="D888">
            <v>4</v>
          </cell>
          <cell r="E888">
            <v>44670</v>
          </cell>
          <cell r="F888">
            <v>0.9</v>
          </cell>
          <cell r="G888">
            <v>44630</v>
          </cell>
        </row>
        <row r="889">
          <cell r="A889" t="str">
            <v>43-4150</v>
          </cell>
          <cell r="B889" t="str">
            <v>Order Clerks</v>
          </cell>
          <cell r="C889">
            <v>91830</v>
          </cell>
          <cell r="D889">
            <v>2.1</v>
          </cell>
          <cell r="E889">
            <v>43530</v>
          </cell>
          <cell r="F889">
            <v>0.7</v>
          </cell>
          <cell r="G889">
            <v>41600</v>
          </cell>
        </row>
        <row r="890">
          <cell r="A890" t="str">
            <v>43-4151</v>
          </cell>
          <cell r="B890" t="str">
            <v>Order Clerks</v>
          </cell>
          <cell r="C890">
            <v>91830</v>
          </cell>
          <cell r="D890">
            <v>2.1</v>
          </cell>
          <cell r="E890">
            <v>43530</v>
          </cell>
          <cell r="F890">
            <v>0.7</v>
          </cell>
          <cell r="G890">
            <v>41600</v>
          </cell>
        </row>
        <row r="891">
          <cell r="A891" t="str">
            <v>43-4160</v>
          </cell>
          <cell r="B891" t="str">
            <v>Human Resources Assistants, Except Payroll and Timekeeping</v>
          </cell>
          <cell r="C891">
            <v>101440</v>
          </cell>
          <cell r="D891">
            <v>1.2</v>
          </cell>
          <cell r="E891">
            <v>48800</v>
          </cell>
          <cell r="F891">
            <v>0.3</v>
          </cell>
          <cell r="G891">
            <v>47710</v>
          </cell>
        </row>
        <row r="892">
          <cell r="A892" t="str">
            <v>43-4161</v>
          </cell>
          <cell r="B892" t="str">
            <v>Human Resources Assistants, Except Payroll and Timekeeping</v>
          </cell>
          <cell r="C892">
            <v>101440</v>
          </cell>
          <cell r="D892">
            <v>1.2</v>
          </cell>
          <cell r="E892">
            <v>48800</v>
          </cell>
          <cell r="F892">
            <v>0.3</v>
          </cell>
          <cell r="G892">
            <v>47710</v>
          </cell>
        </row>
        <row r="893">
          <cell r="A893" t="str">
            <v>43-4170</v>
          </cell>
          <cell r="B893" t="str">
            <v>Receptionists and Information Clerks</v>
          </cell>
          <cell r="C893">
            <v>1003820</v>
          </cell>
          <cell r="D893">
            <v>1.1000000000000001</v>
          </cell>
          <cell r="E893">
            <v>36590</v>
          </cell>
          <cell r="F893">
            <v>0.2</v>
          </cell>
          <cell r="G893">
            <v>35840</v>
          </cell>
        </row>
        <row r="894">
          <cell r="A894" t="str">
            <v>43-4171</v>
          </cell>
          <cell r="B894" t="str">
            <v>Receptionists and Information Clerks</v>
          </cell>
          <cell r="C894">
            <v>1003820</v>
          </cell>
          <cell r="D894">
            <v>1.1000000000000001</v>
          </cell>
          <cell r="E894">
            <v>36590</v>
          </cell>
          <cell r="F894">
            <v>0.2</v>
          </cell>
          <cell r="G894">
            <v>35840</v>
          </cell>
        </row>
        <row r="895">
          <cell r="A895" t="str">
            <v>43-4180</v>
          </cell>
          <cell r="B895" t="str">
            <v>Reservation and Transportation Ticket Agents and Travel Clerks</v>
          </cell>
          <cell r="C895">
            <v>119270</v>
          </cell>
          <cell r="D895">
            <v>1.1000000000000001</v>
          </cell>
          <cell r="E895">
            <v>46820</v>
          </cell>
          <cell r="F895">
            <v>0.4</v>
          </cell>
          <cell r="G895">
            <v>40610</v>
          </cell>
        </row>
        <row r="896">
          <cell r="A896" t="str">
            <v>43-4181</v>
          </cell>
          <cell r="B896" t="str">
            <v>Reservation and Transportation Ticket Agents and Travel Clerks</v>
          </cell>
          <cell r="C896">
            <v>119270</v>
          </cell>
          <cell r="D896">
            <v>1.1000000000000001</v>
          </cell>
          <cell r="E896">
            <v>46820</v>
          </cell>
          <cell r="F896">
            <v>0.4</v>
          </cell>
          <cell r="G896">
            <v>40610</v>
          </cell>
        </row>
        <row r="897">
          <cell r="A897" t="str">
            <v>43-4190</v>
          </cell>
          <cell r="B897" t="str">
            <v>Miscellaneous Information and Record Clerks</v>
          </cell>
          <cell r="C897">
            <v>151760</v>
          </cell>
          <cell r="D897">
            <v>0.8</v>
          </cell>
          <cell r="E897">
            <v>47840</v>
          </cell>
          <cell r="F897">
            <v>0.4</v>
          </cell>
          <cell r="G897">
            <v>46210</v>
          </cell>
        </row>
        <row r="898">
          <cell r="A898" t="str">
            <v>43-4199</v>
          </cell>
          <cell r="B898" t="str">
            <v>Information and Record Clerks, All Other</v>
          </cell>
          <cell r="C898">
            <v>151760</v>
          </cell>
          <cell r="D898">
            <v>0.8</v>
          </cell>
          <cell r="E898">
            <v>47840</v>
          </cell>
          <cell r="F898">
            <v>0.4</v>
          </cell>
          <cell r="G898">
            <v>46210</v>
          </cell>
        </row>
        <row r="899">
          <cell r="A899" t="str">
            <v>43-5000</v>
          </cell>
          <cell r="B899" t="str">
            <v>Material Recording, Scheduling, Dispatching, and Distributing Workers</v>
          </cell>
          <cell r="C899">
            <v>2316650</v>
          </cell>
          <cell r="D899">
            <v>0.8</v>
          </cell>
          <cell r="E899">
            <v>50430</v>
          </cell>
          <cell r="F899">
            <v>0.2</v>
          </cell>
          <cell r="G899">
            <v>46590</v>
          </cell>
        </row>
        <row r="900">
          <cell r="A900" t="str">
            <v>43-5010</v>
          </cell>
          <cell r="B900" t="str">
            <v>Cargo and Freight Agents</v>
          </cell>
          <cell r="C900">
            <v>105220</v>
          </cell>
          <cell r="D900">
            <v>2.4</v>
          </cell>
          <cell r="E900">
            <v>52460</v>
          </cell>
          <cell r="F900">
            <v>0.8</v>
          </cell>
          <cell r="G900">
            <v>48330</v>
          </cell>
        </row>
        <row r="901">
          <cell r="A901" t="str">
            <v>43-5011</v>
          </cell>
          <cell r="B901" t="str">
            <v>Cargo and Freight Agents</v>
          </cell>
          <cell r="C901">
            <v>105220</v>
          </cell>
          <cell r="D901">
            <v>2.4</v>
          </cell>
          <cell r="E901">
            <v>52460</v>
          </cell>
          <cell r="F901">
            <v>0.8</v>
          </cell>
          <cell r="G901">
            <v>48330</v>
          </cell>
        </row>
        <row r="902">
          <cell r="A902" t="str">
            <v>43-5020</v>
          </cell>
          <cell r="B902" t="str">
            <v>Couriers and Messengers</v>
          </cell>
          <cell r="C902">
            <v>72010</v>
          </cell>
          <cell r="D902">
            <v>2.2999999999999998</v>
          </cell>
          <cell r="E902">
            <v>38350</v>
          </cell>
          <cell r="F902">
            <v>0.4</v>
          </cell>
          <cell r="G902">
            <v>36710</v>
          </cell>
        </row>
        <row r="903">
          <cell r="A903" t="str">
            <v>43-5021</v>
          </cell>
          <cell r="B903" t="str">
            <v>Couriers and Messengers</v>
          </cell>
          <cell r="C903">
            <v>72010</v>
          </cell>
          <cell r="D903">
            <v>2.2999999999999998</v>
          </cell>
          <cell r="E903">
            <v>38350</v>
          </cell>
          <cell r="F903">
            <v>0.4</v>
          </cell>
          <cell r="G903">
            <v>36710</v>
          </cell>
        </row>
        <row r="904">
          <cell r="A904" t="str">
            <v>43-5030</v>
          </cell>
          <cell r="B904" t="str">
            <v>Dispatchers</v>
          </cell>
          <cell r="C904">
            <v>303910</v>
          </cell>
          <cell r="D904">
            <v>0.7</v>
          </cell>
          <cell r="E904">
            <v>51250</v>
          </cell>
          <cell r="F904">
            <v>0.2</v>
          </cell>
          <cell r="G904">
            <v>47530</v>
          </cell>
        </row>
        <row r="905">
          <cell r="A905" t="str">
            <v>43-5031</v>
          </cell>
          <cell r="B905" t="str">
            <v>Public Safety Telecommunicators</v>
          </cell>
          <cell r="C905">
            <v>97820</v>
          </cell>
          <cell r="D905">
            <v>0.9</v>
          </cell>
          <cell r="E905">
            <v>52140</v>
          </cell>
          <cell r="F905">
            <v>0.3</v>
          </cell>
          <cell r="G905">
            <v>48890</v>
          </cell>
        </row>
        <row r="906">
          <cell r="A906" t="str">
            <v>43-5032</v>
          </cell>
          <cell r="B906" t="str">
            <v>Dispatchers, Except Police, Fire, and Ambulance</v>
          </cell>
          <cell r="C906">
            <v>206090</v>
          </cell>
          <cell r="D906">
            <v>1</v>
          </cell>
          <cell r="E906">
            <v>50830</v>
          </cell>
          <cell r="F906">
            <v>0.3</v>
          </cell>
          <cell r="G906">
            <v>46860</v>
          </cell>
        </row>
        <row r="907">
          <cell r="A907" t="str">
            <v>43-5040</v>
          </cell>
          <cell r="B907" t="str">
            <v>Meter Readers, Utilities</v>
          </cell>
          <cell r="C907">
            <v>19900</v>
          </cell>
          <cell r="D907">
            <v>3</v>
          </cell>
          <cell r="E907">
            <v>53610</v>
          </cell>
          <cell r="F907">
            <v>0.9</v>
          </cell>
          <cell r="G907">
            <v>47720</v>
          </cell>
        </row>
        <row r="908">
          <cell r="A908" t="str">
            <v>43-5041</v>
          </cell>
          <cell r="B908" t="str">
            <v>Meter Readers, Utilities</v>
          </cell>
          <cell r="C908">
            <v>19900</v>
          </cell>
          <cell r="D908">
            <v>3</v>
          </cell>
          <cell r="E908">
            <v>53610</v>
          </cell>
          <cell r="F908">
            <v>0.9</v>
          </cell>
          <cell r="G908">
            <v>47720</v>
          </cell>
        </row>
        <row r="909">
          <cell r="A909" t="str">
            <v>43-5050</v>
          </cell>
          <cell r="B909" t="str">
            <v>Postal Service Workers</v>
          </cell>
          <cell r="C909">
            <v>526260</v>
          </cell>
          <cell r="D909">
            <v>0</v>
          </cell>
          <cell r="E909">
            <v>58660</v>
          </cell>
          <cell r="F909">
            <v>0</v>
          </cell>
          <cell r="G909">
            <v>56510</v>
          </cell>
        </row>
        <row r="910">
          <cell r="A910" t="str">
            <v>43-5051</v>
          </cell>
          <cell r="B910" t="str">
            <v>Postal Service Clerks</v>
          </cell>
          <cell r="C910">
            <v>78130</v>
          </cell>
          <cell r="D910">
            <v>0</v>
          </cell>
          <cell r="E910">
            <v>59240</v>
          </cell>
          <cell r="F910">
            <v>0</v>
          </cell>
          <cell r="G910">
            <v>59570</v>
          </cell>
        </row>
        <row r="911">
          <cell r="A911" t="str">
            <v>43-5052</v>
          </cell>
          <cell r="B911" t="str">
            <v>Postal Service Mail Carriers</v>
          </cell>
          <cell r="C911">
            <v>331600</v>
          </cell>
          <cell r="D911">
            <v>0</v>
          </cell>
          <cell r="E911">
            <v>59340</v>
          </cell>
          <cell r="F911">
            <v>0</v>
          </cell>
          <cell r="G911">
            <v>56330</v>
          </cell>
        </row>
        <row r="912">
          <cell r="A912" t="str">
            <v>43-5053</v>
          </cell>
          <cell r="B912" t="str">
            <v>Postal Service Mail Sorters, Processors, and Processing Machine Operators</v>
          </cell>
          <cell r="C912">
            <v>116540</v>
          </cell>
          <cell r="D912">
            <v>0</v>
          </cell>
          <cell r="E912">
            <v>56350</v>
          </cell>
          <cell r="F912">
            <v>0</v>
          </cell>
          <cell r="G912">
            <v>53440</v>
          </cell>
        </row>
        <row r="913">
          <cell r="A913" t="str">
            <v>43-5060</v>
          </cell>
          <cell r="B913" t="str">
            <v>Production, Planning, and Expediting Clerks</v>
          </cell>
          <cell r="C913">
            <v>393980</v>
          </cell>
          <cell r="D913">
            <v>0.9</v>
          </cell>
          <cell r="E913">
            <v>57610</v>
          </cell>
          <cell r="F913">
            <v>0.2</v>
          </cell>
          <cell r="G913">
            <v>53900</v>
          </cell>
        </row>
        <row r="914">
          <cell r="A914" t="str">
            <v>43-5061</v>
          </cell>
          <cell r="B914" t="str">
            <v>Production, Planning, and Expediting Clerks</v>
          </cell>
          <cell r="C914">
            <v>393980</v>
          </cell>
          <cell r="D914">
            <v>0.9</v>
          </cell>
          <cell r="E914">
            <v>57610</v>
          </cell>
          <cell r="F914">
            <v>0.2</v>
          </cell>
          <cell r="G914">
            <v>53900</v>
          </cell>
        </row>
        <row r="915">
          <cell r="A915" t="str">
            <v>43-5070</v>
          </cell>
          <cell r="B915" t="str">
            <v>Shipping, Receiving, and Inventory Clerks</v>
          </cell>
          <cell r="C915">
            <v>844120</v>
          </cell>
          <cell r="D915">
            <v>1.5</v>
          </cell>
          <cell r="E915">
            <v>42730</v>
          </cell>
          <cell r="F915">
            <v>0.2</v>
          </cell>
          <cell r="G915">
            <v>39780</v>
          </cell>
        </row>
        <row r="916">
          <cell r="A916" t="str">
            <v>43-5071</v>
          </cell>
          <cell r="B916" t="str">
            <v>Shipping, Receiving, and Inventory Clerks</v>
          </cell>
          <cell r="C916">
            <v>844120</v>
          </cell>
          <cell r="D916">
            <v>1.5</v>
          </cell>
          <cell r="E916">
            <v>42730</v>
          </cell>
          <cell r="F916">
            <v>0.2</v>
          </cell>
          <cell r="G916">
            <v>39780</v>
          </cell>
        </row>
        <row r="917">
          <cell r="A917" t="str">
            <v>43-5110</v>
          </cell>
          <cell r="B917" t="str">
            <v>Weighers, Measurers, Checkers, and Samplers, Recordkeeping</v>
          </cell>
          <cell r="C917">
            <v>51250</v>
          </cell>
          <cell r="D917">
            <v>2.2000000000000002</v>
          </cell>
          <cell r="E917">
            <v>44240</v>
          </cell>
          <cell r="F917">
            <v>0.3</v>
          </cell>
          <cell r="G917">
            <v>43270</v>
          </cell>
        </row>
        <row r="918">
          <cell r="A918" t="str">
            <v>43-5111</v>
          </cell>
          <cell r="B918" t="str">
            <v>Weighers, Measurers, Checkers, and Samplers, Recordkeeping</v>
          </cell>
          <cell r="C918">
            <v>51250</v>
          </cell>
          <cell r="D918">
            <v>2.2000000000000002</v>
          </cell>
          <cell r="E918">
            <v>44240</v>
          </cell>
          <cell r="F918">
            <v>0.3</v>
          </cell>
          <cell r="G918">
            <v>43270</v>
          </cell>
        </row>
        <row r="919">
          <cell r="A919" t="str">
            <v>43-6000</v>
          </cell>
          <cell r="B919" t="str">
            <v>Secretaries and Administrative Assistants</v>
          </cell>
          <cell r="C919">
            <v>3171290</v>
          </cell>
          <cell r="D919">
            <v>0.3</v>
          </cell>
          <cell r="E919">
            <v>49810</v>
          </cell>
          <cell r="F919">
            <v>0.2</v>
          </cell>
          <cell r="G919">
            <v>46010</v>
          </cell>
        </row>
        <row r="920">
          <cell r="A920" t="str">
            <v>43-6010</v>
          </cell>
          <cell r="B920" t="str">
            <v>Secretaries and Administrative Assistants</v>
          </cell>
          <cell r="C920">
            <v>3171290</v>
          </cell>
          <cell r="D920">
            <v>0.3</v>
          </cell>
          <cell r="E920">
            <v>49810</v>
          </cell>
          <cell r="F920">
            <v>0.2</v>
          </cell>
          <cell r="G920">
            <v>46010</v>
          </cell>
        </row>
        <row r="921">
          <cell r="A921" t="str">
            <v>43-6011</v>
          </cell>
          <cell r="B921" t="str">
            <v>Executive Secretaries and Executive Administrative Assistants</v>
          </cell>
          <cell r="C921">
            <v>483570</v>
          </cell>
          <cell r="D921">
            <v>1</v>
          </cell>
          <cell r="E921">
            <v>73680</v>
          </cell>
          <cell r="F921">
            <v>0.2</v>
          </cell>
          <cell r="G921">
            <v>70310</v>
          </cell>
        </row>
        <row r="922">
          <cell r="A922" t="str">
            <v>43-6012</v>
          </cell>
          <cell r="B922" t="str">
            <v>Legal Secretaries and Administrative Assistants</v>
          </cell>
          <cell r="C922">
            <v>152790</v>
          </cell>
          <cell r="D922">
            <v>2.1</v>
          </cell>
          <cell r="E922">
            <v>56330</v>
          </cell>
          <cell r="F922">
            <v>0.6</v>
          </cell>
          <cell r="G922">
            <v>50680</v>
          </cell>
        </row>
        <row r="923">
          <cell r="A923" t="str">
            <v>43-6013</v>
          </cell>
          <cell r="B923" t="str">
            <v>Medical Secretaries and Administrative Assistants</v>
          </cell>
          <cell r="C923">
            <v>749500</v>
          </cell>
          <cell r="D923">
            <v>0.6</v>
          </cell>
          <cell r="E923">
            <v>43380</v>
          </cell>
          <cell r="F923">
            <v>0.2</v>
          </cell>
          <cell r="G923">
            <v>40640</v>
          </cell>
        </row>
        <row r="924">
          <cell r="A924" t="str">
            <v>43-6014</v>
          </cell>
          <cell r="B924" t="str">
            <v>Secretaries and Administrative Assistants, Except Legal, Medical, and Executive</v>
          </cell>
          <cell r="C924">
            <v>1785430</v>
          </cell>
          <cell r="D924">
            <v>0.3</v>
          </cell>
          <cell r="E924">
            <v>45490</v>
          </cell>
          <cell r="F924">
            <v>0.1</v>
          </cell>
          <cell r="G924">
            <v>44280</v>
          </cell>
        </row>
        <row r="925">
          <cell r="A925" t="str">
            <v>43-9000</v>
          </cell>
          <cell r="B925" t="str">
            <v>Other Office and Administrative Support Workers</v>
          </cell>
          <cell r="C925">
            <v>3213950</v>
          </cell>
          <cell r="D925">
            <v>0.6</v>
          </cell>
          <cell r="E925">
            <v>43970</v>
          </cell>
          <cell r="F925">
            <v>0.1</v>
          </cell>
          <cell r="G925">
            <v>40950</v>
          </cell>
        </row>
        <row r="926">
          <cell r="A926" t="str">
            <v>43-9020</v>
          </cell>
          <cell r="B926" t="str">
            <v>Data Entry and Information Processing Workers</v>
          </cell>
          <cell r="C926">
            <v>191430</v>
          </cell>
          <cell r="D926">
            <v>1.9</v>
          </cell>
          <cell r="E926">
            <v>41490</v>
          </cell>
          <cell r="F926">
            <v>0.4</v>
          </cell>
          <cell r="G926">
            <v>38970</v>
          </cell>
        </row>
        <row r="927">
          <cell r="A927" t="str">
            <v>43-9021</v>
          </cell>
          <cell r="B927" t="str">
            <v>Data Entry Keyers</v>
          </cell>
          <cell r="C927">
            <v>154230</v>
          </cell>
          <cell r="D927">
            <v>2.4</v>
          </cell>
          <cell r="E927">
            <v>40130</v>
          </cell>
          <cell r="F927">
            <v>0.4</v>
          </cell>
          <cell r="G927">
            <v>37790</v>
          </cell>
        </row>
        <row r="928">
          <cell r="A928" t="str">
            <v>43-9022</v>
          </cell>
          <cell r="B928" t="str">
            <v>Word Processors and Typists</v>
          </cell>
          <cell r="C928">
            <v>37200</v>
          </cell>
          <cell r="D928">
            <v>1.9</v>
          </cell>
          <cell r="E928">
            <v>47170</v>
          </cell>
          <cell r="F928">
            <v>0.5</v>
          </cell>
          <cell r="G928">
            <v>46450</v>
          </cell>
        </row>
        <row r="929">
          <cell r="A929" t="str">
            <v>43-9030</v>
          </cell>
          <cell r="B929" t="str">
            <v>Desktop Publishers</v>
          </cell>
          <cell r="C929">
            <v>5220</v>
          </cell>
          <cell r="D929">
            <v>5.8</v>
          </cell>
          <cell r="E929">
            <v>57680</v>
          </cell>
          <cell r="F929">
            <v>2.2999999999999998</v>
          </cell>
          <cell r="G929">
            <v>51290</v>
          </cell>
        </row>
        <row r="930">
          <cell r="A930" t="str">
            <v>43-9031</v>
          </cell>
          <cell r="B930" t="str">
            <v>Desktop Publishers</v>
          </cell>
          <cell r="C930">
            <v>5220</v>
          </cell>
          <cell r="D930">
            <v>5.8</v>
          </cell>
          <cell r="E930">
            <v>57680</v>
          </cell>
          <cell r="F930">
            <v>2.2999999999999998</v>
          </cell>
          <cell r="G930">
            <v>51290</v>
          </cell>
        </row>
        <row r="931">
          <cell r="A931" t="str">
            <v>43-9040</v>
          </cell>
          <cell r="B931" t="str">
            <v>Insurance Claims and Policy Processing Clerks</v>
          </cell>
          <cell r="C931">
            <v>241650</v>
          </cell>
          <cell r="D931">
            <v>1.1000000000000001</v>
          </cell>
          <cell r="E931">
            <v>49530</v>
          </cell>
          <cell r="F931">
            <v>0.3</v>
          </cell>
          <cell r="G931">
            <v>46900</v>
          </cell>
        </row>
        <row r="932">
          <cell r="A932" t="str">
            <v>43-9041</v>
          </cell>
          <cell r="B932" t="str">
            <v>Insurance Claims and Policy Processing Clerks</v>
          </cell>
          <cell r="C932">
            <v>241650</v>
          </cell>
          <cell r="D932">
            <v>1.1000000000000001</v>
          </cell>
          <cell r="E932">
            <v>49530</v>
          </cell>
          <cell r="F932">
            <v>0.3</v>
          </cell>
          <cell r="G932">
            <v>46900</v>
          </cell>
        </row>
        <row r="933">
          <cell r="A933" t="str">
            <v>43-9050</v>
          </cell>
          <cell r="B933" t="str">
            <v>Mail Clerks and Mail Machine Operators, Except Postal Service</v>
          </cell>
          <cell r="C933">
            <v>66600</v>
          </cell>
          <cell r="D933">
            <v>2.2999999999999998</v>
          </cell>
          <cell r="E933">
            <v>38370</v>
          </cell>
          <cell r="F933">
            <v>0.3</v>
          </cell>
          <cell r="G933">
            <v>36880</v>
          </cell>
        </row>
        <row r="934">
          <cell r="A934" t="str">
            <v>43-9051</v>
          </cell>
          <cell r="B934" t="str">
            <v>Mail Clerks and Mail Machine Operators, Except Postal Service</v>
          </cell>
          <cell r="C934">
            <v>66600</v>
          </cell>
          <cell r="D934">
            <v>2.2999999999999998</v>
          </cell>
          <cell r="E934">
            <v>38370</v>
          </cell>
          <cell r="F934">
            <v>0.3</v>
          </cell>
          <cell r="G934">
            <v>36880</v>
          </cell>
        </row>
        <row r="935">
          <cell r="A935" t="str">
            <v>43-9060</v>
          </cell>
          <cell r="B935" t="str">
            <v>Office Clerks, General</v>
          </cell>
          <cell r="C935">
            <v>2496370</v>
          </cell>
          <cell r="D935">
            <v>0.8</v>
          </cell>
          <cell r="E935">
            <v>43560</v>
          </cell>
          <cell r="F935">
            <v>0.1</v>
          </cell>
          <cell r="G935">
            <v>40480</v>
          </cell>
        </row>
        <row r="936">
          <cell r="A936" t="str">
            <v>43-9061</v>
          </cell>
          <cell r="B936" t="str">
            <v>Office Clerks, General</v>
          </cell>
          <cell r="C936">
            <v>2496370</v>
          </cell>
          <cell r="D936">
            <v>0.8</v>
          </cell>
          <cell r="E936">
            <v>43560</v>
          </cell>
          <cell r="F936">
            <v>0.1</v>
          </cell>
          <cell r="G936">
            <v>40480</v>
          </cell>
        </row>
        <row r="937">
          <cell r="A937" t="str">
            <v>43-9070</v>
          </cell>
          <cell r="B937" t="str">
            <v>Office Machine Operators, Except Computer</v>
          </cell>
          <cell r="C937">
            <v>27960</v>
          </cell>
          <cell r="D937">
            <v>3.3</v>
          </cell>
          <cell r="E937">
            <v>39600</v>
          </cell>
          <cell r="F937">
            <v>0.6</v>
          </cell>
          <cell r="G937">
            <v>37450</v>
          </cell>
        </row>
        <row r="938">
          <cell r="A938" t="str">
            <v>43-9071</v>
          </cell>
          <cell r="B938" t="str">
            <v>Office Machine Operators, Except Computer</v>
          </cell>
          <cell r="C938">
            <v>27960</v>
          </cell>
          <cell r="D938">
            <v>3.3</v>
          </cell>
          <cell r="E938">
            <v>39600</v>
          </cell>
          <cell r="F938">
            <v>0.6</v>
          </cell>
          <cell r="G938">
            <v>37450</v>
          </cell>
        </row>
        <row r="939">
          <cell r="A939" t="str">
            <v>43-9080</v>
          </cell>
          <cell r="B939" t="str">
            <v>Proofreaders and Copy Markers</v>
          </cell>
          <cell r="C939">
            <v>5490</v>
          </cell>
          <cell r="D939">
            <v>4.5999999999999996</v>
          </cell>
          <cell r="E939">
            <v>51100</v>
          </cell>
          <cell r="F939">
            <v>0.9</v>
          </cell>
          <cell r="G939">
            <v>48790</v>
          </cell>
        </row>
        <row r="940">
          <cell r="A940" t="str">
            <v>43-9081</v>
          </cell>
          <cell r="B940" t="str">
            <v>Proofreaders and Copy Markers</v>
          </cell>
          <cell r="C940">
            <v>5490</v>
          </cell>
          <cell r="D940">
            <v>4.5999999999999996</v>
          </cell>
          <cell r="E940">
            <v>51100</v>
          </cell>
          <cell r="F940">
            <v>0.9</v>
          </cell>
          <cell r="G940">
            <v>48790</v>
          </cell>
        </row>
        <row r="941">
          <cell r="A941" t="str">
            <v>43-9110</v>
          </cell>
          <cell r="B941" t="str">
            <v>Statistical Assistants</v>
          </cell>
          <cell r="C941">
            <v>7200</v>
          </cell>
          <cell r="D941">
            <v>3.6</v>
          </cell>
          <cell r="E941">
            <v>53900</v>
          </cell>
          <cell r="F941">
            <v>0.9</v>
          </cell>
          <cell r="G941">
            <v>50510</v>
          </cell>
        </row>
        <row r="942">
          <cell r="A942" t="str">
            <v>43-9111</v>
          </cell>
          <cell r="B942" t="str">
            <v>Statistical Assistants</v>
          </cell>
          <cell r="C942">
            <v>7200</v>
          </cell>
          <cell r="D942">
            <v>3.6</v>
          </cell>
          <cell r="E942">
            <v>53900</v>
          </cell>
          <cell r="F942">
            <v>0.9</v>
          </cell>
          <cell r="G942">
            <v>50510</v>
          </cell>
        </row>
        <row r="943">
          <cell r="A943" t="str">
            <v>43-9190</v>
          </cell>
          <cell r="B943" t="str">
            <v>Miscellaneous Office and Administrative Support Workers</v>
          </cell>
          <cell r="C943">
            <v>172020</v>
          </cell>
          <cell r="D943">
            <v>1</v>
          </cell>
          <cell r="E943">
            <v>46620</v>
          </cell>
          <cell r="F943">
            <v>0.4</v>
          </cell>
          <cell r="G943">
            <v>43230</v>
          </cell>
        </row>
        <row r="944">
          <cell r="A944" t="str">
            <v>43-9199</v>
          </cell>
          <cell r="B944" t="str">
            <v>Office and Administrative Support Workers, All Other</v>
          </cell>
          <cell r="C944">
            <v>172020</v>
          </cell>
          <cell r="D944">
            <v>1</v>
          </cell>
          <cell r="E944">
            <v>46620</v>
          </cell>
          <cell r="F944">
            <v>0.4</v>
          </cell>
          <cell r="G944">
            <v>43230</v>
          </cell>
        </row>
        <row r="945">
          <cell r="A945" t="str">
            <v>45-0000</v>
          </cell>
          <cell r="B945" t="str">
            <v>Farming, Fishing, and Forestry Occupations</v>
          </cell>
          <cell r="C945">
            <v>432200</v>
          </cell>
          <cell r="D945">
            <v>1.1000000000000001</v>
          </cell>
          <cell r="E945">
            <v>39970</v>
          </cell>
          <cell r="F945">
            <v>0.6</v>
          </cell>
          <cell r="G945">
            <v>35520</v>
          </cell>
        </row>
        <row r="946">
          <cell r="A946" t="str">
            <v>45-1000</v>
          </cell>
          <cell r="B946" t="str">
            <v>Supervisors of Farming, Fishing, and Forestry Workers</v>
          </cell>
          <cell r="C946">
            <v>27150</v>
          </cell>
          <cell r="D946">
            <v>2.5</v>
          </cell>
          <cell r="E946">
            <v>60790</v>
          </cell>
          <cell r="F946">
            <v>0.8</v>
          </cell>
          <cell r="G946">
            <v>57320</v>
          </cell>
        </row>
        <row r="947">
          <cell r="A947" t="str">
            <v>45-1010</v>
          </cell>
          <cell r="B947" t="str">
            <v>First-Line Supervisors of Farming, Fishing, and Forestry Workers</v>
          </cell>
          <cell r="C947">
            <v>27150</v>
          </cell>
          <cell r="D947">
            <v>2.5</v>
          </cell>
          <cell r="E947">
            <v>60790</v>
          </cell>
          <cell r="F947">
            <v>0.8</v>
          </cell>
          <cell r="G947">
            <v>57320</v>
          </cell>
        </row>
        <row r="948">
          <cell r="A948" t="str">
            <v>45-1011</v>
          </cell>
          <cell r="B948" t="str">
            <v>First-Line Supervisors of Farming, Fishing, and Forestry Workers</v>
          </cell>
          <cell r="C948">
            <v>27150</v>
          </cell>
          <cell r="D948">
            <v>2.5</v>
          </cell>
          <cell r="E948">
            <v>60790</v>
          </cell>
          <cell r="F948">
            <v>0.8</v>
          </cell>
          <cell r="G948">
            <v>57320</v>
          </cell>
        </row>
        <row r="949">
          <cell r="A949" t="str">
            <v>45-2000</v>
          </cell>
          <cell r="B949" t="str">
            <v>Agricultural Workers</v>
          </cell>
          <cell r="C949">
            <v>363710</v>
          </cell>
          <cell r="D949">
            <v>1.2</v>
          </cell>
          <cell r="E949">
            <v>37370</v>
          </cell>
          <cell r="F949">
            <v>0.6</v>
          </cell>
          <cell r="G949">
            <v>34910</v>
          </cell>
        </row>
        <row r="950">
          <cell r="A950" t="str">
            <v>45-2010</v>
          </cell>
          <cell r="B950" t="str">
            <v>Agricultural Inspectors</v>
          </cell>
          <cell r="C950">
            <v>12660</v>
          </cell>
          <cell r="D950">
            <v>3.1</v>
          </cell>
          <cell r="E950">
            <v>52170</v>
          </cell>
          <cell r="F950">
            <v>0.7</v>
          </cell>
          <cell r="G950">
            <v>48010</v>
          </cell>
        </row>
        <row r="951">
          <cell r="A951" t="str">
            <v>45-2011</v>
          </cell>
          <cell r="B951" t="str">
            <v>Agricultural Inspectors</v>
          </cell>
          <cell r="C951">
            <v>12660</v>
          </cell>
          <cell r="D951">
            <v>3.1</v>
          </cell>
          <cell r="E951">
            <v>52170</v>
          </cell>
          <cell r="F951">
            <v>0.7</v>
          </cell>
          <cell r="G951">
            <v>48010</v>
          </cell>
        </row>
        <row r="952">
          <cell r="A952" t="str">
            <v>45-2020</v>
          </cell>
          <cell r="B952" t="str">
            <v>Animal Breeders</v>
          </cell>
          <cell r="C952">
            <v>1360</v>
          </cell>
          <cell r="D952">
            <v>14</v>
          </cell>
          <cell r="E952">
            <v>53520</v>
          </cell>
          <cell r="F952">
            <v>4.2</v>
          </cell>
          <cell r="G952">
            <v>47540</v>
          </cell>
        </row>
        <row r="953">
          <cell r="A953" t="str">
            <v>45-2021</v>
          </cell>
          <cell r="B953" t="str">
            <v>Animal Breeders</v>
          </cell>
          <cell r="C953">
            <v>1360</v>
          </cell>
          <cell r="D953">
            <v>14</v>
          </cell>
          <cell r="E953">
            <v>53520</v>
          </cell>
          <cell r="F953">
            <v>4.2</v>
          </cell>
          <cell r="G953">
            <v>47540</v>
          </cell>
        </row>
        <row r="954">
          <cell r="A954" t="str">
            <v>45-2040</v>
          </cell>
          <cell r="B954" t="str">
            <v>Graders and Sorters, Agricultural Products</v>
          </cell>
          <cell r="C954">
            <v>23430</v>
          </cell>
          <cell r="D954">
            <v>2.6</v>
          </cell>
          <cell r="E954">
            <v>34880</v>
          </cell>
          <cell r="F954">
            <v>0.7</v>
          </cell>
          <cell r="G954">
            <v>34360</v>
          </cell>
        </row>
        <row r="955">
          <cell r="A955" t="str">
            <v>45-2041</v>
          </cell>
          <cell r="B955" t="str">
            <v>Graders and Sorters, Agricultural Products</v>
          </cell>
          <cell r="C955">
            <v>23430</v>
          </cell>
          <cell r="D955">
            <v>2.6</v>
          </cell>
          <cell r="E955">
            <v>34880</v>
          </cell>
          <cell r="F955">
            <v>0.7</v>
          </cell>
          <cell r="G955">
            <v>34360</v>
          </cell>
        </row>
        <row r="956">
          <cell r="A956" t="str">
            <v>45-2090</v>
          </cell>
          <cell r="B956" t="str">
            <v>Miscellaneous Agricultural Workers</v>
          </cell>
          <cell r="C956">
            <v>326260</v>
          </cell>
          <cell r="D956">
            <v>1.3</v>
          </cell>
          <cell r="E956">
            <v>36910</v>
          </cell>
          <cell r="F956">
            <v>0.6</v>
          </cell>
          <cell r="G956">
            <v>34790</v>
          </cell>
        </row>
        <row r="957">
          <cell r="A957" t="str">
            <v>45-2091</v>
          </cell>
          <cell r="B957" t="str">
            <v>Agricultural Equipment Operators</v>
          </cell>
          <cell r="C957">
            <v>28910</v>
          </cell>
          <cell r="D957">
            <v>3.7</v>
          </cell>
          <cell r="E957">
            <v>41850</v>
          </cell>
          <cell r="F957">
            <v>1</v>
          </cell>
          <cell r="G957">
            <v>39690</v>
          </cell>
        </row>
        <row r="958">
          <cell r="A958" t="str">
            <v>45-2092</v>
          </cell>
          <cell r="B958" t="str">
            <v>Farmworkers and Laborers, Crop, Nursery, and Greenhouse</v>
          </cell>
          <cell r="C958">
            <v>258730</v>
          </cell>
          <cell r="D958">
            <v>1.1000000000000001</v>
          </cell>
          <cell r="E958">
            <v>36140</v>
          </cell>
          <cell r="F958">
            <v>0.6</v>
          </cell>
          <cell r="G958">
            <v>34470</v>
          </cell>
        </row>
        <row r="959">
          <cell r="A959" t="str">
            <v>45-2093</v>
          </cell>
          <cell r="B959" t="str">
            <v>Farmworkers, Farm, Ranch, and Aquacultural Animals</v>
          </cell>
          <cell r="C959">
            <v>32590</v>
          </cell>
          <cell r="D959">
            <v>3.5</v>
          </cell>
          <cell r="E959">
            <v>37060</v>
          </cell>
          <cell r="F959">
            <v>0.8</v>
          </cell>
          <cell r="G959">
            <v>35120</v>
          </cell>
        </row>
        <row r="960">
          <cell r="A960" t="str">
            <v>45-2099</v>
          </cell>
          <cell r="B960" t="str">
            <v>Agricultural Workers, All Other</v>
          </cell>
          <cell r="C960">
            <v>6040</v>
          </cell>
          <cell r="D960">
            <v>6.7</v>
          </cell>
          <cell r="E960">
            <v>45660</v>
          </cell>
          <cell r="F960">
            <v>1.9</v>
          </cell>
          <cell r="G960">
            <v>40620</v>
          </cell>
        </row>
        <row r="961">
          <cell r="A961" t="str">
            <v>45-4000</v>
          </cell>
          <cell r="B961" t="str">
            <v>Forest, Conservation, and Logging Workers</v>
          </cell>
          <cell r="C961">
            <v>40450</v>
          </cell>
          <cell r="D961">
            <v>1.7</v>
          </cell>
          <cell r="E961">
            <v>49270</v>
          </cell>
          <cell r="F961">
            <v>0.9</v>
          </cell>
          <cell r="G961">
            <v>46910</v>
          </cell>
        </row>
        <row r="962">
          <cell r="A962" t="str">
            <v>45-4010</v>
          </cell>
          <cell r="B962" t="str">
            <v>Forest and Conservation Workers</v>
          </cell>
          <cell r="C962">
            <v>5750</v>
          </cell>
          <cell r="D962">
            <v>5.0999999999999996</v>
          </cell>
          <cell r="E962">
            <v>36860</v>
          </cell>
          <cell r="F962">
            <v>1</v>
          </cell>
          <cell r="G962">
            <v>33940</v>
          </cell>
        </row>
        <row r="963">
          <cell r="A963" t="str">
            <v>45-4011</v>
          </cell>
          <cell r="B963" t="str">
            <v>Forest and Conservation Workers</v>
          </cell>
          <cell r="C963">
            <v>5750</v>
          </cell>
          <cell r="D963">
            <v>5.0999999999999996</v>
          </cell>
          <cell r="E963">
            <v>36860</v>
          </cell>
          <cell r="F963">
            <v>1</v>
          </cell>
          <cell r="G963">
            <v>33940</v>
          </cell>
        </row>
        <row r="964">
          <cell r="A964" t="str">
            <v>45-4020</v>
          </cell>
          <cell r="B964" t="str">
            <v>Logging Workers</v>
          </cell>
          <cell r="C964">
            <v>34710</v>
          </cell>
          <cell r="D964">
            <v>1.7</v>
          </cell>
          <cell r="E964">
            <v>51320</v>
          </cell>
          <cell r="F964">
            <v>1.1000000000000001</v>
          </cell>
          <cell r="G964">
            <v>48910</v>
          </cell>
        </row>
        <row r="965">
          <cell r="A965" t="str">
            <v>45-4021</v>
          </cell>
          <cell r="B965" t="str">
            <v>Fallers</v>
          </cell>
          <cell r="C965">
            <v>4800</v>
          </cell>
          <cell r="D965">
            <v>8.6</v>
          </cell>
          <cell r="E965">
            <v>61190</v>
          </cell>
          <cell r="F965">
            <v>2.9</v>
          </cell>
          <cell r="G965">
            <v>53170</v>
          </cell>
        </row>
        <row r="966">
          <cell r="A966" t="str">
            <v>45-4022</v>
          </cell>
          <cell r="B966" t="str">
            <v>Logging Equipment Operators</v>
          </cell>
          <cell r="C966">
            <v>23720</v>
          </cell>
          <cell r="D966">
            <v>1.9</v>
          </cell>
          <cell r="E966">
            <v>49790</v>
          </cell>
          <cell r="F966">
            <v>0.9</v>
          </cell>
          <cell r="G966">
            <v>48240</v>
          </cell>
        </row>
        <row r="967">
          <cell r="A967" t="str">
            <v>45-4023</v>
          </cell>
          <cell r="B967" t="str">
            <v>Log Graders and Scalers</v>
          </cell>
          <cell r="C967">
            <v>3640</v>
          </cell>
          <cell r="D967">
            <v>6.4</v>
          </cell>
          <cell r="E967">
            <v>47120</v>
          </cell>
          <cell r="F967">
            <v>1.6</v>
          </cell>
          <cell r="G967">
            <v>45600</v>
          </cell>
        </row>
        <row r="968">
          <cell r="A968" t="str">
            <v>45-4029</v>
          </cell>
          <cell r="B968" t="str">
            <v>Logging Workers, All Other</v>
          </cell>
          <cell r="C968">
            <v>2540</v>
          </cell>
          <cell r="D968">
            <v>8.1999999999999993</v>
          </cell>
          <cell r="E968">
            <v>52950</v>
          </cell>
          <cell r="F968">
            <v>1.9</v>
          </cell>
          <cell r="G968">
            <v>52480</v>
          </cell>
        </row>
        <row r="969">
          <cell r="A969" t="str">
            <v>47-0000</v>
          </cell>
          <cell r="B969" t="str">
            <v>Construction and Extraction Occupations</v>
          </cell>
          <cell r="C969">
            <v>6225630</v>
          </cell>
          <cell r="D969">
            <v>0.6</v>
          </cell>
          <cell r="E969">
            <v>61500</v>
          </cell>
          <cell r="F969">
            <v>0.3</v>
          </cell>
          <cell r="G969">
            <v>55680</v>
          </cell>
        </row>
        <row r="970">
          <cell r="A970" t="str">
            <v>47-1000</v>
          </cell>
          <cell r="B970" t="str">
            <v>Supervisors of Construction and Extraction Workers</v>
          </cell>
          <cell r="C970">
            <v>777420</v>
          </cell>
          <cell r="D970">
            <v>0.5</v>
          </cell>
          <cell r="E970">
            <v>81340</v>
          </cell>
          <cell r="F970">
            <v>0.3</v>
          </cell>
          <cell r="G970">
            <v>76760</v>
          </cell>
        </row>
        <row r="971">
          <cell r="A971" t="str">
            <v>47-1010</v>
          </cell>
          <cell r="B971" t="str">
            <v>First-Line Supervisors of Construction Trades and Extraction Workers</v>
          </cell>
          <cell r="C971">
            <v>777420</v>
          </cell>
          <cell r="D971">
            <v>0.5</v>
          </cell>
          <cell r="E971">
            <v>81340</v>
          </cell>
          <cell r="F971">
            <v>0.3</v>
          </cell>
          <cell r="G971">
            <v>76760</v>
          </cell>
        </row>
        <row r="972">
          <cell r="A972" t="str">
            <v>47-1011</v>
          </cell>
          <cell r="B972" t="str">
            <v>First-Line Supervisors of Construction Trades and Extraction Workers</v>
          </cell>
          <cell r="C972">
            <v>777420</v>
          </cell>
          <cell r="D972">
            <v>0.5</v>
          </cell>
          <cell r="E972">
            <v>81340</v>
          </cell>
          <cell r="F972">
            <v>0.3</v>
          </cell>
          <cell r="G972">
            <v>76760</v>
          </cell>
        </row>
        <row r="973">
          <cell r="A973" t="str">
            <v>47-2000</v>
          </cell>
          <cell r="B973" t="str">
            <v>Construction Trades Workers</v>
          </cell>
          <cell r="C973">
            <v>4588620</v>
          </cell>
          <cell r="D973">
            <v>0.6</v>
          </cell>
          <cell r="E973">
            <v>59350</v>
          </cell>
          <cell r="F973">
            <v>0.3</v>
          </cell>
          <cell r="G973">
            <v>52000</v>
          </cell>
        </row>
        <row r="974">
          <cell r="A974" t="str">
            <v>47-2010</v>
          </cell>
          <cell r="B974" t="str">
            <v>Boilermakers</v>
          </cell>
          <cell r="C974">
            <v>11130</v>
          </cell>
          <cell r="D974">
            <v>4.5999999999999996</v>
          </cell>
          <cell r="E974">
            <v>73840</v>
          </cell>
          <cell r="F974">
            <v>1.7</v>
          </cell>
          <cell r="G974">
            <v>71140</v>
          </cell>
        </row>
        <row r="975">
          <cell r="A975" t="str">
            <v>47-2011</v>
          </cell>
          <cell r="B975" t="str">
            <v>Boilermakers</v>
          </cell>
          <cell r="C975">
            <v>11130</v>
          </cell>
          <cell r="D975">
            <v>4.5999999999999996</v>
          </cell>
          <cell r="E975">
            <v>73840</v>
          </cell>
          <cell r="F975">
            <v>1.7</v>
          </cell>
          <cell r="G975">
            <v>71140</v>
          </cell>
        </row>
        <row r="976">
          <cell r="A976" t="str">
            <v>47-2020</v>
          </cell>
          <cell r="B976" t="str">
            <v>Brickmasons, Blockmasons, and Stonemasons</v>
          </cell>
          <cell r="C976">
            <v>66630</v>
          </cell>
          <cell r="D976">
            <v>1.8</v>
          </cell>
          <cell r="E976">
            <v>62470</v>
          </cell>
          <cell r="F976">
            <v>0.7</v>
          </cell>
          <cell r="G976">
            <v>58810</v>
          </cell>
        </row>
        <row r="977">
          <cell r="A977" t="str">
            <v>47-2021</v>
          </cell>
          <cell r="B977" t="str">
            <v>Brickmasons and Blockmasons</v>
          </cell>
          <cell r="C977">
            <v>56830</v>
          </cell>
          <cell r="D977">
            <v>2</v>
          </cell>
          <cell r="E977">
            <v>63430</v>
          </cell>
          <cell r="F977">
            <v>0.8</v>
          </cell>
          <cell r="G977">
            <v>59640</v>
          </cell>
        </row>
        <row r="978">
          <cell r="A978" t="str">
            <v>47-2022</v>
          </cell>
          <cell r="B978" t="str">
            <v>Stonemasons</v>
          </cell>
          <cell r="C978">
            <v>9790</v>
          </cell>
          <cell r="D978">
            <v>5.7</v>
          </cell>
          <cell r="E978">
            <v>56930</v>
          </cell>
          <cell r="F978">
            <v>1.6</v>
          </cell>
          <cell r="G978">
            <v>51830</v>
          </cell>
        </row>
        <row r="979">
          <cell r="A979" t="str">
            <v>47-2030</v>
          </cell>
          <cell r="B979" t="str">
            <v>Carpenters</v>
          </cell>
          <cell r="C979">
            <v>700290</v>
          </cell>
          <cell r="D979">
            <v>1.9</v>
          </cell>
          <cell r="E979">
            <v>60970</v>
          </cell>
          <cell r="F979">
            <v>0.4</v>
          </cell>
          <cell r="G979">
            <v>56350</v>
          </cell>
        </row>
        <row r="980">
          <cell r="A980" t="str">
            <v>47-2031</v>
          </cell>
          <cell r="B980" t="str">
            <v>Carpenters</v>
          </cell>
          <cell r="C980">
            <v>700290</v>
          </cell>
          <cell r="D980">
            <v>1.9</v>
          </cell>
          <cell r="E980">
            <v>60970</v>
          </cell>
          <cell r="F980">
            <v>0.4</v>
          </cell>
          <cell r="G980">
            <v>56350</v>
          </cell>
        </row>
        <row r="981">
          <cell r="A981" t="str">
            <v>47-2040</v>
          </cell>
          <cell r="B981" t="str">
            <v>Carpet, Floor, and Tile Installers and Finishers</v>
          </cell>
          <cell r="C981">
            <v>88200</v>
          </cell>
          <cell r="D981">
            <v>3</v>
          </cell>
          <cell r="E981">
            <v>54190</v>
          </cell>
          <cell r="F981">
            <v>1.6</v>
          </cell>
          <cell r="G981">
            <v>48690</v>
          </cell>
        </row>
        <row r="982">
          <cell r="A982" t="str">
            <v>47-2041</v>
          </cell>
          <cell r="B982" t="str">
            <v>Carpet Installers</v>
          </cell>
          <cell r="C982">
            <v>15560</v>
          </cell>
          <cell r="D982">
            <v>4.7</v>
          </cell>
          <cell r="E982">
            <v>52290</v>
          </cell>
          <cell r="F982">
            <v>1.9</v>
          </cell>
          <cell r="G982">
            <v>47520</v>
          </cell>
        </row>
        <row r="983">
          <cell r="A983" t="str">
            <v>47-2042</v>
          </cell>
          <cell r="B983" t="str">
            <v>Floor Layers, Except Carpet, Wood, and Hard Tiles</v>
          </cell>
          <cell r="C983">
            <v>25150</v>
          </cell>
          <cell r="D983">
            <v>4</v>
          </cell>
          <cell r="E983">
            <v>56680</v>
          </cell>
          <cell r="F983">
            <v>1.5</v>
          </cell>
          <cell r="G983">
            <v>48840</v>
          </cell>
        </row>
        <row r="984">
          <cell r="A984" t="str">
            <v>47-2043</v>
          </cell>
          <cell r="B984" t="str">
            <v>Floor Sanders and Finishers</v>
          </cell>
          <cell r="C984">
            <v>5070</v>
          </cell>
          <cell r="D984">
            <v>7.6</v>
          </cell>
          <cell r="E984">
            <v>49910</v>
          </cell>
          <cell r="F984">
            <v>2</v>
          </cell>
          <cell r="G984">
            <v>47760</v>
          </cell>
        </row>
        <row r="985">
          <cell r="A985" t="str">
            <v>47-2044</v>
          </cell>
          <cell r="B985" t="str">
            <v>Tile and Stone Setters</v>
          </cell>
          <cell r="C985">
            <v>42420</v>
          </cell>
          <cell r="D985">
            <v>5.6</v>
          </cell>
          <cell r="E985">
            <v>53920</v>
          </cell>
          <cell r="F985">
            <v>3.1</v>
          </cell>
          <cell r="G985">
            <v>48910</v>
          </cell>
        </row>
        <row r="986">
          <cell r="A986" t="str">
            <v>47-2050</v>
          </cell>
          <cell r="B986" t="str">
            <v>Cement Masons, Concrete Finishers, and Terrazzo Workers</v>
          </cell>
          <cell r="C986">
            <v>205010</v>
          </cell>
          <cell r="D986">
            <v>1.2</v>
          </cell>
          <cell r="E986">
            <v>57390</v>
          </cell>
          <cell r="F986">
            <v>0.6</v>
          </cell>
          <cell r="G986">
            <v>50710</v>
          </cell>
        </row>
        <row r="987">
          <cell r="A987" t="str">
            <v>47-2051</v>
          </cell>
          <cell r="B987" t="str">
            <v>Cement Masons and Concrete Finishers</v>
          </cell>
          <cell r="C987">
            <v>203560</v>
          </cell>
          <cell r="D987">
            <v>1.3</v>
          </cell>
          <cell r="E987">
            <v>57410</v>
          </cell>
          <cell r="F987">
            <v>0.6</v>
          </cell>
          <cell r="G987">
            <v>50720</v>
          </cell>
        </row>
        <row r="988">
          <cell r="A988" t="str">
            <v>47-2053</v>
          </cell>
          <cell r="B988" t="str">
            <v>Terrazzo Workers and Finishers</v>
          </cell>
          <cell r="C988">
            <v>1460</v>
          </cell>
          <cell r="D988">
            <v>21.7</v>
          </cell>
          <cell r="E988">
            <v>54220</v>
          </cell>
          <cell r="F988">
            <v>6.2</v>
          </cell>
          <cell r="G988">
            <v>48900</v>
          </cell>
        </row>
        <row r="989">
          <cell r="A989" t="str">
            <v>47-2060</v>
          </cell>
          <cell r="B989" t="str">
            <v>Construction Laborers</v>
          </cell>
          <cell r="C989">
            <v>1019090</v>
          </cell>
          <cell r="D989">
            <v>1.3</v>
          </cell>
          <cell r="E989">
            <v>49280</v>
          </cell>
          <cell r="F989">
            <v>0.4</v>
          </cell>
          <cell r="G989">
            <v>45300</v>
          </cell>
        </row>
        <row r="990">
          <cell r="A990" t="str">
            <v>47-2061</v>
          </cell>
          <cell r="B990" t="str">
            <v>Construction Laborers</v>
          </cell>
          <cell r="C990">
            <v>1019090</v>
          </cell>
          <cell r="D990">
            <v>1.3</v>
          </cell>
          <cell r="E990">
            <v>49280</v>
          </cell>
          <cell r="F990">
            <v>0.4</v>
          </cell>
          <cell r="G990">
            <v>45300</v>
          </cell>
        </row>
        <row r="991">
          <cell r="A991" t="str">
            <v>47-2070</v>
          </cell>
          <cell r="B991" t="str">
            <v>Construction Equipment Operators</v>
          </cell>
          <cell r="C991">
            <v>496460</v>
          </cell>
          <cell r="D991">
            <v>0.9</v>
          </cell>
          <cell r="E991">
            <v>61620</v>
          </cell>
          <cell r="F991">
            <v>0.3</v>
          </cell>
          <cell r="G991">
            <v>55270</v>
          </cell>
        </row>
        <row r="992">
          <cell r="A992" t="str">
            <v>47-2071</v>
          </cell>
          <cell r="B992" t="str">
            <v>Paving, Surfacing, and Tamping Equipment Operators</v>
          </cell>
          <cell r="C992">
            <v>43080</v>
          </cell>
          <cell r="D992">
            <v>2.9</v>
          </cell>
          <cell r="E992">
            <v>55170</v>
          </cell>
          <cell r="F992">
            <v>0.9</v>
          </cell>
          <cell r="G992">
            <v>48980</v>
          </cell>
        </row>
        <row r="993">
          <cell r="A993" t="str">
            <v>47-2072</v>
          </cell>
          <cell r="B993" t="str">
            <v>Pile Driver Operators</v>
          </cell>
          <cell r="C993">
            <v>3010</v>
          </cell>
          <cell r="D993">
            <v>7.7</v>
          </cell>
          <cell r="E993">
            <v>70260</v>
          </cell>
          <cell r="F993">
            <v>3.7</v>
          </cell>
          <cell r="G993">
            <v>63550</v>
          </cell>
        </row>
        <row r="994">
          <cell r="A994" t="str">
            <v>47-2073</v>
          </cell>
          <cell r="B994" t="str">
            <v>Operating Engineers and Other Construction Equipment Operators</v>
          </cell>
          <cell r="C994">
            <v>450370</v>
          </cell>
          <cell r="D994">
            <v>0.8</v>
          </cell>
          <cell r="E994">
            <v>62180</v>
          </cell>
          <cell r="F994">
            <v>0.3</v>
          </cell>
          <cell r="G994">
            <v>56160</v>
          </cell>
        </row>
        <row r="995">
          <cell r="A995" t="str">
            <v>47-2080</v>
          </cell>
          <cell r="B995" t="str">
            <v>Drywall Installers, Ceiling Tile Installers, and Tapers</v>
          </cell>
          <cell r="C995">
            <v>106420</v>
          </cell>
          <cell r="D995">
            <v>1.7</v>
          </cell>
          <cell r="E995">
            <v>62620</v>
          </cell>
          <cell r="F995">
            <v>1.1000000000000001</v>
          </cell>
          <cell r="G995">
            <v>57010</v>
          </cell>
        </row>
        <row r="996">
          <cell r="A996" t="str">
            <v>47-2081</v>
          </cell>
          <cell r="B996" t="str">
            <v>Drywall and Ceiling Tile Installers</v>
          </cell>
          <cell r="C996">
            <v>90860</v>
          </cell>
          <cell r="D996">
            <v>1.7</v>
          </cell>
          <cell r="E996">
            <v>61480</v>
          </cell>
          <cell r="F996">
            <v>1</v>
          </cell>
          <cell r="G996">
            <v>55700</v>
          </cell>
        </row>
        <row r="997">
          <cell r="A997" t="str">
            <v>47-2082</v>
          </cell>
          <cell r="B997" t="str">
            <v>Tapers</v>
          </cell>
          <cell r="C997">
            <v>15560</v>
          </cell>
          <cell r="D997">
            <v>5.3</v>
          </cell>
          <cell r="E997">
            <v>69300</v>
          </cell>
          <cell r="F997">
            <v>2.2999999999999998</v>
          </cell>
          <cell r="G997">
            <v>63350</v>
          </cell>
        </row>
        <row r="998">
          <cell r="A998" t="str">
            <v>47-2110</v>
          </cell>
          <cell r="B998" t="str">
            <v>Electricians</v>
          </cell>
          <cell r="C998">
            <v>712580</v>
          </cell>
          <cell r="D998">
            <v>0.6</v>
          </cell>
          <cell r="E998">
            <v>67810</v>
          </cell>
          <cell r="F998">
            <v>0.4</v>
          </cell>
          <cell r="G998">
            <v>61590</v>
          </cell>
        </row>
        <row r="999">
          <cell r="A999" t="str">
            <v>47-2111</v>
          </cell>
          <cell r="B999" t="str">
            <v>Electricians</v>
          </cell>
          <cell r="C999">
            <v>712580</v>
          </cell>
          <cell r="D999">
            <v>0.6</v>
          </cell>
          <cell r="E999">
            <v>67810</v>
          </cell>
          <cell r="F999">
            <v>0.4</v>
          </cell>
          <cell r="G999">
            <v>61590</v>
          </cell>
        </row>
        <row r="1000">
          <cell r="A1000" t="str">
            <v>47-2120</v>
          </cell>
          <cell r="B1000" t="str">
            <v>Glaziers</v>
          </cell>
          <cell r="C1000">
            <v>53390</v>
          </cell>
          <cell r="D1000">
            <v>4.8</v>
          </cell>
          <cell r="E1000">
            <v>58320</v>
          </cell>
          <cell r="F1000">
            <v>1.1000000000000001</v>
          </cell>
          <cell r="G1000">
            <v>51100</v>
          </cell>
        </row>
        <row r="1001">
          <cell r="A1001" t="str">
            <v>47-2121</v>
          </cell>
          <cell r="B1001" t="str">
            <v>Glaziers</v>
          </cell>
          <cell r="C1001">
            <v>53390</v>
          </cell>
          <cell r="D1001">
            <v>4.8</v>
          </cell>
          <cell r="E1001">
            <v>58320</v>
          </cell>
          <cell r="F1001">
            <v>1.1000000000000001</v>
          </cell>
          <cell r="G1001">
            <v>51100</v>
          </cell>
        </row>
        <row r="1002">
          <cell r="A1002" t="str">
            <v>47-2130</v>
          </cell>
          <cell r="B1002" t="str">
            <v>Insulation Workers</v>
          </cell>
          <cell r="C1002">
            <v>61360</v>
          </cell>
          <cell r="D1002">
            <v>2.2999999999999998</v>
          </cell>
          <cell r="E1002">
            <v>55230</v>
          </cell>
          <cell r="F1002">
            <v>0.9</v>
          </cell>
          <cell r="G1002">
            <v>49350</v>
          </cell>
        </row>
        <row r="1003">
          <cell r="A1003" t="str">
            <v>47-2131</v>
          </cell>
          <cell r="B1003" t="str">
            <v>Insulation Workers, Floor, Ceiling, and Wall</v>
          </cell>
          <cell r="C1003">
            <v>38510</v>
          </cell>
          <cell r="D1003">
            <v>2.8</v>
          </cell>
          <cell r="E1003">
            <v>52080</v>
          </cell>
          <cell r="F1003">
            <v>1.1000000000000001</v>
          </cell>
          <cell r="G1003">
            <v>47540</v>
          </cell>
        </row>
        <row r="1004">
          <cell r="A1004" t="str">
            <v>47-2132</v>
          </cell>
          <cell r="B1004" t="str">
            <v>Insulation Workers, Mechanical</v>
          </cell>
          <cell r="C1004">
            <v>22850</v>
          </cell>
          <cell r="D1004">
            <v>4.3</v>
          </cell>
          <cell r="E1004">
            <v>60530</v>
          </cell>
          <cell r="F1004">
            <v>1.4</v>
          </cell>
          <cell r="G1004">
            <v>53920</v>
          </cell>
        </row>
        <row r="1005">
          <cell r="A1005" t="str">
            <v>47-2140</v>
          </cell>
          <cell r="B1005" t="str">
            <v>Painters and Paperhangers</v>
          </cell>
          <cell r="C1005">
            <v>217730</v>
          </cell>
          <cell r="D1005">
            <v>1.5</v>
          </cell>
          <cell r="E1005">
            <v>52130</v>
          </cell>
          <cell r="F1005">
            <v>0.5</v>
          </cell>
          <cell r="G1005">
            <v>47710</v>
          </cell>
        </row>
        <row r="1006">
          <cell r="A1006" t="str">
            <v>47-2141</v>
          </cell>
          <cell r="B1006" t="str">
            <v>Painters, Construction and Maintenance</v>
          </cell>
          <cell r="C1006">
            <v>215910</v>
          </cell>
          <cell r="D1006">
            <v>1.4</v>
          </cell>
          <cell r="E1006">
            <v>52110</v>
          </cell>
          <cell r="F1006">
            <v>0.5</v>
          </cell>
          <cell r="G1006">
            <v>47700</v>
          </cell>
        </row>
        <row r="1007">
          <cell r="A1007" t="str">
            <v>47-2142</v>
          </cell>
          <cell r="B1007" t="str">
            <v>Paperhangers</v>
          </cell>
          <cell r="C1007">
            <v>1830</v>
          </cell>
          <cell r="D1007">
            <v>23.7</v>
          </cell>
          <cell r="E1007">
            <v>54020</v>
          </cell>
          <cell r="F1007">
            <v>2.8</v>
          </cell>
          <cell r="G1007">
            <v>48460</v>
          </cell>
        </row>
        <row r="1008">
          <cell r="A1008" t="str">
            <v>47-2150</v>
          </cell>
          <cell r="B1008" t="str">
            <v>Pipelayers, Plumbers, Pipefitters, and Steamfitters</v>
          </cell>
          <cell r="C1008">
            <v>471000</v>
          </cell>
          <cell r="D1008">
            <v>1.1000000000000001</v>
          </cell>
          <cell r="E1008">
            <v>66730</v>
          </cell>
          <cell r="F1008">
            <v>0.6</v>
          </cell>
          <cell r="G1008">
            <v>60890</v>
          </cell>
        </row>
        <row r="1009">
          <cell r="A1009" t="str">
            <v>47-2151</v>
          </cell>
          <cell r="B1009" t="str">
            <v>Pipelayers</v>
          </cell>
          <cell r="C1009">
            <v>34840</v>
          </cell>
          <cell r="D1009">
            <v>3.9</v>
          </cell>
          <cell r="E1009">
            <v>52840</v>
          </cell>
          <cell r="F1009">
            <v>1.6</v>
          </cell>
          <cell r="G1009">
            <v>47330</v>
          </cell>
        </row>
        <row r="1010">
          <cell r="A1010" t="str">
            <v>47-2152</v>
          </cell>
          <cell r="B1010" t="str">
            <v>Plumbers, Pipefitters, and Steamfitters</v>
          </cell>
          <cell r="C1010">
            <v>436160</v>
          </cell>
          <cell r="D1010">
            <v>1</v>
          </cell>
          <cell r="E1010">
            <v>67840</v>
          </cell>
          <cell r="F1010">
            <v>0.6</v>
          </cell>
          <cell r="G1010">
            <v>61550</v>
          </cell>
        </row>
        <row r="1011">
          <cell r="A1011" t="str">
            <v>47-2160</v>
          </cell>
          <cell r="B1011" t="str">
            <v>Plasterers and Stucco Masons</v>
          </cell>
          <cell r="C1011">
            <v>22310</v>
          </cell>
          <cell r="D1011">
            <v>3.7</v>
          </cell>
          <cell r="E1011">
            <v>59050</v>
          </cell>
          <cell r="F1011">
            <v>1.4</v>
          </cell>
          <cell r="G1011">
            <v>52640</v>
          </cell>
        </row>
        <row r="1012">
          <cell r="A1012" t="str">
            <v>47-2161</v>
          </cell>
          <cell r="B1012" t="str">
            <v>Plasterers and Stucco Masons</v>
          </cell>
          <cell r="C1012">
            <v>22310</v>
          </cell>
          <cell r="D1012">
            <v>3.7</v>
          </cell>
          <cell r="E1012">
            <v>59050</v>
          </cell>
          <cell r="F1012">
            <v>1.4</v>
          </cell>
          <cell r="G1012">
            <v>52640</v>
          </cell>
        </row>
        <row r="1013">
          <cell r="A1013" t="str">
            <v>47-2170</v>
          </cell>
          <cell r="B1013" t="str">
            <v>Reinforcing Iron and Rebar Workers</v>
          </cell>
          <cell r="C1013">
            <v>17400</v>
          </cell>
          <cell r="D1013">
            <v>6.4</v>
          </cell>
          <cell r="E1013">
            <v>60290</v>
          </cell>
          <cell r="F1013">
            <v>2.4</v>
          </cell>
          <cell r="G1013">
            <v>54850</v>
          </cell>
        </row>
        <row r="1014">
          <cell r="A1014" t="str">
            <v>47-2171</v>
          </cell>
          <cell r="B1014" t="str">
            <v>Reinforcing Iron and Rebar Workers</v>
          </cell>
          <cell r="C1014">
            <v>17400</v>
          </cell>
          <cell r="D1014">
            <v>6.4</v>
          </cell>
          <cell r="E1014">
            <v>60290</v>
          </cell>
          <cell r="F1014">
            <v>2.4</v>
          </cell>
          <cell r="G1014">
            <v>54850</v>
          </cell>
        </row>
        <row r="1015">
          <cell r="A1015" t="str">
            <v>47-2180</v>
          </cell>
          <cell r="B1015" t="str">
            <v>Roofers</v>
          </cell>
          <cell r="C1015">
            <v>135140</v>
          </cell>
          <cell r="D1015">
            <v>1.2</v>
          </cell>
          <cell r="E1015">
            <v>55840</v>
          </cell>
          <cell r="F1015">
            <v>0.7</v>
          </cell>
          <cell r="G1015">
            <v>50030</v>
          </cell>
        </row>
        <row r="1016">
          <cell r="A1016" t="str">
            <v>47-2181</v>
          </cell>
          <cell r="B1016" t="str">
            <v>Roofers</v>
          </cell>
          <cell r="C1016">
            <v>135140</v>
          </cell>
          <cell r="D1016">
            <v>1.2</v>
          </cell>
          <cell r="E1016">
            <v>55840</v>
          </cell>
          <cell r="F1016">
            <v>0.7</v>
          </cell>
          <cell r="G1016">
            <v>50030</v>
          </cell>
        </row>
        <row r="1017">
          <cell r="A1017" t="str">
            <v>47-2210</v>
          </cell>
          <cell r="B1017" t="str">
            <v>Sheet Metal Workers</v>
          </cell>
          <cell r="C1017">
            <v>116190</v>
          </cell>
          <cell r="D1017">
            <v>2.1</v>
          </cell>
          <cell r="E1017">
            <v>64270</v>
          </cell>
          <cell r="F1017">
            <v>0.9</v>
          </cell>
          <cell r="G1017">
            <v>58780</v>
          </cell>
        </row>
        <row r="1018">
          <cell r="A1018" t="str">
            <v>47-2211</v>
          </cell>
          <cell r="B1018" t="str">
            <v>Sheet Metal Workers</v>
          </cell>
          <cell r="C1018">
            <v>116190</v>
          </cell>
          <cell r="D1018">
            <v>2.1</v>
          </cell>
          <cell r="E1018">
            <v>64270</v>
          </cell>
          <cell r="F1018">
            <v>0.9</v>
          </cell>
          <cell r="G1018">
            <v>58780</v>
          </cell>
        </row>
        <row r="1019">
          <cell r="A1019" t="str">
            <v>47-2220</v>
          </cell>
          <cell r="B1019" t="str">
            <v>Structural Iron and Steel Workers</v>
          </cell>
          <cell r="C1019">
            <v>63780</v>
          </cell>
          <cell r="D1019">
            <v>2.6</v>
          </cell>
          <cell r="E1019">
            <v>68220</v>
          </cell>
          <cell r="F1019">
            <v>1.1000000000000001</v>
          </cell>
          <cell r="G1019">
            <v>62760</v>
          </cell>
        </row>
        <row r="1020">
          <cell r="A1020" t="str">
            <v>47-2221</v>
          </cell>
          <cell r="B1020" t="str">
            <v>Structural Iron and Steel Workers</v>
          </cell>
          <cell r="C1020">
            <v>63780</v>
          </cell>
          <cell r="D1020">
            <v>2.6</v>
          </cell>
          <cell r="E1020">
            <v>68220</v>
          </cell>
          <cell r="F1020">
            <v>1.1000000000000001</v>
          </cell>
          <cell r="G1020">
            <v>62760</v>
          </cell>
        </row>
        <row r="1021">
          <cell r="A1021" t="str">
            <v>47-2230</v>
          </cell>
          <cell r="B1021" t="str">
            <v>Solar Photovoltaic Installers</v>
          </cell>
          <cell r="C1021">
            <v>24510</v>
          </cell>
          <cell r="D1021">
            <v>4.8</v>
          </cell>
          <cell r="E1021">
            <v>53140</v>
          </cell>
          <cell r="F1021">
            <v>1.3</v>
          </cell>
          <cell r="G1021">
            <v>48800</v>
          </cell>
        </row>
        <row r="1022">
          <cell r="A1022" t="str">
            <v>47-2231</v>
          </cell>
          <cell r="B1022" t="str">
            <v>Solar Photovoltaic Installers</v>
          </cell>
          <cell r="C1022">
            <v>24510</v>
          </cell>
          <cell r="D1022">
            <v>4.8</v>
          </cell>
          <cell r="E1022">
            <v>53140</v>
          </cell>
          <cell r="F1022">
            <v>1.3</v>
          </cell>
          <cell r="G1022">
            <v>48800</v>
          </cell>
        </row>
        <row r="1023">
          <cell r="A1023" t="str">
            <v>47-3000</v>
          </cell>
          <cell r="B1023" t="str">
            <v>Helpers, Construction Trades</v>
          </cell>
          <cell r="C1023">
            <v>191670</v>
          </cell>
          <cell r="D1023">
            <v>1.4</v>
          </cell>
          <cell r="E1023">
            <v>41340</v>
          </cell>
          <cell r="F1023">
            <v>0.4</v>
          </cell>
          <cell r="G1023">
            <v>38630</v>
          </cell>
        </row>
        <row r="1024">
          <cell r="A1024" t="str">
            <v>47-3010</v>
          </cell>
          <cell r="B1024" t="str">
            <v>Helpers, Construction Trades</v>
          </cell>
          <cell r="C1024">
            <v>191670</v>
          </cell>
          <cell r="D1024">
            <v>1.4</v>
          </cell>
          <cell r="E1024">
            <v>41340</v>
          </cell>
          <cell r="F1024">
            <v>0.4</v>
          </cell>
          <cell r="G1024">
            <v>38630</v>
          </cell>
        </row>
        <row r="1025">
          <cell r="A1025" t="str">
            <v>47-3011</v>
          </cell>
          <cell r="B1025" t="str">
            <v>Helpers--Brickmasons, Blockmasons, Stonemasons, and Tile and Marble Setters</v>
          </cell>
          <cell r="C1025">
            <v>16460</v>
          </cell>
          <cell r="D1025">
            <v>3.3</v>
          </cell>
          <cell r="E1025">
            <v>45590</v>
          </cell>
          <cell r="F1025">
            <v>1</v>
          </cell>
          <cell r="G1025">
            <v>42470</v>
          </cell>
        </row>
        <row r="1026">
          <cell r="A1026" t="str">
            <v>47-3012</v>
          </cell>
          <cell r="B1026" t="str">
            <v>Helpers--Carpenters</v>
          </cell>
          <cell r="C1026">
            <v>21770</v>
          </cell>
          <cell r="D1026">
            <v>5.4</v>
          </cell>
          <cell r="E1026">
            <v>40860</v>
          </cell>
          <cell r="F1026">
            <v>0.9</v>
          </cell>
          <cell r="G1026">
            <v>39380</v>
          </cell>
        </row>
        <row r="1027">
          <cell r="A1027" t="str">
            <v>47-3013</v>
          </cell>
          <cell r="B1027" t="str">
            <v>Helpers--Electricians</v>
          </cell>
          <cell r="C1027">
            <v>68670</v>
          </cell>
          <cell r="D1027">
            <v>3.4</v>
          </cell>
          <cell r="E1027">
            <v>41240</v>
          </cell>
          <cell r="F1027">
            <v>0.7</v>
          </cell>
          <cell r="G1027">
            <v>38340</v>
          </cell>
        </row>
        <row r="1028">
          <cell r="A1028" t="str">
            <v>47-3014</v>
          </cell>
          <cell r="B1028" t="str">
            <v>Helpers--Painters, Paperhangers, Plasterers, and Stucco Masons</v>
          </cell>
          <cell r="C1028">
            <v>7700</v>
          </cell>
          <cell r="D1028">
            <v>6.1</v>
          </cell>
          <cell r="E1028">
            <v>38750</v>
          </cell>
          <cell r="F1028">
            <v>2.2000000000000002</v>
          </cell>
          <cell r="G1028">
            <v>37010</v>
          </cell>
        </row>
        <row r="1029">
          <cell r="A1029" t="str">
            <v>47-3015</v>
          </cell>
          <cell r="B1029" t="str">
            <v>Helpers--Pipelayers, Plumbers, Pipefitters, and Steamfitters</v>
          </cell>
          <cell r="C1029">
            <v>45300</v>
          </cell>
          <cell r="D1029">
            <v>3.1</v>
          </cell>
          <cell r="E1029">
            <v>39460</v>
          </cell>
          <cell r="F1029">
            <v>0.6</v>
          </cell>
          <cell r="G1029">
            <v>37650</v>
          </cell>
        </row>
        <row r="1030">
          <cell r="A1030" t="str">
            <v>47-3016</v>
          </cell>
          <cell r="B1030" t="str">
            <v>Helpers--Roofers</v>
          </cell>
          <cell r="C1030">
            <v>4540</v>
          </cell>
          <cell r="D1030">
            <v>6.4</v>
          </cell>
          <cell r="E1030">
            <v>42280</v>
          </cell>
          <cell r="F1030">
            <v>2.5</v>
          </cell>
          <cell r="G1030">
            <v>38620</v>
          </cell>
        </row>
        <row r="1031">
          <cell r="A1031" t="str">
            <v>47-3019</v>
          </cell>
          <cell r="B1031" t="str">
            <v>Helpers, Construction Trades, All Other</v>
          </cell>
          <cell r="C1031">
            <v>27250</v>
          </cell>
          <cell r="D1031">
            <v>3.4</v>
          </cell>
          <cell r="E1031">
            <v>43090</v>
          </cell>
          <cell r="F1031">
            <v>0.9</v>
          </cell>
          <cell r="G1031">
            <v>40220</v>
          </cell>
        </row>
        <row r="1032">
          <cell r="A1032" t="str">
            <v>47-4000</v>
          </cell>
          <cell r="B1032" t="str">
            <v>Other Construction and Related Workers</v>
          </cell>
          <cell r="C1032">
            <v>455520</v>
          </cell>
          <cell r="D1032">
            <v>0.7</v>
          </cell>
          <cell r="E1032">
            <v>60050</v>
          </cell>
          <cell r="F1032">
            <v>0.5</v>
          </cell>
          <cell r="G1032">
            <v>52900</v>
          </cell>
        </row>
        <row r="1033">
          <cell r="A1033" t="str">
            <v>47-4010</v>
          </cell>
          <cell r="B1033" t="str">
            <v>Construction and Building Inspectors</v>
          </cell>
          <cell r="C1033">
            <v>133640</v>
          </cell>
          <cell r="D1033">
            <v>1.3</v>
          </cell>
          <cell r="E1033">
            <v>72880</v>
          </cell>
          <cell r="F1033">
            <v>0.6</v>
          </cell>
          <cell r="G1033">
            <v>67700</v>
          </cell>
        </row>
        <row r="1034">
          <cell r="A1034" t="str">
            <v>47-4011</v>
          </cell>
          <cell r="B1034" t="str">
            <v>Construction and Building Inspectors</v>
          </cell>
          <cell r="C1034">
            <v>133640</v>
          </cell>
          <cell r="D1034">
            <v>1.3</v>
          </cell>
          <cell r="E1034">
            <v>72880</v>
          </cell>
          <cell r="F1034">
            <v>0.6</v>
          </cell>
          <cell r="G1034">
            <v>67700</v>
          </cell>
        </row>
        <row r="1035">
          <cell r="A1035" t="str">
            <v>47-4020</v>
          </cell>
          <cell r="B1035" t="str">
            <v>Elevator and Escalator Installers and Repairers</v>
          </cell>
          <cell r="C1035">
            <v>23990</v>
          </cell>
          <cell r="D1035">
            <v>6.2</v>
          </cell>
          <cell r="E1035">
            <v>100060</v>
          </cell>
          <cell r="F1035">
            <v>1.2</v>
          </cell>
          <cell r="G1035">
            <v>102420</v>
          </cell>
        </row>
        <row r="1036">
          <cell r="A1036" t="str">
            <v>47-4021</v>
          </cell>
          <cell r="B1036" t="str">
            <v>Elevator and Escalator Installers and Repairers</v>
          </cell>
          <cell r="C1036">
            <v>23990</v>
          </cell>
          <cell r="D1036">
            <v>6.2</v>
          </cell>
          <cell r="E1036">
            <v>100060</v>
          </cell>
          <cell r="F1036">
            <v>1.2</v>
          </cell>
          <cell r="G1036">
            <v>102420</v>
          </cell>
        </row>
        <row r="1037">
          <cell r="A1037" t="str">
            <v>47-4030</v>
          </cell>
          <cell r="B1037" t="str">
            <v>Fence Erectors</v>
          </cell>
          <cell r="C1037">
            <v>21470</v>
          </cell>
          <cell r="D1037">
            <v>5.9</v>
          </cell>
          <cell r="E1037">
            <v>46650</v>
          </cell>
          <cell r="F1037">
            <v>1.3</v>
          </cell>
          <cell r="G1037">
            <v>44410</v>
          </cell>
        </row>
        <row r="1038">
          <cell r="A1038" t="str">
            <v>47-4031</v>
          </cell>
          <cell r="B1038" t="str">
            <v>Fence Erectors</v>
          </cell>
          <cell r="C1038">
            <v>21470</v>
          </cell>
          <cell r="D1038">
            <v>5.9</v>
          </cell>
          <cell r="E1038">
            <v>46650</v>
          </cell>
          <cell r="F1038">
            <v>1.3</v>
          </cell>
          <cell r="G1038">
            <v>44410</v>
          </cell>
        </row>
        <row r="1039">
          <cell r="A1039" t="str">
            <v>47-4040</v>
          </cell>
          <cell r="B1039" t="str">
            <v>Hazardous Materials Removal Workers</v>
          </cell>
          <cell r="C1039">
            <v>49960</v>
          </cell>
          <cell r="D1039">
            <v>2.2999999999999998</v>
          </cell>
          <cell r="E1039">
            <v>53430</v>
          </cell>
          <cell r="F1039">
            <v>1</v>
          </cell>
          <cell r="G1039">
            <v>47280</v>
          </cell>
        </row>
        <row r="1040">
          <cell r="A1040" t="str">
            <v>47-4041</v>
          </cell>
          <cell r="B1040" t="str">
            <v>Hazardous Materials Removal Workers</v>
          </cell>
          <cell r="C1040">
            <v>49960</v>
          </cell>
          <cell r="D1040">
            <v>2.2999999999999998</v>
          </cell>
          <cell r="E1040">
            <v>53430</v>
          </cell>
          <cell r="F1040">
            <v>1</v>
          </cell>
          <cell r="G1040">
            <v>47280</v>
          </cell>
        </row>
        <row r="1041">
          <cell r="A1041" t="str">
            <v>47-4050</v>
          </cell>
          <cell r="B1041" t="str">
            <v>Highway Maintenance Workers</v>
          </cell>
          <cell r="C1041">
            <v>150860</v>
          </cell>
          <cell r="D1041">
            <v>0.9</v>
          </cell>
          <cell r="E1041">
            <v>49070</v>
          </cell>
          <cell r="F1041">
            <v>0.3</v>
          </cell>
          <cell r="G1041">
            <v>47360</v>
          </cell>
        </row>
        <row r="1042">
          <cell r="A1042" t="str">
            <v>47-4051</v>
          </cell>
          <cell r="B1042" t="str">
            <v>Highway Maintenance Workers</v>
          </cell>
          <cell r="C1042">
            <v>150860</v>
          </cell>
          <cell r="D1042">
            <v>0.9</v>
          </cell>
          <cell r="E1042">
            <v>49070</v>
          </cell>
          <cell r="F1042">
            <v>0.3</v>
          </cell>
          <cell r="G1042">
            <v>47360</v>
          </cell>
        </row>
        <row r="1043">
          <cell r="A1043" t="str">
            <v>47-4060</v>
          </cell>
          <cell r="B1043" t="str">
            <v>Rail-Track Laying and Maintenance Equipment Operators</v>
          </cell>
          <cell r="C1043">
            <v>18770</v>
          </cell>
          <cell r="D1043">
            <v>1.2</v>
          </cell>
          <cell r="E1043">
            <v>67330</v>
          </cell>
          <cell r="F1043">
            <v>0.5</v>
          </cell>
          <cell r="G1043">
            <v>67000</v>
          </cell>
        </row>
        <row r="1044">
          <cell r="A1044" t="str">
            <v>47-4061</v>
          </cell>
          <cell r="B1044" t="str">
            <v>Rail-Track Laying and Maintenance Equipment Operators</v>
          </cell>
          <cell r="C1044">
            <v>18770</v>
          </cell>
          <cell r="D1044">
            <v>1.2</v>
          </cell>
          <cell r="E1044">
            <v>67330</v>
          </cell>
          <cell r="F1044">
            <v>0.5</v>
          </cell>
          <cell r="G1044">
            <v>67000</v>
          </cell>
        </row>
        <row r="1045">
          <cell r="A1045" t="str">
            <v>47-4070</v>
          </cell>
          <cell r="B1045" t="str">
            <v>Septic Tank Servicers and Sewer Pipe Cleaners</v>
          </cell>
          <cell r="C1045">
            <v>27900</v>
          </cell>
          <cell r="D1045">
            <v>2.8</v>
          </cell>
          <cell r="E1045">
            <v>49590</v>
          </cell>
          <cell r="F1045">
            <v>0.8</v>
          </cell>
          <cell r="G1045">
            <v>46910</v>
          </cell>
        </row>
        <row r="1046">
          <cell r="A1046" t="str">
            <v>47-4071</v>
          </cell>
          <cell r="B1046" t="str">
            <v>Septic Tank Servicers and Sewer Pipe Cleaners</v>
          </cell>
          <cell r="C1046">
            <v>27900</v>
          </cell>
          <cell r="D1046">
            <v>2.8</v>
          </cell>
          <cell r="E1046">
            <v>49590</v>
          </cell>
          <cell r="F1046">
            <v>0.8</v>
          </cell>
          <cell r="G1046">
            <v>46910</v>
          </cell>
        </row>
        <row r="1047">
          <cell r="A1047" t="str">
            <v>47-4090</v>
          </cell>
          <cell r="B1047" t="str">
            <v>Miscellaneous Construction and Related Workers</v>
          </cell>
          <cell r="C1047">
            <v>28930</v>
          </cell>
          <cell r="D1047">
            <v>3.5</v>
          </cell>
          <cell r="E1047">
            <v>51670</v>
          </cell>
          <cell r="F1047">
            <v>1.7</v>
          </cell>
          <cell r="G1047">
            <v>47090</v>
          </cell>
        </row>
        <row r="1048">
          <cell r="A1048" t="str">
            <v>47-4090</v>
          </cell>
          <cell r="B1048" t="str">
            <v>Miscellaneous Construction and Related Workers</v>
          </cell>
          <cell r="C1048">
            <v>28930</v>
          </cell>
          <cell r="D1048">
            <v>3.5</v>
          </cell>
          <cell r="E1048">
            <v>51670</v>
          </cell>
          <cell r="F1048">
            <v>1.7</v>
          </cell>
          <cell r="G1048">
            <v>47090</v>
          </cell>
        </row>
        <row r="1049">
          <cell r="A1049" t="str">
            <v>47-5000</v>
          </cell>
          <cell r="B1049" t="str">
            <v>Extraction Workers</v>
          </cell>
          <cell r="C1049">
            <v>212390</v>
          </cell>
          <cell r="D1049">
            <v>1.6</v>
          </cell>
          <cell r="E1049">
            <v>56610</v>
          </cell>
          <cell r="F1049">
            <v>0.5</v>
          </cell>
          <cell r="G1049">
            <v>51780</v>
          </cell>
        </row>
        <row r="1050">
          <cell r="A1050" t="str">
            <v>47-5010</v>
          </cell>
          <cell r="B1050" t="str">
            <v>Derrick, Rotary Drill, and Service Unit Operators, Oil and Gas</v>
          </cell>
          <cell r="C1050">
            <v>69840</v>
          </cell>
          <cell r="D1050">
            <v>2.4</v>
          </cell>
          <cell r="E1050">
            <v>60590</v>
          </cell>
          <cell r="F1050">
            <v>0.8</v>
          </cell>
          <cell r="G1050">
            <v>58100</v>
          </cell>
        </row>
        <row r="1051">
          <cell r="A1051" t="str">
            <v>47-5011</v>
          </cell>
          <cell r="B1051" t="str">
            <v>Derrick Operators, Oil and Gas</v>
          </cell>
          <cell r="C1051">
            <v>11510</v>
          </cell>
          <cell r="D1051">
            <v>5.2</v>
          </cell>
          <cell r="E1051">
            <v>58330</v>
          </cell>
          <cell r="F1051">
            <v>1.3</v>
          </cell>
          <cell r="G1051">
            <v>58210</v>
          </cell>
        </row>
        <row r="1052">
          <cell r="A1052" t="str">
            <v>47-5012</v>
          </cell>
          <cell r="B1052" t="str">
            <v>Rotary Drill Operators, Oil and Gas</v>
          </cell>
          <cell r="C1052">
            <v>12180</v>
          </cell>
          <cell r="D1052">
            <v>6.2</v>
          </cell>
          <cell r="E1052">
            <v>67320</v>
          </cell>
          <cell r="F1052">
            <v>1.2</v>
          </cell>
          <cell r="G1052">
            <v>61770</v>
          </cell>
        </row>
        <row r="1053">
          <cell r="A1053" t="str">
            <v>47-5013</v>
          </cell>
          <cell r="B1053" t="str">
            <v>Service Unit Operators, Oil and Gas</v>
          </cell>
          <cell r="C1053">
            <v>46150</v>
          </cell>
          <cell r="D1053">
            <v>3</v>
          </cell>
          <cell r="E1053">
            <v>59390</v>
          </cell>
          <cell r="F1053">
            <v>1.1000000000000001</v>
          </cell>
          <cell r="G1053">
            <v>55750</v>
          </cell>
        </row>
        <row r="1054">
          <cell r="A1054" t="str">
            <v>47-5020</v>
          </cell>
          <cell r="B1054" t="str">
            <v>Surface Mining Machine Operators and Earth Drillers</v>
          </cell>
          <cell r="C1054">
            <v>50640</v>
          </cell>
          <cell r="D1054">
            <v>2</v>
          </cell>
          <cell r="E1054">
            <v>57190</v>
          </cell>
          <cell r="F1054">
            <v>0.6</v>
          </cell>
          <cell r="G1054">
            <v>51930</v>
          </cell>
        </row>
        <row r="1055">
          <cell r="A1055" t="str">
            <v>47-5022</v>
          </cell>
          <cell r="B1055" t="str">
            <v>Excavating and Loading Machine and Dragline Operators, Surface Mining</v>
          </cell>
          <cell r="C1055">
            <v>32630</v>
          </cell>
          <cell r="D1055">
            <v>2.5</v>
          </cell>
          <cell r="E1055">
            <v>55500</v>
          </cell>
          <cell r="F1055">
            <v>0.8</v>
          </cell>
          <cell r="G1055">
            <v>50050</v>
          </cell>
        </row>
        <row r="1056">
          <cell r="A1056" t="str">
            <v>47-5023</v>
          </cell>
          <cell r="B1056" t="str">
            <v>Earth Drillers, Except Oil and Gas</v>
          </cell>
          <cell r="C1056">
            <v>18010</v>
          </cell>
          <cell r="D1056">
            <v>4.4000000000000004</v>
          </cell>
          <cell r="E1056">
            <v>60250</v>
          </cell>
          <cell r="F1056">
            <v>1</v>
          </cell>
          <cell r="G1056">
            <v>56660</v>
          </cell>
        </row>
        <row r="1057">
          <cell r="A1057" t="str">
            <v>47-5030</v>
          </cell>
          <cell r="B1057" t="str">
            <v>Explosives Workers, Ordnance Handling Experts, and Blasters</v>
          </cell>
          <cell r="C1057">
            <v>4610</v>
          </cell>
          <cell r="D1057">
            <v>4.5</v>
          </cell>
          <cell r="E1057">
            <v>65600</v>
          </cell>
          <cell r="F1057">
            <v>1.6</v>
          </cell>
          <cell r="G1057">
            <v>61590</v>
          </cell>
        </row>
        <row r="1058">
          <cell r="A1058" t="str">
            <v>47-5032</v>
          </cell>
          <cell r="B1058" t="str">
            <v>Explosives Workers, Ordnance Handling Experts, and Blasters</v>
          </cell>
          <cell r="C1058">
            <v>4610</v>
          </cell>
          <cell r="D1058">
            <v>4.5</v>
          </cell>
          <cell r="E1058">
            <v>65600</v>
          </cell>
          <cell r="F1058">
            <v>1.6</v>
          </cell>
          <cell r="G1058">
            <v>61590</v>
          </cell>
        </row>
        <row r="1059">
          <cell r="A1059" t="str">
            <v>47-5040</v>
          </cell>
          <cell r="B1059" t="str">
            <v>Underground Mining Machine Operators</v>
          </cell>
          <cell r="C1059">
            <v>25390</v>
          </cell>
          <cell r="D1059">
            <v>2.2999999999999998</v>
          </cell>
          <cell r="E1059">
            <v>63240</v>
          </cell>
          <cell r="F1059">
            <v>0.7</v>
          </cell>
          <cell r="G1059">
            <v>63770</v>
          </cell>
        </row>
        <row r="1060">
          <cell r="A1060" t="str">
            <v>47-5041</v>
          </cell>
          <cell r="B1060" t="str">
            <v>Continuous Mining Machine Operators</v>
          </cell>
          <cell r="C1060">
            <v>15700</v>
          </cell>
          <cell r="D1060">
            <v>3.3</v>
          </cell>
          <cell r="E1060">
            <v>62110</v>
          </cell>
          <cell r="F1060">
            <v>0.9</v>
          </cell>
          <cell r="G1060">
            <v>61420</v>
          </cell>
        </row>
        <row r="1061">
          <cell r="A1061" t="str">
            <v>47-5043</v>
          </cell>
          <cell r="B1061" t="str">
            <v>Roof Bolters, Mining</v>
          </cell>
          <cell r="C1061">
            <v>1960</v>
          </cell>
          <cell r="D1061">
            <v>6.2</v>
          </cell>
          <cell r="E1061">
            <v>68540</v>
          </cell>
          <cell r="F1061">
            <v>1.9</v>
          </cell>
          <cell r="G1061">
            <v>66660</v>
          </cell>
        </row>
        <row r="1062">
          <cell r="A1062" t="str">
            <v>47-5044</v>
          </cell>
          <cell r="B1062" t="str">
            <v>Loading and Moving Machine Operators, Underground Mining</v>
          </cell>
          <cell r="C1062">
            <v>5160</v>
          </cell>
          <cell r="D1062">
            <v>3.9</v>
          </cell>
          <cell r="E1062">
            <v>63620</v>
          </cell>
          <cell r="F1062">
            <v>1.3</v>
          </cell>
          <cell r="G1062">
            <v>64070</v>
          </cell>
        </row>
        <row r="1063">
          <cell r="A1063" t="str">
            <v>47-5049</v>
          </cell>
          <cell r="B1063" t="str">
            <v>Underground Mining Machine Operators, All Other</v>
          </cell>
          <cell r="C1063">
            <v>2560</v>
          </cell>
          <cell r="D1063">
            <v>4.2</v>
          </cell>
          <cell r="E1063">
            <v>65290</v>
          </cell>
          <cell r="F1063">
            <v>1.4</v>
          </cell>
          <cell r="G1063">
            <v>68910</v>
          </cell>
        </row>
        <row r="1064">
          <cell r="A1064" t="str">
            <v>47-5050</v>
          </cell>
          <cell r="B1064" t="str">
            <v>Rock Splitters, Quarry</v>
          </cell>
          <cell r="C1064">
            <v>3610</v>
          </cell>
          <cell r="D1064">
            <v>6.2</v>
          </cell>
          <cell r="E1064">
            <v>47830</v>
          </cell>
          <cell r="F1064">
            <v>1.8</v>
          </cell>
          <cell r="G1064">
            <v>46530</v>
          </cell>
        </row>
        <row r="1065">
          <cell r="A1065" t="str">
            <v>47-5051</v>
          </cell>
          <cell r="B1065" t="str">
            <v>Rock Splitters, Quarry</v>
          </cell>
          <cell r="C1065">
            <v>3610</v>
          </cell>
          <cell r="D1065">
            <v>6.2</v>
          </cell>
          <cell r="E1065">
            <v>47830</v>
          </cell>
          <cell r="F1065">
            <v>1.8</v>
          </cell>
          <cell r="G1065">
            <v>46530</v>
          </cell>
        </row>
        <row r="1066">
          <cell r="A1066" t="str">
            <v>47-5070</v>
          </cell>
          <cell r="B1066" t="str">
            <v>Roustabouts, Oil and Gas</v>
          </cell>
          <cell r="C1066">
            <v>43830</v>
          </cell>
          <cell r="D1066">
            <v>3.5</v>
          </cell>
          <cell r="E1066">
            <v>47730</v>
          </cell>
          <cell r="F1066">
            <v>0.8</v>
          </cell>
          <cell r="G1066">
            <v>46340</v>
          </cell>
        </row>
        <row r="1067">
          <cell r="A1067" t="str">
            <v>47-5071</v>
          </cell>
          <cell r="B1067" t="str">
            <v>Roustabouts, Oil and Gas</v>
          </cell>
          <cell r="C1067">
            <v>43830</v>
          </cell>
          <cell r="D1067">
            <v>3.5</v>
          </cell>
          <cell r="E1067">
            <v>47730</v>
          </cell>
          <cell r="F1067">
            <v>0.8</v>
          </cell>
          <cell r="G1067">
            <v>46340</v>
          </cell>
        </row>
        <row r="1068">
          <cell r="A1068" t="str">
            <v>47-5080</v>
          </cell>
          <cell r="B1068" t="str">
            <v>Helpers--Extraction Workers</v>
          </cell>
          <cell r="C1068">
            <v>7360</v>
          </cell>
          <cell r="D1068">
            <v>6.6</v>
          </cell>
          <cell r="E1068">
            <v>46990</v>
          </cell>
          <cell r="F1068">
            <v>1.4</v>
          </cell>
          <cell r="G1068">
            <v>45520</v>
          </cell>
        </row>
        <row r="1069">
          <cell r="A1069" t="str">
            <v>47-5081</v>
          </cell>
          <cell r="B1069" t="str">
            <v>Helpers--Extraction Workers</v>
          </cell>
          <cell r="C1069">
            <v>7360</v>
          </cell>
          <cell r="D1069">
            <v>6.6</v>
          </cell>
          <cell r="E1069">
            <v>46990</v>
          </cell>
          <cell r="F1069">
            <v>1.4</v>
          </cell>
          <cell r="G1069">
            <v>45520</v>
          </cell>
        </row>
        <row r="1070">
          <cell r="A1070" t="str">
            <v>47-5090</v>
          </cell>
          <cell r="B1070" t="str">
            <v>Miscellaneous Extraction Workers</v>
          </cell>
          <cell r="C1070">
            <v>7120</v>
          </cell>
          <cell r="D1070">
            <v>6.9</v>
          </cell>
          <cell r="E1070">
            <v>53050</v>
          </cell>
          <cell r="F1070">
            <v>2</v>
          </cell>
          <cell r="G1070">
            <v>49580</v>
          </cell>
        </row>
        <row r="1071">
          <cell r="A1071" t="str">
            <v>47-5099</v>
          </cell>
          <cell r="B1071" t="str">
            <v>Extraction Workers, All Other</v>
          </cell>
          <cell r="C1071">
            <v>7120</v>
          </cell>
          <cell r="D1071">
            <v>6.9</v>
          </cell>
          <cell r="E1071">
            <v>53050</v>
          </cell>
          <cell r="F1071">
            <v>2</v>
          </cell>
          <cell r="G1071">
            <v>49580</v>
          </cell>
        </row>
        <row r="1072">
          <cell r="A1072" t="str">
            <v>49-0000</v>
          </cell>
          <cell r="B1072" t="str">
            <v>Installation, Maintenance, and Repair Occupations</v>
          </cell>
          <cell r="C1072">
            <v>5989460</v>
          </cell>
          <cell r="D1072">
            <v>0.3</v>
          </cell>
          <cell r="E1072">
            <v>58500</v>
          </cell>
          <cell r="F1072">
            <v>0.2</v>
          </cell>
          <cell r="G1072">
            <v>53920</v>
          </cell>
        </row>
        <row r="1073">
          <cell r="A1073" t="str">
            <v>49-1000</v>
          </cell>
          <cell r="B1073" t="str">
            <v>Supervisors of Installation, Maintenance, and Repair Workers</v>
          </cell>
          <cell r="C1073">
            <v>589880</v>
          </cell>
          <cell r="D1073">
            <v>0.4</v>
          </cell>
          <cell r="E1073">
            <v>79020</v>
          </cell>
          <cell r="F1073">
            <v>0.2</v>
          </cell>
          <cell r="G1073">
            <v>75820</v>
          </cell>
        </row>
        <row r="1074">
          <cell r="A1074" t="str">
            <v>49-1010</v>
          </cell>
          <cell r="B1074" t="str">
            <v>First-Line Supervisors of Mechanics, Installers, and Repairers</v>
          </cell>
          <cell r="C1074">
            <v>589880</v>
          </cell>
          <cell r="D1074">
            <v>0.4</v>
          </cell>
          <cell r="E1074">
            <v>79020</v>
          </cell>
          <cell r="F1074">
            <v>0.2</v>
          </cell>
          <cell r="G1074">
            <v>75820</v>
          </cell>
        </row>
        <row r="1075">
          <cell r="A1075" t="str">
            <v>49-1011</v>
          </cell>
          <cell r="B1075" t="str">
            <v>First-Line Supervisors of Mechanics, Installers, and Repairers</v>
          </cell>
          <cell r="C1075">
            <v>589880</v>
          </cell>
          <cell r="D1075">
            <v>0.4</v>
          </cell>
          <cell r="E1075">
            <v>79020</v>
          </cell>
          <cell r="F1075">
            <v>0.2</v>
          </cell>
          <cell r="G1075">
            <v>75820</v>
          </cell>
        </row>
        <row r="1076">
          <cell r="A1076" t="str">
            <v>49-2000</v>
          </cell>
          <cell r="B1076" t="str">
            <v>Electrical and Electronic Equipment Mechanics, Installers, and Repairers</v>
          </cell>
          <cell r="C1076">
            <v>494550</v>
          </cell>
          <cell r="D1076">
            <v>0.8</v>
          </cell>
          <cell r="E1076">
            <v>62090</v>
          </cell>
          <cell r="F1076">
            <v>0.3</v>
          </cell>
          <cell r="G1076">
            <v>59420</v>
          </cell>
        </row>
        <row r="1077">
          <cell r="A1077" t="str">
            <v>49-2010</v>
          </cell>
          <cell r="B1077" t="str">
            <v>Computer, Automated Teller, and Office Machine Repairers</v>
          </cell>
          <cell r="C1077">
            <v>77580</v>
          </cell>
          <cell r="D1077">
            <v>2</v>
          </cell>
          <cell r="E1077">
            <v>48290</v>
          </cell>
          <cell r="F1077">
            <v>0.6</v>
          </cell>
          <cell r="G1077">
            <v>45760</v>
          </cell>
        </row>
        <row r="1078">
          <cell r="A1078" t="str">
            <v>49-2011</v>
          </cell>
          <cell r="B1078" t="str">
            <v>Computer, Automated Teller, and Office Machine Repairers</v>
          </cell>
          <cell r="C1078">
            <v>77580</v>
          </cell>
          <cell r="D1078">
            <v>2</v>
          </cell>
          <cell r="E1078">
            <v>48290</v>
          </cell>
          <cell r="F1078">
            <v>0.6</v>
          </cell>
          <cell r="G1078">
            <v>45760</v>
          </cell>
        </row>
        <row r="1079">
          <cell r="A1079" t="str">
            <v>49-2020</v>
          </cell>
          <cell r="B1079" t="str">
            <v>Radio and Telecommunications Equipment Installers and Repairers</v>
          </cell>
          <cell r="C1079">
            <v>171480</v>
          </cell>
          <cell r="D1079">
            <v>1.5</v>
          </cell>
          <cell r="E1079">
            <v>64030</v>
          </cell>
          <cell r="F1079">
            <v>0.5</v>
          </cell>
          <cell r="G1079">
            <v>61270</v>
          </cell>
        </row>
        <row r="1080">
          <cell r="A1080" t="str">
            <v>49-2021</v>
          </cell>
          <cell r="B1080" t="str">
            <v>Radio, Cellular, and Tower Equipment Installers and Repairers</v>
          </cell>
          <cell r="C1080">
            <v>11810</v>
          </cell>
          <cell r="D1080">
            <v>4.3</v>
          </cell>
          <cell r="E1080">
            <v>64360</v>
          </cell>
          <cell r="F1080">
            <v>1.4</v>
          </cell>
          <cell r="G1080">
            <v>61310</v>
          </cell>
        </row>
        <row r="1081">
          <cell r="A1081" t="str">
            <v>49-2022</v>
          </cell>
          <cell r="B1081" t="str">
            <v>Telecommunications Equipment Installers and Repairers, Except Line Installers</v>
          </cell>
          <cell r="C1081">
            <v>159670</v>
          </cell>
          <cell r="D1081">
            <v>1.7</v>
          </cell>
          <cell r="E1081">
            <v>64010</v>
          </cell>
          <cell r="F1081">
            <v>0.5</v>
          </cell>
          <cell r="G1081">
            <v>61270</v>
          </cell>
        </row>
        <row r="1082">
          <cell r="A1082" t="str">
            <v>49-2090</v>
          </cell>
          <cell r="B1082" t="str">
            <v>Miscellaneous Electrical and Electronic Equipment Mechanics, Installers, and Repairers</v>
          </cell>
          <cell r="C1082">
            <v>245480</v>
          </cell>
          <cell r="D1082">
            <v>1.1000000000000001</v>
          </cell>
          <cell r="E1082">
            <v>65100</v>
          </cell>
          <cell r="F1082">
            <v>0.3</v>
          </cell>
          <cell r="G1082">
            <v>61190</v>
          </cell>
        </row>
        <row r="1083">
          <cell r="A1083" t="str">
            <v>49-2091</v>
          </cell>
          <cell r="B1083" t="str">
            <v>Avionics Technicians</v>
          </cell>
          <cell r="C1083">
            <v>21280</v>
          </cell>
          <cell r="D1083">
            <v>2.8</v>
          </cell>
          <cell r="E1083">
            <v>77080</v>
          </cell>
          <cell r="F1083">
            <v>0.8</v>
          </cell>
          <cell r="G1083">
            <v>77420</v>
          </cell>
        </row>
        <row r="1084">
          <cell r="A1084" t="str">
            <v>49-2092</v>
          </cell>
          <cell r="B1084" t="str">
            <v>Electric Motor, Power Tool, and Related Repairers</v>
          </cell>
          <cell r="C1084">
            <v>16010</v>
          </cell>
          <cell r="D1084">
            <v>4.8</v>
          </cell>
          <cell r="E1084">
            <v>52550</v>
          </cell>
          <cell r="F1084">
            <v>1</v>
          </cell>
          <cell r="G1084">
            <v>49230</v>
          </cell>
        </row>
        <row r="1085">
          <cell r="A1085" t="str">
            <v>49-2093</v>
          </cell>
          <cell r="B1085" t="str">
            <v>Electrical and Electronics Installers and Repairers, Transportation Equipment</v>
          </cell>
          <cell r="C1085">
            <v>7920</v>
          </cell>
          <cell r="D1085">
            <v>2.8</v>
          </cell>
          <cell r="E1085">
            <v>76380</v>
          </cell>
          <cell r="F1085">
            <v>1.4</v>
          </cell>
          <cell r="G1085">
            <v>79160</v>
          </cell>
        </row>
        <row r="1086">
          <cell r="A1086" t="str">
            <v>49-2094</v>
          </cell>
          <cell r="B1086" t="str">
            <v>Electrical and Electronics Repairers, Commercial and Industrial Equipment</v>
          </cell>
          <cell r="C1086">
            <v>58320</v>
          </cell>
          <cell r="D1086">
            <v>2</v>
          </cell>
          <cell r="E1086">
            <v>69810</v>
          </cell>
          <cell r="F1086">
            <v>0.7</v>
          </cell>
          <cell r="G1086">
            <v>66680</v>
          </cell>
        </row>
        <row r="1087">
          <cell r="A1087" t="str">
            <v>49-2095</v>
          </cell>
          <cell r="B1087" t="str">
            <v>Electrical and Electronics Repairers, Powerhouse, Substation, and Relay</v>
          </cell>
          <cell r="C1087">
            <v>24790</v>
          </cell>
          <cell r="D1087">
            <v>1.9</v>
          </cell>
          <cell r="E1087">
            <v>92840</v>
          </cell>
          <cell r="F1087">
            <v>0.8</v>
          </cell>
          <cell r="G1087">
            <v>96600</v>
          </cell>
        </row>
        <row r="1088">
          <cell r="A1088" t="str">
            <v>49-2096</v>
          </cell>
          <cell r="B1088" t="str">
            <v>Electronic Equipment Installers and Repairers, Motor Vehicles</v>
          </cell>
          <cell r="C1088">
            <v>8900</v>
          </cell>
          <cell r="D1088">
            <v>5.8</v>
          </cell>
          <cell r="E1088">
            <v>47570</v>
          </cell>
          <cell r="F1088">
            <v>1.5</v>
          </cell>
          <cell r="G1088">
            <v>45570</v>
          </cell>
        </row>
        <row r="1089">
          <cell r="A1089" t="str">
            <v>49-2097</v>
          </cell>
          <cell r="B1089" t="str">
            <v>Audiovisual Equipment Installers and Repairers</v>
          </cell>
          <cell r="C1089">
            <v>24720</v>
          </cell>
          <cell r="D1089">
            <v>5.9</v>
          </cell>
          <cell r="E1089">
            <v>52720</v>
          </cell>
          <cell r="F1089">
            <v>1.7</v>
          </cell>
          <cell r="G1089">
            <v>48380</v>
          </cell>
        </row>
        <row r="1090">
          <cell r="A1090" t="str">
            <v>49-2098</v>
          </cell>
          <cell r="B1090" t="str">
            <v>Security and Fire Alarm Systems Installers</v>
          </cell>
          <cell r="C1090">
            <v>83540</v>
          </cell>
          <cell r="D1090">
            <v>2.2000000000000002</v>
          </cell>
          <cell r="E1090">
            <v>57400</v>
          </cell>
          <cell r="F1090">
            <v>0.6</v>
          </cell>
          <cell r="G1090">
            <v>56430</v>
          </cell>
        </row>
        <row r="1091">
          <cell r="A1091" t="str">
            <v>49-3000</v>
          </cell>
          <cell r="B1091" t="str">
            <v>Vehicle and Mobile Equipment Mechanics, Installers, and Repairers</v>
          </cell>
          <cell r="C1091">
            <v>1708100</v>
          </cell>
          <cell r="D1091">
            <v>0.4</v>
          </cell>
          <cell r="E1091">
            <v>55760</v>
          </cell>
          <cell r="F1091">
            <v>0.3</v>
          </cell>
          <cell r="G1091">
            <v>50790</v>
          </cell>
        </row>
        <row r="1092">
          <cell r="A1092" t="str">
            <v>49-3010</v>
          </cell>
          <cell r="B1092" t="str">
            <v>Aircraft Mechanics and Service Technicians</v>
          </cell>
          <cell r="C1092">
            <v>137630</v>
          </cell>
          <cell r="D1092">
            <v>1.1000000000000001</v>
          </cell>
          <cell r="E1092">
            <v>76260</v>
          </cell>
          <cell r="F1092">
            <v>0.5</v>
          </cell>
          <cell r="G1092">
            <v>75020</v>
          </cell>
        </row>
        <row r="1093">
          <cell r="A1093" t="str">
            <v>49-3011</v>
          </cell>
          <cell r="B1093" t="str">
            <v>Aircraft Mechanics and Service Technicians</v>
          </cell>
          <cell r="C1093">
            <v>137630</v>
          </cell>
          <cell r="D1093">
            <v>1.1000000000000001</v>
          </cell>
          <cell r="E1093">
            <v>76260</v>
          </cell>
          <cell r="F1093">
            <v>0.5</v>
          </cell>
          <cell r="G1093">
            <v>75020</v>
          </cell>
        </row>
        <row r="1094">
          <cell r="A1094" t="str">
            <v>49-3020</v>
          </cell>
          <cell r="B1094" t="str">
            <v>Automotive Technicians and Repairers</v>
          </cell>
          <cell r="C1094">
            <v>845360</v>
          </cell>
          <cell r="D1094">
            <v>0.4</v>
          </cell>
          <cell r="E1094">
            <v>52410</v>
          </cell>
          <cell r="F1094">
            <v>0.3</v>
          </cell>
          <cell r="G1094">
            <v>47990</v>
          </cell>
        </row>
        <row r="1095">
          <cell r="A1095" t="str">
            <v>49-3021</v>
          </cell>
          <cell r="B1095" t="str">
            <v>Automotive Body and Related Repairers</v>
          </cell>
          <cell r="C1095">
            <v>151910</v>
          </cell>
          <cell r="D1095">
            <v>1.1000000000000001</v>
          </cell>
          <cell r="E1095">
            <v>55220</v>
          </cell>
          <cell r="F1095">
            <v>0.5</v>
          </cell>
          <cell r="G1095">
            <v>48740</v>
          </cell>
        </row>
        <row r="1096">
          <cell r="A1096" t="str">
            <v>49-3022</v>
          </cell>
          <cell r="B1096" t="str">
            <v>Automotive Glass Installers and Repairers</v>
          </cell>
          <cell r="C1096">
            <v>16890</v>
          </cell>
          <cell r="D1096">
            <v>5.4</v>
          </cell>
          <cell r="E1096">
            <v>46010</v>
          </cell>
          <cell r="F1096">
            <v>0.9</v>
          </cell>
          <cell r="G1096">
            <v>45320</v>
          </cell>
        </row>
        <row r="1097">
          <cell r="A1097" t="str">
            <v>49-3023</v>
          </cell>
          <cell r="B1097" t="str">
            <v>Automotive Service Technicians and Mechanics</v>
          </cell>
          <cell r="C1097">
            <v>676570</v>
          </cell>
          <cell r="D1097">
            <v>0.5</v>
          </cell>
          <cell r="E1097">
            <v>51940</v>
          </cell>
          <cell r="F1097">
            <v>0.3</v>
          </cell>
          <cell r="G1097">
            <v>47770</v>
          </cell>
        </row>
        <row r="1098">
          <cell r="A1098" t="str">
            <v>49-3030</v>
          </cell>
          <cell r="B1098" t="str">
            <v>Bus and Truck Mechanics and Diesel Engine Specialists</v>
          </cell>
          <cell r="C1098">
            <v>285030</v>
          </cell>
          <cell r="D1098">
            <v>1.3</v>
          </cell>
          <cell r="E1098">
            <v>59920</v>
          </cell>
          <cell r="F1098">
            <v>0.3</v>
          </cell>
          <cell r="G1098">
            <v>58970</v>
          </cell>
        </row>
        <row r="1099">
          <cell r="A1099" t="str">
            <v>49-3031</v>
          </cell>
          <cell r="B1099" t="str">
            <v>Bus and Truck Mechanics and Diesel Engine Specialists</v>
          </cell>
          <cell r="C1099">
            <v>285030</v>
          </cell>
          <cell r="D1099">
            <v>1.3</v>
          </cell>
          <cell r="E1099">
            <v>59920</v>
          </cell>
          <cell r="F1099">
            <v>0.3</v>
          </cell>
          <cell r="G1099">
            <v>58970</v>
          </cell>
        </row>
        <row r="1100">
          <cell r="A1100" t="str">
            <v>49-3040</v>
          </cell>
          <cell r="B1100" t="str">
            <v>Heavy Vehicle and Mobile Equipment Service Technicians and Mechanics</v>
          </cell>
          <cell r="C1100">
            <v>233590</v>
          </cell>
          <cell r="D1100">
            <v>1</v>
          </cell>
          <cell r="E1100">
            <v>62520</v>
          </cell>
          <cell r="F1100">
            <v>0.7</v>
          </cell>
          <cell r="G1100">
            <v>61000</v>
          </cell>
        </row>
        <row r="1101">
          <cell r="A1101" t="str">
            <v>49-3041</v>
          </cell>
          <cell r="B1101" t="str">
            <v>Farm Equipment Mechanics and Service Technicians</v>
          </cell>
          <cell r="C1101">
            <v>36830</v>
          </cell>
          <cell r="D1101">
            <v>1.4</v>
          </cell>
          <cell r="E1101">
            <v>52120</v>
          </cell>
          <cell r="F1101">
            <v>0.5</v>
          </cell>
          <cell r="G1101">
            <v>49210</v>
          </cell>
        </row>
        <row r="1102">
          <cell r="A1102" t="str">
            <v>49-3042</v>
          </cell>
          <cell r="B1102" t="str">
            <v>Mobile Heavy Equipment Mechanics, Except Engines</v>
          </cell>
          <cell r="C1102">
            <v>177280</v>
          </cell>
          <cell r="D1102">
            <v>1.2</v>
          </cell>
          <cell r="E1102">
            <v>64340</v>
          </cell>
          <cell r="F1102">
            <v>0.8</v>
          </cell>
          <cell r="G1102">
            <v>61900</v>
          </cell>
        </row>
        <row r="1103">
          <cell r="A1103" t="str">
            <v>49-3043</v>
          </cell>
          <cell r="B1103" t="str">
            <v>Rail Car Repairers</v>
          </cell>
          <cell r="C1103">
            <v>19480</v>
          </cell>
          <cell r="D1103">
            <v>1.9</v>
          </cell>
          <cell r="E1103">
            <v>65690</v>
          </cell>
          <cell r="F1103">
            <v>0.6</v>
          </cell>
          <cell r="G1103">
            <v>65030</v>
          </cell>
        </row>
        <row r="1104">
          <cell r="A1104" t="str">
            <v>49-3050</v>
          </cell>
          <cell r="B1104" t="str">
            <v>Small Engine Mechanics</v>
          </cell>
          <cell r="C1104">
            <v>73630</v>
          </cell>
          <cell r="D1104">
            <v>1.5</v>
          </cell>
          <cell r="E1104">
            <v>48070</v>
          </cell>
          <cell r="F1104">
            <v>0.3</v>
          </cell>
          <cell r="G1104">
            <v>46500</v>
          </cell>
        </row>
        <row r="1105">
          <cell r="A1105" t="str">
            <v>49-3051</v>
          </cell>
          <cell r="B1105" t="str">
            <v>Motorboat Mechanics and Service Technicians</v>
          </cell>
          <cell r="C1105">
            <v>23230</v>
          </cell>
          <cell r="D1105">
            <v>2.8</v>
          </cell>
          <cell r="E1105">
            <v>52620</v>
          </cell>
          <cell r="F1105">
            <v>0.8</v>
          </cell>
          <cell r="G1105">
            <v>49990</v>
          </cell>
        </row>
        <row r="1106">
          <cell r="A1106" t="str">
            <v>49-3052</v>
          </cell>
          <cell r="B1106" t="str">
            <v>Motorcycle Mechanics</v>
          </cell>
          <cell r="C1106">
            <v>14330</v>
          </cell>
          <cell r="D1106">
            <v>3.2</v>
          </cell>
          <cell r="E1106">
            <v>47960</v>
          </cell>
          <cell r="F1106">
            <v>0.6</v>
          </cell>
          <cell r="G1106">
            <v>46270</v>
          </cell>
        </row>
        <row r="1107">
          <cell r="A1107" t="str">
            <v>49-3053</v>
          </cell>
          <cell r="B1107" t="str">
            <v>Outdoor Power Equipment and Other Small Engine Mechanics</v>
          </cell>
          <cell r="C1107">
            <v>36080</v>
          </cell>
          <cell r="D1107">
            <v>1.5</v>
          </cell>
          <cell r="E1107">
            <v>45180</v>
          </cell>
          <cell r="F1107">
            <v>0.6</v>
          </cell>
          <cell r="G1107">
            <v>44140</v>
          </cell>
        </row>
        <row r="1108">
          <cell r="A1108" t="str">
            <v>49-3090</v>
          </cell>
          <cell r="B1108" t="str">
            <v>Miscellaneous Vehicle and Mobile Equipment Mechanics, Installers, and Repairers</v>
          </cell>
          <cell r="C1108">
            <v>132860</v>
          </cell>
          <cell r="D1108">
            <v>1.3</v>
          </cell>
          <cell r="E1108">
            <v>39250</v>
          </cell>
          <cell r="F1108">
            <v>0.4</v>
          </cell>
          <cell r="G1108">
            <v>36550</v>
          </cell>
        </row>
        <row r="1109">
          <cell r="A1109" t="str">
            <v>49-3091</v>
          </cell>
          <cell r="B1109" t="str">
            <v>Bicycle Repairers</v>
          </cell>
          <cell r="C1109">
            <v>13980</v>
          </cell>
          <cell r="D1109">
            <v>4.2</v>
          </cell>
          <cell r="E1109">
            <v>39360</v>
          </cell>
          <cell r="F1109">
            <v>0.8</v>
          </cell>
          <cell r="G1109">
            <v>38320</v>
          </cell>
        </row>
        <row r="1110">
          <cell r="A1110" t="str">
            <v>49-3092</v>
          </cell>
          <cell r="B1110" t="str">
            <v>Recreational Vehicle Service Technicians</v>
          </cell>
          <cell r="C1110">
            <v>17360</v>
          </cell>
          <cell r="D1110">
            <v>5.2</v>
          </cell>
          <cell r="E1110">
            <v>50690</v>
          </cell>
          <cell r="F1110">
            <v>1</v>
          </cell>
          <cell r="G1110">
            <v>47950</v>
          </cell>
        </row>
        <row r="1111">
          <cell r="A1111" t="str">
            <v>49-3093</v>
          </cell>
          <cell r="B1111" t="str">
            <v>Tire Repairers and Changers</v>
          </cell>
          <cell r="C1111">
            <v>101520</v>
          </cell>
          <cell r="D1111">
            <v>1.2</v>
          </cell>
          <cell r="E1111">
            <v>37280</v>
          </cell>
          <cell r="F1111">
            <v>0.4</v>
          </cell>
          <cell r="G1111">
            <v>35790</v>
          </cell>
        </row>
        <row r="1112">
          <cell r="A1112" t="str">
            <v>49-9000</v>
          </cell>
          <cell r="B1112" t="str">
            <v>Other Installation, Maintenance, and Repair Occupations</v>
          </cell>
          <cell r="C1112">
            <v>3196930</v>
          </cell>
          <cell r="D1112">
            <v>0.4</v>
          </cell>
          <cell r="E1112">
            <v>55620</v>
          </cell>
          <cell r="F1112">
            <v>0.2</v>
          </cell>
          <cell r="G1112">
            <v>50200</v>
          </cell>
        </row>
        <row r="1113">
          <cell r="A1113" t="str">
            <v>49-9010</v>
          </cell>
          <cell r="B1113" t="str">
            <v>Control and Valve Installers and Repairers</v>
          </cell>
          <cell r="C1113">
            <v>75570</v>
          </cell>
          <cell r="D1113">
            <v>1.7</v>
          </cell>
          <cell r="E1113">
            <v>64740</v>
          </cell>
          <cell r="F1113">
            <v>0.6</v>
          </cell>
          <cell r="G1113">
            <v>59040</v>
          </cell>
        </row>
        <row r="1114">
          <cell r="A1114" t="str">
            <v>49-9011</v>
          </cell>
          <cell r="B1114" t="str">
            <v>Mechanical Door Repairers</v>
          </cell>
          <cell r="C1114">
            <v>27800</v>
          </cell>
          <cell r="D1114">
            <v>3.9</v>
          </cell>
          <cell r="E1114">
            <v>51640</v>
          </cell>
          <cell r="F1114">
            <v>0.8</v>
          </cell>
          <cell r="G1114">
            <v>48650</v>
          </cell>
        </row>
        <row r="1115">
          <cell r="A1115" t="str">
            <v>49-9012</v>
          </cell>
          <cell r="B1115" t="str">
            <v>Control and Valve Installers and Repairers, Except Mechanical Door</v>
          </cell>
          <cell r="C1115">
            <v>47780</v>
          </cell>
          <cell r="D1115">
            <v>1.8</v>
          </cell>
          <cell r="E1115">
            <v>72360</v>
          </cell>
          <cell r="F1115">
            <v>0.7</v>
          </cell>
          <cell r="G1115">
            <v>70100</v>
          </cell>
        </row>
        <row r="1116">
          <cell r="A1116" t="str">
            <v>49-9020</v>
          </cell>
          <cell r="B1116" t="str">
            <v>Heating, Air Conditioning, and Refrigeration Mechanics and Installers</v>
          </cell>
          <cell r="C1116">
            <v>397450</v>
          </cell>
          <cell r="D1116">
            <v>1.2</v>
          </cell>
          <cell r="E1116">
            <v>59620</v>
          </cell>
          <cell r="F1116">
            <v>0.4</v>
          </cell>
          <cell r="G1116">
            <v>57300</v>
          </cell>
        </row>
        <row r="1117">
          <cell r="A1117" t="str">
            <v>49-9021</v>
          </cell>
          <cell r="B1117" t="str">
            <v>Heating, Air Conditioning, and Refrigeration Mechanics and Installers</v>
          </cell>
          <cell r="C1117">
            <v>397450</v>
          </cell>
          <cell r="D1117">
            <v>1.2</v>
          </cell>
          <cell r="E1117">
            <v>59620</v>
          </cell>
          <cell r="F1117">
            <v>0.4</v>
          </cell>
          <cell r="G1117">
            <v>57300</v>
          </cell>
        </row>
        <row r="1118">
          <cell r="A1118" t="str">
            <v>49-9030</v>
          </cell>
          <cell r="B1118" t="str">
            <v>Home Appliance Repairers</v>
          </cell>
          <cell r="C1118">
            <v>29950</v>
          </cell>
          <cell r="D1118">
            <v>2.6</v>
          </cell>
          <cell r="E1118">
            <v>50640</v>
          </cell>
          <cell r="F1118">
            <v>1.7</v>
          </cell>
          <cell r="G1118">
            <v>47170</v>
          </cell>
        </row>
        <row r="1119">
          <cell r="A1119" t="str">
            <v>49-9031</v>
          </cell>
          <cell r="B1119" t="str">
            <v>Home Appliance Repairers</v>
          </cell>
          <cell r="C1119">
            <v>29950</v>
          </cell>
          <cell r="D1119">
            <v>2.6</v>
          </cell>
          <cell r="E1119">
            <v>50640</v>
          </cell>
          <cell r="F1119">
            <v>1.7</v>
          </cell>
          <cell r="G1119">
            <v>47170</v>
          </cell>
        </row>
        <row r="1120">
          <cell r="A1120" t="str">
            <v>49-9040</v>
          </cell>
          <cell r="B1120" t="str">
            <v>Industrial Machinery Installation, Repair, and Maintenance Workers</v>
          </cell>
          <cell r="C1120">
            <v>509160</v>
          </cell>
          <cell r="D1120">
            <v>0.6</v>
          </cell>
          <cell r="E1120">
            <v>63130</v>
          </cell>
          <cell r="F1120">
            <v>0.2</v>
          </cell>
          <cell r="G1120">
            <v>61160</v>
          </cell>
        </row>
        <row r="1121">
          <cell r="A1121" t="str">
            <v>49-9041</v>
          </cell>
          <cell r="B1121" t="str">
            <v>Industrial Machinery Mechanics</v>
          </cell>
          <cell r="C1121">
            <v>412650</v>
          </cell>
          <cell r="D1121">
            <v>0.6</v>
          </cell>
          <cell r="E1121">
            <v>63690</v>
          </cell>
          <cell r="F1121">
            <v>0.3</v>
          </cell>
          <cell r="G1121">
            <v>61420</v>
          </cell>
        </row>
        <row r="1122">
          <cell r="A1122" t="str">
            <v>49-9043</v>
          </cell>
          <cell r="B1122" t="str">
            <v>Maintenance Workers, Machinery</v>
          </cell>
          <cell r="C1122">
            <v>58040</v>
          </cell>
          <cell r="D1122">
            <v>1.5</v>
          </cell>
          <cell r="E1122">
            <v>58500</v>
          </cell>
          <cell r="F1122">
            <v>0.4</v>
          </cell>
          <cell r="G1122">
            <v>57350</v>
          </cell>
        </row>
        <row r="1123">
          <cell r="A1123" t="str">
            <v>49-9044</v>
          </cell>
          <cell r="B1123" t="str">
            <v>Millwrights</v>
          </cell>
          <cell r="C1123">
            <v>37930</v>
          </cell>
          <cell r="D1123">
            <v>2.4</v>
          </cell>
          <cell r="E1123">
            <v>64310</v>
          </cell>
          <cell r="F1123">
            <v>0.8</v>
          </cell>
          <cell r="G1123">
            <v>62980</v>
          </cell>
        </row>
        <row r="1124">
          <cell r="A1124" t="str">
            <v>49-9045</v>
          </cell>
          <cell r="B1124" t="str">
            <v>Refractory Materials Repairers, Except Brickmasons</v>
          </cell>
          <cell r="C1124">
            <v>540</v>
          </cell>
          <cell r="D1124">
            <v>9.9</v>
          </cell>
          <cell r="E1124">
            <v>49900</v>
          </cell>
          <cell r="F1124">
            <v>1.5</v>
          </cell>
          <cell r="G1124">
            <v>48410</v>
          </cell>
        </row>
        <row r="1125">
          <cell r="A1125" t="str">
            <v>49-9050</v>
          </cell>
          <cell r="B1125" t="str">
            <v>Line Installers and Repairers</v>
          </cell>
          <cell r="C1125">
            <v>219120</v>
          </cell>
          <cell r="D1125">
            <v>1.2</v>
          </cell>
          <cell r="E1125">
            <v>78290</v>
          </cell>
          <cell r="F1125">
            <v>0.4</v>
          </cell>
          <cell r="G1125">
            <v>78810</v>
          </cell>
        </row>
        <row r="1126">
          <cell r="A1126" t="str">
            <v>49-9051</v>
          </cell>
          <cell r="B1126" t="str">
            <v>Electrical Power-Line Installers and Repairers</v>
          </cell>
          <cell r="C1126">
            <v>120170</v>
          </cell>
          <cell r="D1126">
            <v>1.4</v>
          </cell>
          <cell r="E1126">
            <v>85900</v>
          </cell>
          <cell r="F1126">
            <v>0.4</v>
          </cell>
          <cell r="G1126">
            <v>85420</v>
          </cell>
        </row>
        <row r="1127">
          <cell r="A1127" t="str">
            <v>49-9052</v>
          </cell>
          <cell r="B1127" t="str">
            <v>Telecommunications Line Installers and Repairers</v>
          </cell>
          <cell r="C1127">
            <v>98950</v>
          </cell>
          <cell r="D1127">
            <v>1.8</v>
          </cell>
          <cell r="E1127">
            <v>69040</v>
          </cell>
          <cell r="F1127">
            <v>0.7</v>
          </cell>
          <cell r="G1127">
            <v>64640</v>
          </cell>
        </row>
        <row r="1128">
          <cell r="A1128" t="str">
            <v>49-9060</v>
          </cell>
          <cell r="B1128" t="str">
            <v>Precision Instrument and Equipment Repairers</v>
          </cell>
          <cell r="C1128">
            <v>85320</v>
          </cell>
          <cell r="D1128">
            <v>1.9</v>
          </cell>
          <cell r="E1128">
            <v>62700</v>
          </cell>
          <cell r="F1128">
            <v>0.8</v>
          </cell>
          <cell r="G1128">
            <v>59380</v>
          </cell>
        </row>
        <row r="1129">
          <cell r="A1129" t="str">
            <v>49-9061</v>
          </cell>
          <cell r="B1129" t="str">
            <v>Camera and Photographic Equipment Repairers</v>
          </cell>
          <cell r="C1129">
            <v>2540</v>
          </cell>
          <cell r="D1129">
            <v>22.6</v>
          </cell>
          <cell r="E1129">
            <v>58870</v>
          </cell>
          <cell r="F1129">
            <v>7.2</v>
          </cell>
          <cell r="G1129">
            <v>46850</v>
          </cell>
        </row>
        <row r="1130">
          <cell r="A1130" t="str">
            <v>49-9062</v>
          </cell>
          <cell r="B1130" t="str">
            <v>Medical Equipment Repairers</v>
          </cell>
          <cell r="C1130">
            <v>64400</v>
          </cell>
          <cell r="D1130">
            <v>2.2000000000000002</v>
          </cell>
          <cell r="E1130">
            <v>64140</v>
          </cell>
          <cell r="F1130">
            <v>0.9</v>
          </cell>
          <cell r="G1130">
            <v>60670</v>
          </cell>
        </row>
        <row r="1131">
          <cell r="A1131" t="str">
            <v>49-9063</v>
          </cell>
          <cell r="B1131" t="str">
            <v>Musical Instrument Repairers and Tuners</v>
          </cell>
          <cell r="C1131">
            <v>6170</v>
          </cell>
          <cell r="D1131">
            <v>4.3</v>
          </cell>
          <cell r="E1131">
            <v>46250</v>
          </cell>
          <cell r="F1131">
            <v>1.3</v>
          </cell>
          <cell r="G1131">
            <v>42800</v>
          </cell>
        </row>
        <row r="1132">
          <cell r="A1132" t="str">
            <v>49-9064</v>
          </cell>
          <cell r="B1132" t="str">
            <v>Watch and Clock Repairers</v>
          </cell>
          <cell r="C1132">
            <v>1880</v>
          </cell>
          <cell r="D1132">
            <v>14.5</v>
          </cell>
          <cell r="E1132">
            <v>56140</v>
          </cell>
          <cell r="F1132">
            <v>3.8</v>
          </cell>
          <cell r="G1132">
            <v>58140</v>
          </cell>
        </row>
        <row r="1133">
          <cell r="A1133" t="str">
            <v>49-9069</v>
          </cell>
          <cell r="B1133" t="str">
            <v>Precision Instrument and Equipment Repairers, All Other</v>
          </cell>
          <cell r="C1133">
            <v>10330</v>
          </cell>
          <cell r="D1133">
            <v>3.8</v>
          </cell>
          <cell r="E1133">
            <v>65710</v>
          </cell>
          <cell r="F1133">
            <v>1</v>
          </cell>
          <cell r="G1133">
            <v>62040</v>
          </cell>
        </row>
        <row r="1134">
          <cell r="A1134" t="str">
            <v>49-9070</v>
          </cell>
          <cell r="B1134" t="str">
            <v>Maintenance and Repair Workers, General</v>
          </cell>
          <cell r="C1134">
            <v>1503150</v>
          </cell>
          <cell r="D1134">
            <v>0.8</v>
          </cell>
          <cell r="E1134">
            <v>49650</v>
          </cell>
          <cell r="F1134">
            <v>0.2</v>
          </cell>
          <cell r="G1134">
            <v>46700</v>
          </cell>
        </row>
        <row r="1135">
          <cell r="A1135" t="str">
            <v>49-9071</v>
          </cell>
          <cell r="B1135" t="str">
            <v>Maintenance and Repair Workers, General</v>
          </cell>
          <cell r="C1135">
            <v>1503150</v>
          </cell>
          <cell r="D1135">
            <v>0.8</v>
          </cell>
          <cell r="E1135">
            <v>49650</v>
          </cell>
          <cell r="F1135">
            <v>0.2</v>
          </cell>
          <cell r="G1135">
            <v>46700</v>
          </cell>
        </row>
        <row r="1136">
          <cell r="A1136" t="str">
            <v>49-9080</v>
          </cell>
          <cell r="B1136" t="str">
            <v>Wind Turbine Service Technicians</v>
          </cell>
          <cell r="C1136">
            <v>9800</v>
          </cell>
          <cell r="D1136">
            <v>6.7</v>
          </cell>
          <cell r="E1136">
            <v>65380</v>
          </cell>
          <cell r="F1136">
            <v>1.5</v>
          </cell>
          <cell r="G1136">
            <v>61770</v>
          </cell>
        </row>
        <row r="1137">
          <cell r="A1137" t="str">
            <v>49-9081</v>
          </cell>
          <cell r="B1137" t="str">
            <v>Wind Turbine Service Technicians</v>
          </cell>
          <cell r="C1137">
            <v>9800</v>
          </cell>
          <cell r="D1137">
            <v>6.7</v>
          </cell>
          <cell r="E1137">
            <v>65380</v>
          </cell>
          <cell r="F1137">
            <v>1.5</v>
          </cell>
          <cell r="G1137">
            <v>61770</v>
          </cell>
        </row>
        <row r="1138">
          <cell r="A1138" t="str">
            <v>49-9090</v>
          </cell>
          <cell r="B1138" t="str">
            <v>Miscellaneous Installation, Maintenance, and Repair Workers</v>
          </cell>
          <cell r="C1138">
            <v>367420</v>
          </cell>
          <cell r="D1138">
            <v>0.9</v>
          </cell>
          <cell r="E1138">
            <v>48470</v>
          </cell>
          <cell r="F1138">
            <v>0.3</v>
          </cell>
          <cell r="G1138">
            <v>44470</v>
          </cell>
        </row>
        <row r="1139">
          <cell r="A1139" t="str">
            <v>49-9091</v>
          </cell>
          <cell r="B1139" t="str">
            <v>Coin, Vending, and Amusement Machine Servicers and Repairers</v>
          </cell>
          <cell r="C1139">
            <v>36100</v>
          </cell>
          <cell r="D1139">
            <v>3</v>
          </cell>
          <cell r="E1139">
            <v>45840</v>
          </cell>
          <cell r="F1139">
            <v>1.1000000000000001</v>
          </cell>
          <cell r="G1139">
            <v>44980</v>
          </cell>
        </row>
        <row r="1140">
          <cell r="A1140" t="str">
            <v>49-9092</v>
          </cell>
          <cell r="B1140" t="str">
            <v>Commercial Divers</v>
          </cell>
          <cell r="C1140">
            <v>2790</v>
          </cell>
          <cell r="D1140">
            <v>11.3</v>
          </cell>
          <cell r="E1140">
            <v>75570</v>
          </cell>
          <cell r="F1140">
            <v>6.4</v>
          </cell>
          <cell r="G1140">
            <v>61300</v>
          </cell>
        </row>
        <row r="1141">
          <cell r="A1141" t="str">
            <v>49-9094</v>
          </cell>
          <cell r="B1141" t="str">
            <v>Locksmiths and Safe Repairers</v>
          </cell>
          <cell r="C1141">
            <v>14790</v>
          </cell>
          <cell r="D1141">
            <v>2</v>
          </cell>
          <cell r="E1141">
            <v>52130</v>
          </cell>
          <cell r="F1141">
            <v>0.7</v>
          </cell>
          <cell r="G1141">
            <v>48380</v>
          </cell>
        </row>
        <row r="1142">
          <cell r="A1142" t="str">
            <v>49-9095</v>
          </cell>
          <cell r="B1142" t="str">
            <v>Manufactured Building and Mobile Home Installers</v>
          </cell>
          <cell r="C1142">
            <v>2910</v>
          </cell>
          <cell r="D1142">
            <v>12.9</v>
          </cell>
          <cell r="E1142">
            <v>39820</v>
          </cell>
          <cell r="F1142">
            <v>2.1</v>
          </cell>
          <cell r="G1142">
            <v>38980</v>
          </cell>
        </row>
        <row r="1143">
          <cell r="A1143" t="str">
            <v>49-9096</v>
          </cell>
          <cell r="B1143" t="str">
            <v>Riggers</v>
          </cell>
          <cell r="C1143">
            <v>23870</v>
          </cell>
          <cell r="D1143">
            <v>3.8</v>
          </cell>
          <cell r="E1143">
            <v>62020</v>
          </cell>
          <cell r="F1143">
            <v>1.1000000000000001</v>
          </cell>
          <cell r="G1143">
            <v>56220</v>
          </cell>
        </row>
        <row r="1144">
          <cell r="A1144" t="str">
            <v>49-9097</v>
          </cell>
          <cell r="B1144" t="str">
            <v>Signal and Track Switch Repairers</v>
          </cell>
          <cell r="C1144">
            <v>9200</v>
          </cell>
          <cell r="D1144">
            <v>1.2</v>
          </cell>
          <cell r="E1144">
            <v>81810</v>
          </cell>
          <cell r="F1144">
            <v>0.6</v>
          </cell>
          <cell r="G1144">
            <v>82710</v>
          </cell>
        </row>
        <row r="1145">
          <cell r="A1145" t="str">
            <v>49-9098</v>
          </cell>
          <cell r="B1145" t="str">
            <v>Helpers--Installation, Maintenance, and Repair Workers</v>
          </cell>
          <cell r="C1145">
            <v>101890</v>
          </cell>
          <cell r="D1145">
            <v>1.7</v>
          </cell>
          <cell r="E1145">
            <v>38720</v>
          </cell>
          <cell r="F1145">
            <v>0.5</v>
          </cell>
          <cell r="G1145">
            <v>36710</v>
          </cell>
        </row>
        <row r="1146">
          <cell r="A1146" t="str">
            <v>49-9099</v>
          </cell>
          <cell r="B1146" t="str">
            <v>Installation, Maintenance, and Repair Workers, All Other</v>
          </cell>
          <cell r="C1146">
            <v>175860</v>
          </cell>
          <cell r="D1146">
            <v>1.4</v>
          </cell>
          <cell r="E1146">
            <v>50480</v>
          </cell>
          <cell r="F1146">
            <v>0.4</v>
          </cell>
          <cell r="G1146">
            <v>46500</v>
          </cell>
        </row>
        <row r="1147">
          <cell r="A1147" t="str">
            <v>51-0000</v>
          </cell>
          <cell r="B1147" t="str">
            <v>Production Occupations</v>
          </cell>
          <cell r="C1147">
            <v>8770170</v>
          </cell>
          <cell r="D1147">
            <v>0.1</v>
          </cell>
          <cell r="E1147">
            <v>47620</v>
          </cell>
          <cell r="F1147">
            <v>0.2</v>
          </cell>
          <cell r="G1147">
            <v>43630</v>
          </cell>
        </row>
        <row r="1148">
          <cell r="A1148" t="str">
            <v>51-1000</v>
          </cell>
          <cell r="B1148" t="str">
            <v>Supervisors of Production Workers</v>
          </cell>
          <cell r="C1148">
            <v>671160</v>
          </cell>
          <cell r="D1148">
            <v>0.3</v>
          </cell>
          <cell r="E1148">
            <v>71730</v>
          </cell>
          <cell r="F1148">
            <v>0.2</v>
          </cell>
          <cell r="G1148">
            <v>65930</v>
          </cell>
        </row>
        <row r="1149">
          <cell r="A1149" t="str">
            <v>51-1010</v>
          </cell>
          <cell r="B1149" t="str">
            <v>First-Line Supervisors of Production and Operating Workers</v>
          </cell>
          <cell r="C1149">
            <v>671160</v>
          </cell>
          <cell r="D1149">
            <v>0.3</v>
          </cell>
          <cell r="E1149">
            <v>71730</v>
          </cell>
          <cell r="F1149">
            <v>0.2</v>
          </cell>
          <cell r="G1149">
            <v>65930</v>
          </cell>
        </row>
        <row r="1150">
          <cell r="A1150" t="str">
            <v>51-1011</v>
          </cell>
          <cell r="B1150" t="str">
            <v>First-Line Supervisors of Production and Operating Workers</v>
          </cell>
          <cell r="C1150">
            <v>671160</v>
          </cell>
          <cell r="D1150">
            <v>0.3</v>
          </cell>
          <cell r="E1150">
            <v>71730</v>
          </cell>
          <cell r="F1150">
            <v>0.2</v>
          </cell>
          <cell r="G1150">
            <v>65930</v>
          </cell>
        </row>
        <row r="1151">
          <cell r="A1151" t="str">
            <v>51-2000</v>
          </cell>
          <cell r="B1151" t="str">
            <v>Assemblers and Fabricators</v>
          </cell>
          <cell r="C1151">
            <v>1924970</v>
          </cell>
          <cell r="D1151">
            <v>0.5</v>
          </cell>
          <cell r="E1151">
            <v>43470</v>
          </cell>
          <cell r="F1151">
            <v>0.2</v>
          </cell>
          <cell r="G1151">
            <v>39720</v>
          </cell>
        </row>
        <row r="1152">
          <cell r="A1152" t="str">
            <v>51-2010</v>
          </cell>
          <cell r="B1152" t="str">
            <v>Aircraft Structure, Surfaces, Rigging, and Systems Assemblers</v>
          </cell>
          <cell r="C1152">
            <v>29810</v>
          </cell>
          <cell r="D1152">
            <v>2</v>
          </cell>
          <cell r="E1152">
            <v>62860</v>
          </cell>
          <cell r="F1152">
            <v>0.7</v>
          </cell>
          <cell r="G1152">
            <v>61240</v>
          </cell>
        </row>
        <row r="1153">
          <cell r="A1153" t="str">
            <v>51-2011</v>
          </cell>
          <cell r="B1153" t="str">
            <v>Aircraft Structure, Surfaces, Rigging, and Systems Assemblers</v>
          </cell>
          <cell r="C1153">
            <v>29810</v>
          </cell>
          <cell r="D1153">
            <v>2</v>
          </cell>
          <cell r="E1153">
            <v>62860</v>
          </cell>
          <cell r="F1153">
            <v>0.7</v>
          </cell>
          <cell r="G1153">
            <v>61240</v>
          </cell>
        </row>
        <row r="1154">
          <cell r="A1154" t="str">
            <v>51-2020</v>
          </cell>
          <cell r="B1154" t="str">
            <v>Electrical, Electronics, and Electromechanical Assemblers</v>
          </cell>
          <cell r="C1154">
            <v>279340</v>
          </cell>
          <cell r="D1154">
            <v>1</v>
          </cell>
          <cell r="E1154">
            <v>43830</v>
          </cell>
          <cell r="F1154">
            <v>0.4</v>
          </cell>
          <cell r="G1154">
            <v>40700</v>
          </cell>
        </row>
        <row r="1155">
          <cell r="A1155" t="str">
            <v>51-2021</v>
          </cell>
          <cell r="B1155" t="str">
            <v>Coil Winders, Tapers, and Finishers</v>
          </cell>
          <cell r="C1155">
            <v>11900</v>
          </cell>
          <cell r="D1155">
            <v>3.7</v>
          </cell>
          <cell r="E1155">
            <v>46020</v>
          </cell>
          <cell r="F1155">
            <v>1.1000000000000001</v>
          </cell>
          <cell r="G1155">
            <v>44890</v>
          </cell>
        </row>
        <row r="1156">
          <cell r="A1156" t="str">
            <v>51-2028</v>
          </cell>
          <cell r="B1156" t="str">
            <v>Electrical, Electronic, and Electromechanical Assemblers, Except Coil Winders, Tapers, and Finishers</v>
          </cell>
          <cell r="C1156">
            <v>267440</v>
          </cell>
          <cell r="D1156">
            <v>1</v>
          </cell>
          <cell r="E1156">
            <v>43740</v>
          </cell>
          <cell r="F1156">
            <v>0.4</v>
          </cell>
          <cell r="G1156">
            <v>40490</v>
          </cell>
        </row>
        <row r="1157">
          <cell r="A1157" t="str">
            <v>51-2030</v>
          </cell>
          <cell r="B1157" t="str">
            <v>Engine and Other Machine Assemblers</v>
          </cell>
          <cell r="C1157">
            <v>47960</v>
          </cell>
          <cell r="D1157">
            <v>1.8</v>
          </cell>
          <cell r="E1157">
            <v>53470</v>
          </cell>
          <cell r="F1157">
            <v>0.4</v>
          </cell>
          <cell r="G1157">
            <v>50270</v>
          </cell>
        </row>
        <row r="1158">
          <cell r="A1158" t="str">
            <v>51-2031</v>
          </cell>
          <cell r="B1158" t="str">
            <v>Engine and Other Machine Assemblers</v>
          </cell>
          <cell r="C1158">
            <v>47960</v>
          </cell>
          <cell r="D1158">
            <v>1.8</v>
          </cell>
          <cell r="E1158">
            <v>53470</v>
          </cell>
          <cell r="F1158">
            <v>0.4</v>
          </cell>
          <cell r="G1158">
            <v>50270</v>
          </cell>
        </row>
        <row r="1159">
          <cell r="A1159" t="str">
            <v>51-2040</v>
          </cell>
          <cell r="B1159" t="str">
            <v>Structural Metal Fabricators and Fitters</v>
          </cell>
          <cell r="C1159">
            <v>57810</v>
          </cell>
          <cell r="D1159">
            <v>1.8</v>
          </cell>
          <cell r="E1159">
            <v>50640</v>
          </cell>
          <cell r="F1159">
            <v>0.5</v>
          </cell>
          <cell r="G1159">
            <v>48480</v>
          </cell>
        </row>
        <row r="1160">
          <cell r="A1160" t="str">
            <v>51-2041</v>
          </cell>
          <cell r="B1160" t="str">
            <v>Structural Metal Fabricators and Fitters</v>
          </cell>
          <cell r="C1160">
            <v>57810</v>
          </cell>
          <cell r="D1160">
            <v>1.8</v>
          </cell>
          <cell r="E1160">
            <v>50640</v>
          </cell>
          <cell r="F1160">
            <v>0.5</v>
          </cell>
          <cell r="G1160">
            <v>48480</v>
          </cell>
        </row>
        <row r="1161">
          <cell r="A1161" t="str">
            <v>51-2050</v>
          </cell>
          <cell r="B1161" t="str">
            <v>Fiberglass Laminators and Fabricators</v>
          </cell>
          <cell r="C1161">
            <v>20380</v>
          </cell>
          <cell r="D1161">
            <v>2.7</v>
          </cell>
          <cell r="E1161">
            <v>43920</v>
          </cell>
          <cell r="F1161">
            <v>0.7</v>
          </cell>
          <cell r="G1161">
            <v>40200</v>
          </cell>
        </row>
        <row r="1162">
          <cell r="A1162" t="str">
            <v>51-2051</v>
          </cell>
          <cell r="B1162" t="str">
            <v>Fiberglass Laminators and Fabricators</v>
          </cell>
          <cell r="C1162">
            <v>20380</v>
          </cell>
          <cell r="D1162">
            <v>2.7</v>
          </cell>
          <cell r="E1162">
            <v>43920</v>
          </cell>
          <cell r="F1162">
            <v>0.7</v>
          </cell>
          <cell r="G1162">
            <v>40200</v>
          </cell>
        </row>
        <row r="1163">
          <cell r="A1163" t="str">
            <v>51-2060</v>
          </cell>
          <cell r="B1163" t="str">
            <v>Timing Device Assemblers and Adjusters</v>
          </cell>
          <cell r="C1163">
            <v>400</v>
          </cell>
          <cell r="D1163">
            <v>27.4</v>
          </cell>
          <cell r="E1163">
            <v>52840</v>
          </cell>
          <cell r="F1163">
            <v>4</v>
          </cell>
          <cell r="G1163">
            <v>48840</v>
          </cell>
        </row>
        <row r="1164">
          <cell r="A1164" t="str">
            <v>51-2061</v>
          </cell>
          <cell r="B1164" t="str">
            <v>Timing Device Assemblers and Adjusters</v>
          </cell>
          <cell r="C1164">
            <v>400</v>
          </cell>
          <cell r="D1164">
            <v>27.4</v>
          </cell>
          <cell r="E1164">
            <v>52840</v>
          </cell>
          <cell r="F1164">
            <v>4</v>
          </cell>
          <cell r="G1164">
            <v>48840</v>
          </cell>
        </row>
        <row r="1165">
          <cell r="A1165" t="str">
            <v>51-2090</v>
          </cell>
          <cell r="B1165" t="str">
            <v>Miscellaneous Assemblers and Fabricators</v>
          </cell>
          <cell r="C1165">
            <v>1489280</v>
          </cell>
          <cell r="D1165">
            <v>0.6</v>
          </cell>
          <cell r="E1165">
            <v>42400</v>
          </cell>
          <cell r="F1165">
            <v>0.2</v>
          </cell>
          <cell r="G1165">
            <v>38920</v>
          </cell>
        </row>
        <row r="1166">
          <cell r="A1166" t="str">
            <v>51-2090</v>
          </cell>
          <cell r="B1166" t="str">
            <v>Miscellaneous Assemblers and Fabricators</v>
          </cell>
          <cell r="C1166">
            <v>1489280</v>
          </cell>
          <cell r="D1166">
            <v>0.6</v>
          </cell>
          <cell r="E1166">
            <v>42400</v>
          </cell>
          <cell r="F1166">
            <v>0.2</v>
          </cell>
          <cell r="G1166">
            <v>38920</v>
          </cell>
        </row>
        <row r="1167">
          <cell r="A1167" t="str">
            <v>51-3000</v>
          </cell>
          <cell r="B1167" t="str">
            <v>Food Processing Workers</v>
          </cell>
          <cell r="C1167">
            <v>848630</v>
          </cell>
          <cell r="D1167">
            <v>0.9</v>
          </cell>
          <cell r="E1167">
            <v>38220</v>
          </cell>
          <cell r="F1167">
            <v>0.2</v>
          </cell>
          <cell r="G1167">
            <v>36850</v>
          </cell>
        </row>
        <row r="1168">
          <cell r="A1168" t="str">
            <v>51-3010</v>
          </cell>
          <cell r="B1168" t="str">
            <v>Bakers</v>
          </cell>
          <cell r="C1168">
            <v>220230</v>
          </cell>
          <cell r="D1168">
            <v>2.9</v>
          </cell>
          <cell r="E1168">
            <v>35550</v>
          </cell>
          <cell r="F1168">
            <v>0.4</v>
          </cell>
          <cell r="G1168">
            <v>34950</v>
          </cell>
        </row>
        <row r="1169">
          <cell r="A1169" t="str">
            <v>51-3011</v>
          </cell>
          <cell r="B1169" t="str">
            <v>Bakers</v>
          </cell>
          <cell r="C1169">
            <v>220230</v>
          </cell>
          <cell r="D1169">
            <v>2.9</v>
          </cell>
          <cell r="E1169">
            <v>35550</v>
          </cell>
          <cell r="F1169">
            <v>0.4</v>
          </cell>
          <cell r="G1169">
            <v>34950</v>
          </cell>
        </row>
        <row r="1170">
          <cell r="A1170" t="str">
            <v>51-3020</v>
          </cell>
          <cell r="B1170" t="str">
            <v>Butchers and Other Meat, Poultry, and Fish Processing Workers</v>
          </cell>
          <cell r="C1170">
            <v>345940</v>
          </cell>
          <cell r="D1170">
            <v>0.7</v>
          </cell>
          <cell r="E1170">
            <v>38350</v>
          </cell>
          <cell r="F1170">
            <v>0.2</v>
          </cell>
          <cell r="G1170">
            <v>37200</v>
          </cell>
        </row>
        <row r="1171">
          <cell r="A1171" t="str">
            <v>51-3021</v>
          </cell>
          <cell r="B1171" t="str">
            <v>Butchers and Meat Cutters</v>
          </cell>
          <cell r="C1171">
            <v>136330</v>
          </cell>
          <cell r="D1171">
            <v>1.3</v>
          </cell>
          <cell r="E1171">
            <v>39680</v>
          </cell>
          <cell r="F1171">
            <v>0.4</v>
          </cell>
          <cell r="G1171">
            <v>37650</v>
          </cell>
        </row>
        <row r="1172">
          <cell r="A1172" t="str">
            <v>51-3022</v>
          </cell>
          <cell r="B1172" t="str">
            <v>Meat, Poultry, and Fish Cutters and Trimmers</v>
          </cell>
          <cell r="C1172">
            <v>138300</v>
          </cell>
          <cell r="D1172">
            <v>1</v>
          </cell>
          <cell r="E1172">
            <v>36840</v>
          </cell>
          <cell r="F1172">
            <v>0.2</v>
          </cell>
          <cell r="G1172">
            <v>36300</v>
          </cell>
        </row>
        <row r="1173">
          <cell r="A1173" t="str">
            <v>51-3023</v>
          </cell>
          <cell r="B1173" t="str">
            <v>Slaughterers and Meat Packers</v>
          </cell>
          <cell r="C1173">
            <v>71310</v>
          </cell>
          <cell r="D1173">
            <v>1.1000000000000001</v>
          </cell>
          <cell r="E1173">
            <v>38710</v>
          </cell>
          <cell r="F1173">
            <v>0.2</v>
          </cell>
          <cell r="G1173">
            <v>38160</v>
          </cell>
        </row>
        <row r="1174">
          <cell r="A1174" t="str">
            <v>51-3090</v>
          </cell>
          <cell r="B1174" t="str">
            <v>Miscellaneous Food Processing Workers</v>
          </cell>
          <cell r="C1174">
            <v>282460</v>
          </cell>
          <cell r="D1174">
            <v>0.9</v>
          </cell>
          <cell r="E1174">
            <v>40140</v>
          </cell>
          <cell r="F1174">
            <v>0.3</v>
          </cell>
          <cell r="G1174">
            <v>38130</v>
          </cell>
        </row>
        <row r="1175">
          <cell r="A1175" t="str">
            <v>51-3091</v>
          </cell>
          <cell r="B1175" t="str">
            <v>Food and Tobacco Roasting, Baking, and Drying Machine Operators and Tenders</v>
          </cell>
          <cell r="C1175">
            <v>19570</v>
          </cell>
          <cell r="D1175">
            <v>3.9</v>
          </cell>
          <cell r="E1175">
            <v>42410</v>
          </cell>
          <cell r="F1175">
            <v>1</v>
          </cell>
          <cell r="G1175">
            <v>39850</v>
          </cell>
        </row>
        <row r="1176">
          <cell r="A1176" t="str">
            <v>51-3092</v>
          </cell>
          <cell r="B1176" t="str">
            <v>Food Batchmakers</v>
          </cell>
          <cell r="C1176">
            <v>169190</v>
          </cell>
          <cell r="D1176">
            <v>1.1000000000000001</v>
          </cell>
          <cell r="E1176">
            <v>40890</v>
          </cell>
          <cell r="F1176">
            <v>0.3</v>
          </cell>
          <cell r="G1176">
            <v>38460</v>
          </cell>
        </row>
        <row r="1177">
          <cell r="A1177" t="str">
            <v>51-3093</v>
          </cell>
          <cell r="B1177" t="str">
            <v>Food Cooking Machine Operators and Tenders</v>
          </cell>
          <cell r="C1177">
            <v>29730</v>
          </cell>
          <cell r="D1177">
            <v>4</v>
          </cell>
          <cell r="E1177">
            <v>39770</v>
          </cell>
          <cell r="F1177">
            <v>0.8</v>
          </cell>
          <cell r="G1177">
            <v>38550</v>
          </cell>
        </row>
        <row r="1178">
          <cell r="A1178" t="str">
            <v>51-3099</v>
          </cell>
          <cell r="B1178" t="str">
            <v>Food Processing Workers, All Other</v>
          </cell>
          <cell r="C1178">
            <v>63970</v>
          </cell>
          <cell r="D1178">
            <v>1.8</v>
          </cell>
          <cell r="E1178">
            <v>37630</v>
          </cell>
          <cell r="F1178">
            <v>0.3</v>
          </cell>
          <cell r="G1178">
            <v>36890</v>
          </cell>
        </row>
        <row r="1179">
          <cell r="A1179" t="str">
            <v>51-4000</v>
          </cell>
          <cell r="B1179" t="str">
            <v>Metal Workers and Plastic Workers</v>
          </cell>
          <cell r="C1179">
            <v>1605180</v>
          </cell>
          <cell r="D1179">
            <v>0.3</v>
          </cell>
          <cell r="E1179">
            <v>49350</v>
          </cell>
          <cell r="F1179">
            <v>0.2</v>
          </cell>
          <cell r="G1179">
            <v>46860</v>
          </cell>
        </row>
        <row r="1180">
          <cell r="A1180" t="str">
            <v>51-4020</v>
          </cell>
          <cell r="B1180" t="str">
            <v>Forming Machine Setters, Operators, and Tenders, Metal and Plastic</v>
          </cell>
          <cell r="C1180">
            <v>97290</v>
          </cell>
          <cell r="D1180">
            <v>1.5</v>
          </cell>
          <cell r="E1180">
            <v>46600</v>
          </cell>
          <cell r="F1180">
            <v>0.5</v>
          </cell>
          <cell r="G1180">
            <v>45410</v>
          </cell>
        </row>
        <row r="1181">
          <cell r="A1181" t="str">
            <v>51-4021</v>
          </cell>
          <cell r="B1181" t="str">
            <v>Extruding and Drawing Machine Setters, Operators, and Tenders, Metal and Plastic</v>
          </cell>
          <cell r="C1181">
            <v>63370</v>
          </cell>
          <cell r="D1181">
            <v>1.9</v>
          </cell>
          <cell r="E1181">
            <v>45440</v>
          </cell>
          <cell r="F1181">
            <v>0.7</v>
          </cell>
          <cell r="G1181">
            <v>44390</v>
          </cell>
        </row>
        <row r="1182">
          <cell r="A1182" t="str">
            <v>51-4022</v>
          </cell>
          <cell r="B1182" t="str">
            <v>Forging Machine Setters, Operators, and Tenders, Metal and Plastic</v>
          </cell>
          <cell r="C1182">
            <v>9170</v>
          </cell>
          <cell r="D1182">
            <v>3.8</v>
          </cell>
          <cell r="E1182">
            <v>47350</v>
          </cell>
          <cell r="F1182">
            <v>0.9</v>
          </cell>
          <cell r="G1182">
            <v>46990</v>
          </cell>
        </row>
        <row r="1183">
          <cell r="A1183" t="str">
            <v>51-4023</v>
          </cell>
          <cell r="B1183" t="str">
            <v>Rolling Machine Setters, Operators, and Tenders, Metal and Plastic</v>
          </cell>
          <cell r="C1183">
            <v>24750</v>
          </cell>
          <cell r="D1183">
            <v>2.7</v>
          </cell>
          <cell r="E1183">
            <v>49290</v>
          </cell>
          <cell r="F1183">
            <v>0.6</v>
          </cell>
          <cell r="G1183">
            <v>47040</v>
          </cell>
        </row>
        <row r="1184">
          <cell r="A1184" t="str">
            <v>51-4030</v>
          </cell>
          <cell r="B1184" t="str">
            <v>Machine Tool Cutting Setters, Operators, and Tenders, Metal and Plastic</v>
          </cell>
          <cell r="C1184">
            <v>293770</v>
          </cell>
          <cell r="D1184">
            <v>1</v>
          </cell>
          <cell r="E1184">
            <v>44950</v>
          </cell>
          <cell r="F1184">
            <v>0.2</v>
          </cell>
          <cell r="G1184">
            <v>43300</v>
          </cell>
        </row>
        <row r="1185">
          <cell r="A1185" t="str">
            <v>51-4031</v>
          </cell>
          <cell r="B1185" t="str">
            <v>Cutting, Punching, and Press Machine Setters, Operators, and Tenders, Metal and Plastic</v>
          </cell>
          <cell r="C1185">
            <v>179230</v>
          </cell>
          <cell r="D1185">
            <v>1.3</v>
          </cell>
          <cell r="E1185">
            <v>44260</v>
          </cell>
          <cell r="F1185">
            <v>0.3</v>
          </cell>
          <cell r="G1185">
            <v>42400</v>
          </cell>
        </row>
        <row r="1186">
          <cell r="A1186" t="str">
            <v>51-4032</v>
          </cell>
          <cell r="B1186" t="str">
            <v>Drilling and Boring Machine Tool Setters, Operators, and Tenders, Metal and Plastic</v>
          </cell>
          <cell r="C1186">
            <v>5740</v>
          </cell>
          <cell r="D1186">
            <v>6.1</v>
          </cell>
          <cell r="E1186">
            <v>47490</v>
          </cell>
          <cell r="F1186">
            <v>1.7</v>
          </cell>
          <cell r="G1186">
            <v>44620</v>
          </cell>
        </row>
        <row r="1187">
          <cell r="A1187" t="str">
            <v>51-4033</v>
          </cell>
          <cell r="B1187" t="str">
            <v>Grinding, Lapping, Polishing, and Buffing Machine Tool Setters, Operators, and Tenders, Metal and Plastic</v>
          </cell>
          <cell r="C1187">
            <v>75260</v>
          </cell>
          <cell r="D1187">
            <v>1.2</v>
          </cell>
          <cell r="E1187">
            <v>44450</v>
          </cell>
          <cell r="F1187">
            <v>0.3</v>
          </cell>
          <cell r="G1187">
            <v>42610</v>
          </cell>
        </row>
        <row r="1188">
          <cell r="A1188" t="str">
            <v>51-4034</v>
          </cell>
          <cell r="B1188" t="str">
            <v>Lathe and Turning Machine Tool Setters, Operators, and Tenders, Metal and Plastic</v>
          </cell>
          <cell r="C1188">
            <v>19560</v>
          </cell>
          <cell r="D1188">
            <v>3.3</v>
          </cell>
          <cell r="E1188">
            <v>48850</v>
          </cell>
          <cell r="F1188">
            <v>0.8</v>
          </cell>
          <cell r="G1188">
            <v>47110</v>
          </cell>
        </row>
        <row r="1189">
          <cell r="A1189" t="str">
            <v>51-4035</v>
          </cell>
          <cell r="B1189" t="str">
            <v>Milling and Planing Machine Setters, Operators, and Tenders, Metal and Plastic</v>
          </cell>
          <cell r="C1189">
            <v>13990</v>
          </cell>
          <cell r="D1189">
            <v>3.1</v>
          </cell>
          <cell r="E1189">
            <v>50020</v>
          </cell>
          <cell r="F1189">
            <v>0.8</v>
          </cell>
          <cell r="G1189">
            <v>47200</v>
          </cell>
        </row>
        <row r="1190">
          <cell r="A1190" t="str">
            <v>51-4040</v>
          </cell>
          <cell r="B1190" t="str">
            <v>Machinists</v>
          </cell>
          <cell r="C1190">
            <v>290720</v>
          </cell>
          <cell r="D1190">
            <v>1</v>
          </cell>
          <cell r="E1190">
            <v>54600</v>
          </cell>
          <cell r="F1190">
            <v>0.2</v>
          </cell>
          <cell r="G1190">
            <v>50840</v>
          </cell>
        </row>
        <row r="1191">
          <cell r="A1191" t="str">
            <v>51-4041</v>
          </cell>
          <cell r="B1191" t="str">
            <v>Machinists</v>
          </cell>
          <cell r="C1191">
            <v>290720</v>
          </cell>
          <cell r="D1191">
            <v>1</v>
          </cell>
          <cell r="E1191">
            <v>54600</v>
          </cell>
          <cell r="F1191">
            <v>0.2</v>
          </cell>
          <cell r="G1191">
            <v>50840</v>
          </cell>
        </row>
        <row r="1192">
          <cell r="A1192" t="str">
            <v>51-4050</v>
          </cell>
          <cell r="B1192" t="str">
            <v>Metal Furnace Operators, Tenders, Pourers, and Casters</v>
          </cell>
          <cell r="C1192">
            <v>26340</v>
          </cell>
          <cell r="D1192">
            <v>3.8</v>
          </cell>
          <cell r="E1192">
            <v>53460</v>
          </cell>
          <cell r="F1192">
            <v>0.7</v>
          </cell>
          <cell r="G1192">
            <v>50200</v>
          </cell>
        </row>
        <row r="1193">
          <cell r="A1193" t="str">
            <v>51-4051</v>
          </cell>
          <cell r="B1193" t="str">
            <v>Metal-Refining Furnace Operators and Tenders</v>
          </cell>
          <cell r="C1193">
            <v>20870</v>
          </cell>
          <cell r="D1193">
            <v>4.8</v>
          </cell>
          <cell r="E1193">
            <v>54340</v>
          </cell>
          <cell r="F1193">
            <v>0.9</v>
          </cell>
          <cell r="G1193">
            <v>50250</v>
          </cell>
        </row>
        <row r="1194">
          <cell r="A1194" t="str">
            <v>51-4052</v>
          </cell>
          <cell r="B1194" t="str">
            <v>Pourers and Casters, Metal</v>
          </cell>
          <cell r="C1194">
            <v>5460</v>
          </cell>
          <cell r="D1194">
            <v>4.0999999999999996</v>
          </cell>
          <cell r="E1194">
            <v>50110</v>
          </cell>
          <cell r="F1194">
            <v>0.8</v>
          </cell>
          <cell r="G1194">
            <v>48690</v>
          </cell>
        </row>
        <row r="1195">
          <cell r="A1195" t="str">
            <v>51-4060</v>
          </cell>
          <cell r="B1195" t="str">
            <v>Model Makers and Patternmakers, Metal and Plastic</v>
          </cell>
          <cell r="C1195">
            <v>4990</v>
          </cell>
          <cell r="D1195">
            <v>4.4000000000000004</v>
          </cell>
          <cell r="E1195">
            <v>60450</v>
          </cell>
          <cell r="F1195">
            <v>1.2</v>
          </cell>
          <cell r="G1195">
            <v>58840</v>
          </cell>
        </row>
        <row r="1196">
          <cell r="A1196" t="str">
            <v>51-4061</v>
          </cell>
          <cell r="B1196" t="str">
            <v>Model Makers, Metal and Plastic</v>
          </cell>
          <cell r="C1196">
            <v>2840</v>
          </cell>
          <cell r="D1196">
            <v>4.8</v>
          </cell>
          <cell r="E1196">
            <v>64920</v>
          </cell>
          <cell r="F1196">
            <v>1.2</v>
          </cell>
          <cell r="G1196">
            <v>64190</v>
          </cell>
        </row>
        <row r="1197">
          <cell r="A1197" t="str">
            <v>51-4062</v>
          </cell>
          <cell r="B1197" t="str">
            <v>Patternmakers, Metal and Plastic</v>
          </cell>
          <cell r="C1197">
            <v>2150</v>
          </cell>
          <cell r="D1197">
            <v>8.6</v>
          </cell>
          <cell r="E1197">
            <v>54550</v>
          </cell>
          <cell r="F1197">
            <v>2.2000000000000002</v>
          </cell>
          <cell r="G1197">
            <v>49670</v>
          </cell>
        </row>
        <row r="1198">
          <cell r="A1198" t="str">
            <v>51-4070</v>
          </cell>
          <cell r="B1198" t="str">
            <v>Molders and Molding Machine Setters, Operators, and Tenders, Metal and Plastic</v>
          </cell>
          <cell r="C1198">
            <v>170760</v>
          </cell>
          <cell r="D1198">
            <v>1.2</v>
          </cell>
          <cell r="E1198">
            <v>42270</v>
          </cell>
          <cell r="F1198">
            <v>0.3</v>
          </cell>
          <cell r="G1198">
            <v>39170</v>
          </cell>
        </row>
        <row r="1199">
          <cell r="A1199" t="str">
            <v>51-4071</v>
          </cell>
          <cell r="B1199" t="str">
            <v>Foundry Mold and Coremakers</v>
          </cell>
          <cell r="C1199">
            <v>11780</v>
          </cell>
          <cell r="D1199">
            <v>2.7</v>
          </cell>
          <cell r="E1199">
            <v>45130</v>
          </cell>
          <cell r="F1199">
            <v>0.7</v>
          </cell>
          <cell r="G1199">
            <v>44300</v>
          </cell>
        </row>
        <row r="1200">
          <cell r="A1200" t="str">
            <v>51-4072</v>
          </cell>
          <cell r="B1200" t="str">
            <v>Molding, Coremaking, and Casting Machine Setters, Operators, and Tenders, Metal and Plastic</v>
          </cell>
          <cell r="C1200">
            <v>158980</v>
          </cell>
          <cell r="D1200">
            <v>1.3</v>
          </cell>
          <cell r="E1200">
            <v>42060</v>
          </cell>
          <cell r="F1200">
            <v>0.3</v>
          </cell>
          <cell r="G1200">
            <v>38870</v>
          </cell>
        </row>
        <row r="1201">
          <cell r="A1201" t="str">
            <v>51-4080</v>
          </cell>
          <cell r="B1201" t="str">
            <v>Multiple Machine Tool Setters, Operators, and Tenders, Metal and Plastic</v>
          </cell>
          <cell r="C1201">
            <v>127790</v>
          </cell>
          <cell r="D1201">
            <v>1.4</v>
          </cell>
          <cell r="E1201">
            <v>43990</v>
          </cell>
          <cell r="F1201">
            <v>0.3</v>
          </cell>
          <cell r="G1201">
            <v>41600</v>
          </cell>
        </row>
        <row r="1202">
          <cell r="A1202" t="str">
            <v>51-4081</v>
          </cell>
          <cell r="B1202" t="str">
            <v>Multiple Machine Tool Setters, Operators, and Tenders, Metal and Plastic</v>
          </cell>
          <cell r="C1202">
            <v>127790</v>
          </cell>
          <cell r="D1202">
            <v>1.4</v>
          </cell>
          <cell r="E1202">
            <v>43990</v>
          </cell>
          <cell r="F1202">
            <v>0.3</v>
          </cell>
          <cell r="G1202">
            <v>41600</v>
          </cell>
        </row>
        <row r="1203">
          <cell r="A1203" t="str">
            <v>51-4110</v>
          </cell>
          <cell r="B1203" t="str">
            <v>Tool and Die Makers</v>
          </cell>
          <cell r="C1203">
            <v>58150</v>
          </cell>
          <cell r="D1203">
            <v>1.1000000000000001</v>
          </cell>
          <cell r="E1203">
            <v>62020</v>
          </cell>
          <cell r="F1203">
            <v>0.3</v>
          </cell>
          <cell r="G1203">
            <v>61490</v>
          </cell>
        </row>
        <row r="1204">
          <cell r="A1204" t="str">
            <v>51-4111</v>
          </cell>
          <cell r="B1204" t="str">
            <v>Tool and Die Makers</v>
          </cell>
          <cell r="C1204">
            <v>58150</v>
          </cell>
          <cell r="D1204">
            <v>1.1000000000000001</v>
          </cell>
          <cell r="E1204">
            <v>62020</v>
          </cell>
          <cell r="F1204">
            <v>0.3</v>
          </cell>
          <cell r="G1204">
            <v>61490</v>
          </cell>
        </row>
        <row r="1205">
          <cell r="A1205" t="str">
            <v>51-4120</v>
          </cell>
          <cell r="B1205" t="str">
            <v>Welding, Soldering, and Brazing Workers</v>
          </cell>
          <cell r="C1205">
            <v>454760</v>
          </cell>
          <cell r="D1205">
            <v>0.9</v>
          </cell>
          <cell r="E1205">
            <v>52240</v>
          </cell>
          <cell r="F1205">
            <v>0.2</v>
          </cell>
          <cell r="G1205">
            <v>48680</v>
          </cell>
        </row>
        <row r="1206">
          <cell r="A1206" t="str">
            <v>51-4121</v>
          </cell>
          <cell r="B1206" t="str">
            <v>Welders, Cutters, Solderers, and Brazers</v>
          </cell>
          <cell r="C1206">
            <v>421730</v>
          </cell>
          <cell r="D1206">
            <v>0.8</v>
          </cell>
          <cell r="E1206">
            <v>52640</v>
          </cell>
          <cell r="F1206">
            <v>0.2</v>
          </cell>
          <cell r="G1206">
            <v>48940</v>
          </cell>
        </row>
        <row r="1207">
          <cell r="A1207" t="str">
            <v>51-4122</v>
          </cell>
          <cell r="B1207" t="str">
            <v>Welding, Soldering, and Brazing Machine Setters, Operators, and Tenders</v>
          </cell>
          <cell r="C1207">
            <v>33020</v>
          </cell>
          <cell r="D1207">
            <v>2.7</v>
          </cell>
          <cell r="E1207">
            <v>47120</v>
          </cell>
          <cell r="F1207">
            <v>0.4</v>
          </cell>
          <cell r="G1207">
            <v>45350</v>
          </cell>
        </row>
        <row r="1208">
          <cell r="A1208" t="str">
            <v>51-4190</v>
          </cell>
          <cell r="B1208" t="str">
            <v>Miscellaneous Metal Workers and Plastic Workers</v>
          </cell>
          <cell r="C1208">
            <v>80600</v>
          </cell>
          <cell r="D1208">
            <v>1.7</v>
          </cell>
          <cell r="E1208">
            <v>45800</v>
          </cell>
          <cell r="F1208">
            <v>0.4</v>
          </cell>
          <cell r="G1208">
            <v>43260</v>
          </cell>
        </row>
        <row r="1209">
          <cell r="A1209" t="str">
            <v>51-4191</v>
          </cell>
          <cell r="B1209" t="str">
            <v>Heat Treating Equipment Setters, Operators, and Tenders, Metal and Plastic</v>
          </cell>
          <cell r="C1209">
            <v>14950</v>
          </cell>
          <cell r="D1209">
            <v>3.1</v>
          </cell>
          <cell r="E1209">
            <v>46540</v>
          </cell>
          <cell r="F1209">
            <v>0.7</v>
          </cell>
          <cell r="G1209">
            <v>44240</v>
          </cell>
        </row>
        <row r="1210">
          <cell r="A1210" t="str">
            <v>51-4192</v>
          </cell>
          <cell r="B1210" t="str">
            <v>Layout Workers, Metal and Plastic</v>
          </cell>
          <cell r="C1210">
            <v>6660</v>
          </cell>
          <cell r="D1210">
            <v>4.2</v>
          </cell>
          <cell r="E1210">
            <v>60110</v>
          </cell>
          <cell r="F1210">
            <v>0.7</v>
          </cell>
          <cell r="G1210">
            <v>62270</v>
          </cell>
        </row>
        <row r="1211">
          <cell r="A1211" t="str">
            <v>51-4193</v>
          </cell>
          <cell r="B1211" t="str">
            <v>Plating Machine Setters, Operators, and Tenders, Metal and Plastic</v>
          </cell>
          <cell r="C1211">
            <v>31970</v>
          </cell>
          <cell r="D1211">
            <v>2.4</v>
          </cell>
          <cell r="E1211">
            <v>42550</v>
          </cell>
          <cell r="F1211">
            <v>0.5</v>
          </cell>
          <cell r="G1211">
            <v>39740</v>
          </cell>
        </row>
        <row r="1212">
          <cell r="A1212" t="str">
            <v>51-4194</v>
          </cell>
          <cell r="B1212" t="str">
            <v>Tool Grinders, Filers, and Sharpeners</v>
          </cell>
          <cell r="C1212">
            <v>6660</v>
          </cell>
          <cell r="D1212">
            <v>4.3</v>
          </cell>
          <cell r="E1212">
            <v>48520</v>
          </cell>
          <cell r="F1212">
            <v>1</v>
          </cell>
          <cell r="G1212">
            <v>46410</v>
          </cell>
        </row>
        <row r="1213">
          <cell r="A1213" t="str">
            <v>51-4199</v>
          </cell>
          <cell r="B1213" t="str">
            <v>Metal Workers and Plastic Workers, All Other</v>
          </cell>
          <cell r="C1213">
            <v>20370</v>
          </cell>
          <cell r="D1213">
            <v>5</v>
          </cell>
          <cell r="E1213">
            <v>44780</v>
          </cell>
          <cell r="F1213">
            <v>0.7</v>
          </cell>
          <cell r="G1213">
            <v>41200</v>
          </cell>
        </row>
        <row r="1214">
          <cell r="A1214" t="str">
            <v>51-5100</v>
          </cell>
          <cell r="B1214" t="str">
            <v>Printing Workers</v>
          </cell>
          <cell r="C1214">
            <v>213920</v>
          </cell>
          <cell r="D1214">
            <v>0.7</v>
          </cell>
          <cell r="E1214">
            <v>44030</v>
          </cell>
          <cell r="F1214">
            <v>0.3</v>
          </cell>
          <cell r="G1214">
            <v>40870</v>
          </cell>
        </row>
        <row r="1215">
          <cell r="A1215" t="str">
            <v>51-5110</v>
          </cell>
          <cell r="B1215" t="str">
            <v>Printing Workers</v>
          </cell>
          <cell r="C1215">
            <v>213920</v>
          </cell>
          <cell r="D1215">
            <v>0.7</v>
          </cell>
          <cell r="E1215">
            <v>44030</v>
          </cell>
          <cell r="F1215">
            <v>0.3</v>
          </cell>
          <cell r="G1215">
            <v>40870</v>
          </cell>
        </row>
        <row r="1216">
          <cell r="A1216" t="str">
            <v>51-5111</v>
          </cell>
          <cell r="B1216" t="str">
            <v>Prepress Technicians and Workers</v>
          </cell>
          <cell r="C1216">
            <v>23590</v>
          </cell>
          <cell r="D1216">
            <v>2.7</v>
          </cell>
          <cell r="E1216">
            <v>46540</v>
          </cell>
          <cell r="F1216">
            <v>0.7</v>
          </cell>
          <cell r="G1216">
            <v>45070</v>
          </cell>
        </row>
        <row r="1217">
          <cell r="A1217" t="str">
            <v>51-5112</v>
          </cell>
          <cell r="B1217" t="str">
            <v>Printing Press Operators</v>
          </cell>
          <cell r="C1217">
            <v>151450</v>
          </cell>
          <cell r="D1217">
            <v>1.1000000000000001</v>
          </cell>
          <cell r="E1217">
            <v>44450</v>
          </cell>
          <cell r="F1217">
            <v>0.4</v>
          </cell>
          <cell r="G1217">
            <v>41860</v>
          </cell>
        </row>
        <row r="1218">
          <cell r="A1218" t="str">
            <v>51-5113</v>
          </cell>
          <cell r="B1218" t="str">
            <v>Print Binding and Finishing Workers</v>
          </cell>
          <cell r="C1218">
            <v>38880</v>
          </cell>
          <cell r="D1218">
            <v>2.2000000000000002</v>
          </cell>
          <cell r="E1218">
            <v>40860</v>
          </cell>
          <cell r="F1218">
            <v>0.6</v>
          </cell>
          <cell r="G1218">
            <v>38100</v>
          </cell>
        </row>
        <row r="1219">
          <cell r="A1219" t="str">
            <v>51-6000</v>
          </cell>
          <cell r="B1219" t="str">
            <v>Textile, Apparel, and Furnishings Workers</v>
          </cell>
          <cell r="C1219">
            <v>473970</v>
          </cell>
          <cell r="D1219">
            <v>0.8</v>
          </cell>
          <cell r="E1219">
            <v>35210</v>
          </cell>
          <cell r="F1219">
            <v>0.2</v>
          </cell>
          <cell r="G1219">
            <v>34110</v>
          </cell>
        </row>
        <row r="1220">
          <cell r="A1220" t="str">
            <v>51-6010</v>
          </cell>
          <cell r="B1220" t="str">
            <v>Laundry and Dry-Cleaning Workers</v>
          </cell>
          <cell r="C1220">
            <v>185000</v>
          </cell>
          <cell r="D1220">
            <v>0.9</v>
          </cell>
          <cell r="E1220">
            <v>31880</v>
          </cell>
          <cell r="F1220">
            <v>0.2</v>
          </cell>
          <cell r="G1220">
            <v>31050</v>
          </cell>
        </row>
        <row r="1221">
          <cell r="A1221" t="str">
            <v>51-6011</v>
          </cell>
          <cell r="B1221" t="str">
            <v>Laundry and Dry-Cleaning Workers</v>
          </cell>
          <cell r="C1221">
            <v>185000</v>
          </cell>
          <cell r="D1221">
            <v>0.9</v>
          </cell>
          <cell r="E1221">
            <v>31880</v>
          </cell>
          <cell r="F1221">
            <v>0.2</v>
          </cell>
          <cell r="G1221">
            <v>31050</v>
          </cell>
        </row>
        <row r="1222">
          <cell r="A1222" t="str">
            <v>51-6020</v>
          </cell>
          <cell r="B1222" t="str">
            <v>Pressers, Textile, Garment, and Related Materials</v>
          </cell>
          <cell r="C1222">
            <v>28700</v>
          </cell>
          <cell r="D1222">
            <v>3.4</v>
          </cell>
          <cell r="E1222">
            <v>32340</v>
          </cell>
          <cell r="F1222">
            <v>0.6</v>
          </cell>
          <cell r="G1222">
            <v>32240</v>
          </cell>
        </row>
        <row r="1223">
          <cell r="A1223" t="str">
            <v>51-6021</v>
          </cell>
          <cell r="B1223" t="str">
            <v>Pressers, Textile, Garment, and Related Materials</v>
          </cell>
          <cell r="C1223">
            <v>28700</v>
          </cell>
          <cell r="D1223">
            <v>3.4</v>
          </cell>
          <cell r="E1223">
            <v>32340</v>
          </cell>
          <cell r="F1223">
            <v>0.6</v>
          </cell>
          <cell r="G1223">
            <v>32240</v>
          </cell>
        </row>
        <row r="1224">
          <cell r="A1224" t="str">
            <v>51-6030</v>
          </cell>
          <cell r="B1224" t="str">
            <v>Sewing Machine Operators</v>
          </cell>
          <cell r="C1224">
            <v>116130</v>
          </cell>
          <cell r="D1224">
            <v>1.3</v>
          </cell>
          <cell r="E1224">
            <v>35000</v>
          </cell>
          <cell r="F1224">
            <v>0.4</v>
          </cell>
          <cell r="G1224">
            <v>34440</v>
          </cell>
        </row>
        <row r="1225">
          <cell r="A1225" t="str">
            <v>51-6031</v>
          </cell>
          <cell r="B1225" t="str">
            <v>Sewing Machine Operators</v>
          </cell>
          <cell r="C1225">
            <v>116130</v>
          </cell>
          <cell r="D1225">
            <v>1.3</v>
          </cell>
          <cell r="E1225">
            <v>35000</v>
          </cell>
          <cell r="F1225">
            <v>0.4</v>
          </cell>
          <cell r="G1225">
            <v>34440</v>
          </cell>
        </row>
        <row r="1226">
          <cell r="A1226" t="str">
            <v>51-6040</v>
          </cell>
          <cell r="B1226" t="str">
            <v>Shoe and Leather Workers</v>
          </cell>
          <cell r="C1226">
            <v>11850</v>
          </cell>
          <cell r="D1226">
            <v>3.3</v>
          </cell>
          <cell r="E1226">
            <v>36850</v>
          </cell>
          <cell r="F1226">
            <v>1.1000000000000001</v>
          </cell>
          <cell r="G1226">
            <v>36300</v>
          </cell>
        </row>
        <row r="1227">
          <cell r="A1227" t="str">
            <v>51-6041</v>
          </cell>
          <cell r="B1227" t="str">
            <v>Shoe and Leather Workers and Repairers</v>
          </cell>
          <cell r="C1227">
            <v>7230</v>
          </cell>
          <cell r="D1227">
            <v>7.2</v>
          </cell>
          <cell r="E1227">
            <v>37030</v>
          </cell>
          <cell r="F1227">
            <v>2</v>
          </cell>
          <cell r="G1227">
            <v>36020</v>
          </cell>
        </row>
        <row r="1228">
          <cell r="A1228" t="str">
            <v>51-6042</v>
          </cell>
          <cell r="B1228" t="str">
            <v>Shoe Machine Operators and Tenders</v>
          </cell>
          <cell r="C1228">
            <v>4630</v>
          </cell>
          <cell r="D1228">
            <v>4.9000000000000004</v>
          </cell>
          <cell r="E1228">
            <v>36570</v>
          </cell>
          <cell r="F1228">
            <v>0.8</v>
          </cell>
          <cell r="G1228">
            <v>36970</v>
          </cell>
        </row>
        <row r="1229">
          <cell r="A1229" t="str">
            <v>51-6050</v>
          </cell>
          <cell r="B1229" t="str">
            <v>Tailors, Dressmakers, and Sewers</v>
          </cell>
          <cell r="C1229">
            <v>18340</v>
          </cell>
          <cell r="D1229">
            <v>7.5</v>
          </cell>
          <cell r="E1229">
            <v>39020</v>
          </cell>
          <cell r="F1229">
            <v>1</v>
          </cell>
          <cell r="G1229">
            <v>35680</v>
          </cell>
        </row>
        <row r="1230">
          <cell r="A1230" t="str">
            <v>51-6051</v>
          </cell>
          <cell r="B1230" t="str">
            <v>Sewers, Hand</v>
          </cell>
          <cell r="C1230">
            <v>3390</v>
          </cell>
          <cell r="D1230">
            <v>11.9</v>
          </cell>
          <cell r="E1230">
            <v>33860</v>
          </cell>
          <cell r="F1230">
            <v>1.8</v>
          </cell>
          <cell r="G1230">
            <v>32240</v>
          </cell>
        </row>
        <row r="1231">
          <cell r="A1231" t="str">
            <v>51-6052</v>
          </cell>
          <cell r="B1231" t="str">
            <v>Tailors, Dressmakers, and Custom Sewers</v>
          </cell>
          <cell r="C1231">
            <v>14950</v>
          </cell>
          <cell r="D1231">
            <v>10.199999999999999</v>
          </cell>
          <cell r="E1231">
            <v>40190</v>
          </cell>
          <cell r="F1231">
            <v>1.1000000000000001</v>
          </cell>
          <cell r="G1231">
            <v>36650</v>
          </cell>
        </row>
        <row r="1232">
          <cell r="A1232" t="str">
            <v>51-6060</v>
          </cell>
          <cell r="B1232" t="str">
            <v>Textile Machine Setters, Operators, and Tenders</v>
          </cell>
          <cell r="C1232">
            <v>55950</v>
          </cell>
          <cell r="D1232">
            <v>1.2</v>
          </cell>
          <cell r="E1232">
            <v>37370</v>
          </cell>
          <cell r="F1232">
            <v>0.4</v>
          </cell>
          <cell r="G1232">
            <v>36150</v>
          </cell>
        </row>
        <row r="1233">
          <cell r="A1233" t="str">
            <v>51-6061</v>
          </cell>
          <cell r="B1233" t="str">
            <v>Textile Bleaching and Dyeing Machine Operators and Tenders</v>
          </cell>
          <cell r="C1233">
            <v>6650</v>
          </cell>
          <cell r="D1233">
            <v>7</v>
          </cell>
          <cell r="E1233">
            <v>37570</v>
          </cell>
          <cell r="F1233">
            <v>2.4</v>
          </cell>
          <cell r="G1233">
            <v>35340</v>
          </cell>
        </row>
        <row r="1234">
          <cell r="A1234" t="str">
            <v>51-6062</v>
          </cell>
          <cell r="B1234" t="str">
            <v>Textile Cutting Machine Setters, Operators, and Tenders</v>
          </cell>
          <cell r="C1234">
            <v>9760</v>
          </cell>
          <cell r="D1234">
            <v>2.7</v>
          </cell>
          <cell r="E1234">
            <v>37040</v>
          </cell>
          <cell r="F1234">
            <v>0.6</v>
          </cell>
          <cell r="G1234">
            <v>36620</v>
          </cell>
        </row>
        <row r="1235">
          <cell r="A1235" t="str">
            <v>51-6063</v>
          </cell>
          <cell r="B1235" t="str">
            <v>Textile Knitting and Weaving Machine Setters, Operators, and Tenders</v>
          </cell>
          <cell r="C1235">
            <v>15980</v>
          </cell>
          <cell r="D1235">
            <v>2.7</v>
          </cell>
          <cell r="E1235">
            <v>37880</v>
          </cell>
          <cell r="F1235">
            <v>0.9</v>
          </cell>
          <cell r="G1235">
            <v>37130</v>
          </cell>
        </row>
        <row r="1236">
          <cell r="A1236" t="str">
            <v>51-6064</v>
          </cell>
          <cell r="B1236" t="str">
            <v>Textile Winding, Twisting, and Drawing Out Machine Setters, Operators, and Tenders</v>
          </cell>
          <cell r="C1236">
            <v>23550</v>
          </cell>
          <cell r="D1236">
            <v>1.7</v>
          </cell>
          <cell r="E1236">
            <v>37100</v>
          </cell>
          <cell r="F1236">
            <v>0.6</v>
          </cell>
          <cell r="G1236">
            <v>35530</v>
          </cell>
        </row>
        <row r="1237">
          <cell r="A1237" t="str">
            <v>51-6090</v>
          </cell>
          <cell r="B1237" t="str">
            <v>Miscellaneous Textile, Apparel, and Furnishings Workers</v>
          </cell>
          <cell r="C1237">
            <v>58010</v>
          </cell>
          <cell r="D1237">
            <v>1.9</v>
          </cell>
          <cell r="E1237">
            <v>44020</v>
          </cell>
          <cell r="F1237">
            <v>0.7</v>
          </cell>
          <cell r="G1237">
            <v>40560</v>
          </cell>
        </row>
        <row r="1238">
          <cell r="A1238" t="str">
            <v>51-6091</v>
          </cell>
          <cell r="B1238" t="str">
            <v>Extruding and Forming Machine Setters, Operators, and Tenders, Synthetic and Glass Fibers</v>
          </cell>
          <cell r="C1238">
            <v>14520</v>
          </cell>
          <cell r="D1238">
            <v>3.6</v>
          </cell>
          <cell r="E1238">
            <v>45270</v>
          </cell>
          <cell r="F1238">
            <v>0.5</v>
          </cell>
          <cell r="G1238">
            <v>44030</v>
          </cell>
        </row>
        <row r="1239">
          <cell r="A1239" t="str">
            <v>51-6092</v>
          </cell>
          <cell r="B1239" t="str">
            <v>Fabric and Apparel Patternmakers</v>
          </cell>
          <cell r="C1239">
            <v>2670</v>
          </cell>
          <cell r="D1239">
            <v>7.4</v>
          </cell>
          <cell r="E1239">
            <v>66750</v>
          </cell>
          <cell r="F1239">
            <v>4.3</v>
          </cell>
          <cell r="G1239">
            <v>62510</v>
          </cell>
        </row>
        <row r="1240">
          <cell r="A1240" t="str">
            <v>51-6093</v>
          </cell>
          <cell r="B1240" t="str">
            <v>Upholsterers</v>
          </cell>
          <cell r="C1240">
            <v>25740</v>
          </cell>
          <cell r="D1240">
            <v>2</v>
          </cell>
          <cell r="E1240">
            <v>44820</v>
          </cell>
          <cell r="F1240">
            <v>0.7</v>
          </cell>
          <cell r="G1240">
            <v>42730</v>
          </cell>
        </row>
        <row r="1241">
          <cell r="A1241" t="str">
            <v>51-6099</v>
          </cell>
          <cell r="B1241" t="str">
            <v>Textile, Apparel, and Furnishings Workers, All Other</v>
          </cell>
          <cell r="C1241">
            <v>15080</v>
          </cell>
          <cell r="D1241">
            <v>3.9</v>
          </cell>
          <cell r="E1241">
            <v>37430</v>
          </cell>
          <cell r="F1241">
            <v>1.1000000000000001</v>
          </cell>
          <cell r="G1241">
            <v>35130</v>
          </cell>
        </row>
        <row r="1242">
          <cell r="A1242" t="str">
            <v>51-7000</v>
          </cell>
          <cell r="B1242" t="str">
            <v>Woodworkers</v>
          </cell>
          <cell r="C1242">
            <v>216330</v>
          </cell>
          <cell r="D1242">
            <v>0.9</v>
          </cell>
          <cell r="E1242">
            <v>42210</v>
          </cell>
          <cell r="F1242">
            <v>0.3</v>
          </cell>
          <cell r="G1242">
            <v>39350</v>
          </cell>
        </row>
        <row r="1243">
          <cell r="A1243" t="str">
            <v>51-7010</v>
          </cell>
          <cell r="B1243" t="str">
            <v>Cabinetmakers and Bench Carpenters</v>
          </cell>
          <cell r="C1243">
            <v>88460</v>
          </cell>
          <cell r="D1243">
            <v>1.6</v>
          </cell>
          <cell r="E1243">
            <v>44620</v>
          </cell>
          <cell r="F1243">
            <v>0.4</v>
          </cell>
          <cell r="G1243">
            <v>43260</v>
          </cell>
        </row>
        <row r="1244">
          <cell r="A1244" t="str">
            <v>51-7011</v>
          </cell>
          <cell r="B1244" t="str">
            <v>Cabinetmakers and Bench Carpenters</v>
          </cell>
          <cell r="C1244">
            <v>88460</v>
          </cell>
          <cell r="D1244">
            <v>1.6</v>
          </cell>
          <cell r="E1244">
            <v>44620</v>
          </cell>
          <cell r="F1244">
            <v>0.4</v>
          </cell>
          <cell r="G1244">
            <v>43260</v>
          </cell>
        </row>
        <row r="1245">
          <cell r="A1245" t="str">
            <v>51-7020</v>
          </cell>
          <cell r="B1245" t="str">
            <v>Furniture Finishers</v>
          </cell>
          <cell r="C1245">
            <v>14380</v>
          </cell>
          <cell r="D1245">
            <v>2.6</v>
          </cell>
          <cell r="E1245">
            <v>42490</v>
          </cell>
          <cell r="F1245">
            <v>0.6</v>
          </cell>
          <cell r="G1245">
            <v>39790</v>
          </cell>
        </row>
        <row r="1246">
          <cell r="A1246" t="str">
            <v>51-7021</v>
          </cell>
          <cell r="B1246" t="str">
            <v>Furniture Finishers</v>
          </cell>
          <cell r="C1246">
            <v>14380</v>
          </cell>
          <cell r="D1246">
            <v>2.6</v>
          </cell>
          <cell r="E1246">
            <v>42490</v>
          </cell>
          <cell r="F1246">
            <v>0.6</v>
          </cell>
          <cell r="G1246">
            <v>39790</v>
          </cell>
        </row>
        <row r="1247">
          <cell r="A1247" t="str">
            <v>51-7030</v>
          </cell>
          <cell r="B1247" t="str">
            <v>Model Makers and Patternmakers, Wood</v>
          </cell>
          <cell r="C1247">
            <v>850</v>
          </cell>
          <cell r="D1247">
            <v>11.7</v>
          </cell>
          <cell r="E1247">
            <v>52460</v>
          </cell>
          <cell r="F1247">
            <v>2.8</v>
          </cell>
          <cell r="G1247">
            <v>48290</v>
          </cell>
        </row>
        <row r="1248">
          <cell r="A1248" t="str">
            <v>51-7031</v>
          </cell>
          <cell r="B1248" t="str">
            <v>Model Makers, Wood</v>
          </cell>
          <cell r="C1248">
            <v>590</v>
          </cell>
          <cell r="D1248">
            <v>14.1</v>
          </cell>
          <cell r="E1248">
            <v>52510</v>
          </cell>
          <cell r="F1248">
            <v>3.7</v>
          </cell>
          <cell r="G1248">
            <v>45040</v>
          </cell>
        </row>
        <row r="1249">
          <cell r="A1249" t="str">
            <v>51-7032</v>
          </cell>
          <cell r="B1249" t="str">
            <v>Patternmakers, Wood</v>
          </cell>
          <cell r="C1249">
            <v>260</v>
          </cell>
          <cell r="D1249">
            <v>19.8</v>
          </cell>
          <cell r="E1249">
            <v>52330</v>
          </cell>
          <cell r="F1249">
            <v>4</v>
          </cell>
          <cell r="G1249">
            <v>48630</v>
          </cell>
        </row>
        <row r="1250">
          <cell r="A1250" t="str">
            <v>51-7040</v>
          </cell>
          <cell r="B1250" t="str">
            <v>Woodworking Machine Setters, Operators, and Tenders</v>
          </cell>
          <cell r="C1250">
            <v>104820</v>
          </cell>
          <cell r="D1250">
            <v>1.2</v>
          </cell>
          <cell r="E1250">
            <v>40260</v>
          </cell>
          <cell r="F1250">
            <v>0.3</v>
          </cell>
          <cell r="G1250">
            <v>38140</v>
          </cell>
        </row>
        <row r="1251">
          <cell r="A1251" t="str">
            <v>51-7041</v>
          </cell>
          <cell r="B1251" t="str">
            <v>Sawing Machine Setters, Operators, and Tenders, Wood</v>
          </cell>
          <cell r="C1251">
            <v>43570</v>
          </cell>
          <cell r="D1251">
            <v>1.7</v>
          </cell>
          <cell r="E1251">
            <v>40120</v>
          </cell>
          <cell r="F1251">
            <v>0.5</v>
          </cell>
          <cell r="G1251">
            <v>38000</v>
          </cell>
        </row>
        <row r="1252">
          <cell r="A1252" t="str">
            <v>51-7042</v>
          </cell>
          <cell r="B1252" t="str">
            <v>Woodworking Machine Setters, Operators, and Tenders, Except Sawing</v>
          </cell>
          <cell r="C1252">
            <v>61250</v>
          </cell>
          <cell r="D1252">
            <v>1.7</v>
          </cell>
          <cell r="E1252">
            <v>40360</v>
          </cell>
          <cell r="F1252">
            <v>0.3</v>
          </cell>
          <cell r="G1252">
            <v>38260</v>
          </cell>
        </row>
        <row r="1253">
          <cell r="A1253" t="str">
            <v>51-7090</v>
          </cell>
          <cell r="B1253" t="str">
            <v>Miscellaneous Woodworkers</v>
          </cell>
          <cell r="C1253">
            <v>7830</v>
          </cell>
          <cell r="D1253">
            <v>4.9000000000000004</v>
          </cell>
          <cell r="E1253">
            <v>39520</v>
          </cell>
          <cell r="F1253">
            <v>1</v>
          </cell>
          <cell r="G1253">
            <v>37760</v>
          </cell>
        </row>
        <row r="1254">
          <cell r="A1254" t="str">
            <v>51-7099</v>
          </cell>
          <cell r="B1254" t="str">
            <v>Woodworkers, All Other</v>
          </cell>
          <cell r="C1254">
            <v>7830</v>
          </cell>
          <cell r="D1254">
            <v>4.9000000000000004</v>
          </cell>
          <cell r="E1254">
            <v>39520</v>
          </cell>
          <cell r="F1254">
            <v>1</v>
          </cell>
          <cell r="G1254">
            <v>37760</v>
          </cell>
        </row>
        <row r="1255">
          <cell r="A1255" t="str">
            <v>51-8000</v>
          </cell>
          <cell r="B1255" t="str">
            <v>Plant and System Operators</v>
          </cell>
          <cell r="C1255">
            <v>283480</v>
          </cell>
          <cell r="D1255">
            <v>1.1000000000000001</v>
          </cell>
          <cell r="E1255">
            <v>72810</v>
          </cell>
          <cell r="F1255">
            <v>0.3</v>
          </cell>
          <cell r="G1255">
            <v>67100</v>
          </cell>
        </row>
        <row r="1256">
          <cell r="A1256" t="str">
            <v>51-8010</v>
          </cell>
          <cell r="B1256" t="str">
            <v>Power Plant Operators, Distributors, and Dispatchers</v>
          </cell>
          <cell r="C1256">
            <v>46300</v>
          </cell>
          <cell r="D1256">
            <v>1.3</v>
          </cell>
          <cell r="E1256">
            <v>98190</v>
          </cell>
          <cell r="F1256">
            <v>0.4</v>
          </cell>
          <cell r="G1256">
            <v>100890</v>
          </cell>
        </row>
        <row r="1257">
          <cell r="A1257" t="str">
            <v>51-8011</v>
          </cell>
          <cell r="B1257" t="str">
            <v>Nuclear Power Reactor Operators</v>
          </cell>
          <cell r="C1257">
            <v>5760</v>
          </cell>
          <cell r="D1257">
            <v>1.4</v>
          </cell>
          <cell r="E1257">
            <v>121240</v>
          </cell>
          <cell r="F1257">
            <v>0.4</v>
          </cell>
          <cell r="G1257">
            <v>120350</v>
          </cell>
        </row>
        <row r="1258">
          <cell r="A1258" t="str">
            <v>51-8012</v>
          </cell>
          <cell r="B1258" t="str">
            <v>Power Distributors and Dispatchers</v>
          </cell>
          <cell r="C1258">
            <v>9040</v>
          </cell>
          <cell r="D1258">
            <v>2.5</v>
          </cell>
          <cell r="E1258">
            <v>105460</v>
          </cell>
          <cell r="F1258">
            <v>0.5</v>
          </cell>
          <cell r="G1258">
            <v>104750</v>
          </cell>
        </row>
        <row r="1259">
          <cell r="A1259" t="str">
            <v>51-8013</v>
          </cell>
          <cell r="B1259" t="str">
            <v>Power Plant Operators</v>
          </cell>
          <cell r="C1259">
            <v>31490</v>
          </cell>
          <cell r="D1259">
            <v>1.9</v>
          </cell>
          <cell r="E1259">
            <v>91880</v>
          </cell>
          <cell r="F1259">
            <v>0.5</v>
          </cell>
          <cell r="G1259">
            <v>97010</v>
          </cell>
        </row>
        <row r="1260">
          <cell r="A1260" t="str">
            <v>51-8020</v>
          </cell>
          <cell r="B1260" t="str">
            <v>Stationary Engineers and Boiler Operators</v>
          </cell>
          <cell r="C1260">
            <v>33840</v>
          </cell>
          <cell r="D1260">
            <v>2.2999999999999998</v>
          </cell>
          <cell r="E1260">
            <v>73170</v>
          </cell>
          <cell r="F1260">
            <v>0.8</v>
          </cell>
          <cell r="G1260">
            <v>67640</v>
          </cell>
        </row>
        <row r="1261">
          <cell r="A1261" t="str">
            <v>51-8021</v>
          </cell>
          <cell r="B1261" t="str">
            <v>Stationary Engineers and Boiler Operators</v>
          </cell>
          <cell r="C1261">
            <v>33840</v>
          </cell>
          <cell r="D1261">
            <v>2.2999999999999998</v>
          </cell>
          <cell r="E1261">
            <v>73170</v>
          </cell>
          <cell r="F1261">
            <v>0.8</v>
          </cell>
          <cell r="G1261">
            <v>67640</v>
          </cell>
        </row>
        <row r="1262">
          <cell r="A1262" t="str">
            <v>51-8030</v>
          </cell>
          <cell r="B1262" t="str">
            <v>Water and Wastewater Treatment Plant and System Operators</v>
          </cell>
          <cell r="C1262">
            <v>120710</v>
          </cell>
          <cell r="D1262">
            <v>0.9</v>
          </cell>
          <cell r="E1262">
            <v>58050</v>
          </cell>
          <cell r="F1262">
            <v>0.3</v>
          </cell>
          <cell r="G1262">
            <v>54890</v>
          </cell>
        </row>
        <row r="1263">
          <cell r="A1263" t="str">
            <v>51-8031</v>
          </cell>
          <cell r="B1263" t="str">
            <v>Water and Wastewater Treatment Plant and System Operators</v>
          </cell>
          <cell r="C1263">
            <v>120710</v>
          </cell>
          <cell r="D1263">
            <v>0.9</v>
          </cell>
          <cell r="E1263">
            <v>58050</v>
          </cell>
          <cell r="F1263">
            <v>0.3</v>
          </cell>
          <cell r="G1263">
            <v>54890</v>
          </cell>
        </row>
        <row r="1264">
          <cell r="A1264" t="str">
            <v>51-8090</v>
          </cell>
          <cell r="B1264" t="str">
            <v>Miscellaneous Plant and System Operators</v>
          </cell>
          <cell r="C1264">
            <v>82630</v>
          </cell>
          <cell r="D1264">
            <v>2.4</v>
          </cell>
          <cell r="E1264">
            <v>80000</v>
          </cell>
          <cell r="F1264">
            <v>0.6</v>
          </cell>
          <cell r="G1264">
            <v>80710</v>
          </cell>
        </row>
        <row r="1265">
          <cell r="A1265" t="str">
            <v>51-8091</v>
          </cell>
          <cell r="B1265" t="str">
            <v>Chemical Plant and System Operators</v>
          </cell>
          <cell r="C1265">
            <v>17980</v>
          </cell>
          <cell r="D1265">
            <v>4</v>
          </cell>
          <cell r="E1265">
            <v>79450</v>
          </cell>
          <cell r="F1265">
            <v>1.1000000000000001</v>
          </cell>
          <cell r="G1265">
            <v>80030</v>
          </cell>
        </row>
        <row r="1266">
          <cell r="A1266" t="str">
            <v>51-8092</v>
          </cell>
          <cell r="B1266" t="str">
            <v>Gas Plant Operators</v>
          </cell>
          <cell r="C1266">
            <v>15930</v>
          </cell>
          <cell r="D1266">
            <v>4.3</v>
          </cell>
          <cell r="E1266">
            <v>83020</v>
          </cell>
          <cell r="F1266">
            <v>0.9</v>
          </cell>
          <cell r="G1266">
            <v>82560</v>
          </cell>
        </row>
        <row r="1267">
          <cell r="A1267" t="str">
            <v>51-8093</v>
          </cell>
          <cell r="B1267" t="str">
            <v>Petroleum Pump System Operators, Refinery Operators, and Gaugers</v>
          </cell>
          <cell r="C1267">
            <v>33360</v>
          </cell>
          <cell r="D1267">
            <v>3.3</v>
          </cell>
          <cell r="E1267">
            <v>88120</v>
          </cell>
          <cell r="F1267">
            <v>0.8</v>
          </cell>
          <cell r="G1267">
            <v>94580</v>
          </cell>
        </row>
        <row r="1268">
          <cell r="A1268" t="str">
            <v>51-8099</v>
          </cell>
          <cell r="B1268" t="str">
            <v>Plant and System Operators, All Other</v>
          </cell>
          <cell r="C1268">
            <v>15370</v>
          </cell>
          <cell r="D1268">
            <v>5.3</v>
          </cell>
          <cell r="E1268">
            <v>59890</v>
          </cell>
          <cell r="F1268">
            <v>1.5</v>
          </cell>
          <cell r="G1268">
            <v>56940</v>
          </cell>
        </row>
        <row r="1269">
          <cell r="A1269" t="str">
            <v>51-9000</v>
          </cell>
          <cell r="B1269" t="str">
            <v>Other Production Occupations</v>
          </cell>
          <cell r="C1269">
            <v>2532530</v>
          </cell>
          <cell r="D1269">
            <v>0.3</v>
          </cell>
          <cell r="E1269">
            <v>46710</v>
          </cell>
          <cell r="F1269">
            <v>0.2</v>
          </cell>
          <cell r="G1269">
            <v>43880</v>
          </cell>
        </row>
        <row r="1270">
          <cell r="A1270" t="str">
            <v>51-9010</v>
          </cell>
          <cell r="B1270" t="str">
            <v>Chemical Processing Machine Setters, Operators, and Tenders</v>
          </cell>
          <cell r="C1270">
            <v>173420</v>
          </cell>
          <cell r="D1270">
            <v>1.6</v>
          </cell>
          <cell r="E1270">
            <v>55700</v>
          </cell>
          <cell r="F1270">
            <v>0.4</v>
          </cell>
          <cell r="G1270">
            <v>50300</v>
          </cell>
        </row>
        <row r="1271">
          <cell r="A1271" t="str">
            <v>51-9011</v>
          </cell>
          <cell r="B1271" t="str">
            <v>Chemical Equipment Operators and Tenders</v>
          </cell>
          <cell r="C1271">
            <v>120260</v>
          </cell>
          <cell r="D1271">
            <v>1.5</v>
          </cell>
          <cell r="E1271">
            <v>57350</v>
          </cell>
          <cell r="F1271">
            <v>0.5</v>
          </cell>
          <cell r="G1271">
            <v>51720</v>
          </cell>
        </row>
        <row r="1272">
          <cell r="A1272" t="str">
            <v>51-9012</v>
          </cell>
          <cell r="B1272" t="str">
            <v>Separating, Filtering, Clarifying, Precipitating, and Still Machine Setters, Operators, and Tenders</v>
          </cell>
          <cell r="C1272">
            <v>53170</v>
          </cell>
          <cell r="D1272">
            <v>2.6</v>
          </cell>
          <cell r="E1272">
            <v>51960</v>
          </cell>
          <cell r="F1272">
            <v>0.6</v>
          </cell>
          <cell r="G1272">
            <v>48120</v>
          </cell>
        </row>
        <row r="1273">
          <cell r="A1273" t="str">
            <v>51-9020</v>
          </cell>
          <cell r="B1273" t="str">
            <v>Crushing, Grinding, Polishing, Mixing, and Blending Workers</v>
          </cell>
          <cell r="C1273">
            <v>144230</v>
          </cell>
          <cell r="D1273">
            <v>1.2</v>
          </cell>
          <cell r="E1273">
            <v>47120</v>
          </cell>
          <cell r="F1273">
            <v>0.3</v>
          </cell>
          <cell r="G1273">
            <v>45460</v>
          </cell>
        </row>
        <row r="1274">
          <cell r="A1274" t="str">
            <v>51-9021</v>
          </cell>
          <cell r="B1274" t="str">
            <v>Crushing, Grinding, and Polishing Machine Setters, Operators, and Tenders</v>
          </cell>
          <cell r="C1274">
            <v>26210</v>
          </cell>
          <cell r="D1274">
            <v>2.2999999999999998</v>
          </cell>
          <cell r="E1274">
            <v>46390</v>
          </cell>
          <cell r="F1274">
            <v>0.7</v>
          </cell>
          <cell r="G1274">
            <v>44510</v>
          </cell>
        </row>
        <row r="1275">
          <cell r="A1275" t="str">
            <v>51-9022</v>
          </cell>
          <cell r="B1275" t="str">
            <v>Grinding and Polishing Workers, Hand</v>
          </cell>
          <cell r="C1275">
            <v>12290</v>
          </cell>
          <cell r="D1275">
            <v>4.4000000000000004</v>
          </cell>
          <cell r="E1275">
            <v>41490</v>
          </cell>
          <cell r="F1275">
            <v>1.1000000000000001</v>
          </cell>
          <cell r="G1275">
            <v>38940</v>
          </cell>
        </row>
        <row r="1276">
          <cell r="A1276" t="str">
            <v>51-9023</v>
          </cell>
          <cell r="B1276" t="str">
            <v>Mixing and Blending Machine Setters, Operators, and Tenders</v>
          </cell>
          <cell r="C1276">
            <v>105740</v>
          </cell>
          <cell r="D1276">
            <v>1.4</v>
          </cell>
          <cell r="E1276">
            <v>47950</v>
          </cell>
          <cell r="F1276">
            <v>0.3</v>
          </cell>
          <cell r="G1276">
            <v>46100</v>
          </cell>
        </row>
        <row r="1277">
          <cell r="A1277" t="str">
            <v>51-9030</v>
          </cell>
          <cell r="B1277" t="str">
            <v>Cutting Workers</v>
          </cell>
          <cell r="C1277">
            <v>59950</v>
          </cell>
          <cell r="D1277">
            <v>1.6</v>
          </cell>
          <cell r="E1277">
            <v>44050</v>
          </cell>
          <cell r="F1277">
            <v>0.5</v>
          </cell>
          <cell r="G1277">
            <v>43300</v>
          </cell>
        </row>
        <row r="1278">
          <cell r="A1278" t="str">
            <v>51-9031</v>
          </cell>
          <cell r="B1278" t="str">
            <v>Cutters and Trimmers, Hand</v>
          </cell>
          <cell r="C1278">
            <v>7220</v>
          </cell>
          <cell r="D1278">
            <v>4.2</v>
          </cell>
          <cell r="E1278">
            <v>39260</v>
          </cell>
          <cell r="F1278">
            <v>0.8</v>
          </cell>
          <cell r="G1278">
            <v>37040</v>
          </cell>
        </row>
        <row r="1279">
          <cell r="A1279" t="str">
            <v>51-9032</v>
          </cell>
          <cell r="B1279" t="str">
            <v>Cutting and Slicing Machine Setters, Operators, and Tenders</v>
          </cell>
          <cell r="C1279">
            <v>52720</v>
          </cell>
          <cell r="D1279">
            <v>1.8</v>
          </cell>
          <cell r="E1279">
            <v>44700</v>
          </cell>
          <cell r="F1279">
            <v>0.6</v>
          </cell>
          <cell r="G1279">
            <v>44310</v>
          </cell>
        </row>
        <row r="1280">
          <cell r="A1280" t="str">
            <v>51-9040</v>
          </cell>
          <cell r="B1280" t="str">
            <v>Extruding, Forming, Pressing, and Compacting Machine Setters, Operators, and Tenders</v>
          </cell>
          <cell r="C1280">
            <v>57080</v>
          </cell>
          <cell r="D1280">
            <v>1.8</v>
          </cell>
          <cell r="E1280">
            <v>44610</v>
          </cell>
          <cell r="F1280">
            <v>0.4</v>
          </cell>
          <cell r="G1280">
            <v>42670</v>
          </cell>
        </row>
        <row r="1281">
          <cell r="A1281" t="str">
            <v>51-9041</v>
          </cell>
          <cell r="B1281" t="str">
            <v>Extruding, Forming, Pressing, and Compacting Machine Setters, Operators, and Tenders</v>
          </cell>
          <cell r="C1281">
            <v>57080</v>
          </cell>
          <cell r="D1281">
            <v>1.8</v>
          </cell>
          <cell r="E1281">
            <v>44610</v>
          </cell>
          <cell r="F1281">
            <v>0.4</v>
          </cell>
          <cell r="G1281">
            <v>42670</v>
          </cell>
        </row>
        <row r="1282">
          <cell r="A1282" t="str">
            <v>51-9050</v>
          </cell>
          <cell r="B1282" t="str">
            <v>Furnace, Kiln, Oven, Drier, and Kettle Operators and Tenders</v>
          </cell>
          <cell r="C1282">
            <v>14820</v>
          </cell>
          <cell r="D1282">
            <v>3.1</v>
          </cell>
          <cell r="E1282">
            <v>47540</v>
          </cell>
          <cell r="F1282">
            <v>0.7</v>
          </cell>
          <cell r="G1282">
            <v>45640</v>
          </cell>
        </row>
        <row r="1283">
          <cell r="A1283" t="str">
            <v>51-9051</v>
          </cell>
          <cell r="B1283" t="str">
            <v>Furnace, Kiln, Oven, Drier, and Kettle Operators and Tenders</v>
          </cell>
          <cell r="C1283">
            <v>14820</v>
          </cell>
          <cell r="D1283">
            <v>3.1</v>
          </cell>
          <cell r="E1283">
            <v>47540</v>
          </cell>
          <cell r="F1283">
            <v>0.7</v>
          </cell>
          <cell r="G1283">
            <v>45640</v>
          </cell>
        </row>
        <row r="1284">
          <cell r="A1284" t="str">
            <v>51-9060</v>
          </cell>
          <cell r="B1284" t="str">
            <v>Inspectors, Testers, Sorters, Samplers, and Weighers</v>
          </cell>
          <cell r="C1284">
            <v>584630</v>
          </cell>
          <cell r="D1284">
            <v>1</v>
          </cell>
          <cell r="E1284">
            <v>49260</v>
          </cell>
          <cell r="F1284">
            <v>0.3</v>
          </cell>
          <cell r="G1284">
            <v>45850</v>
          </cell>
        </row>
        <row r="1285">
          <cell r="A1285" t="str">
            <v>51-9061</v>
          </cell>
          <cell r="B1285" t="str">
            <v>Inspectors, Testers, Sorters, Samplers, and Weighers</v>
          </cell>
          <cell r="C1285">
            <v>584630</v>
          </cell>
          <cell r="D1285">
            <v>1</v>
          </cell>
          <cell r="E1285">
            <v>49260</v>
          </cell>
          <cell r="F1285">
            <v>0.3</v>
          </cell>
          <cell r="G1285">
            <v>45850</v>
          </cell>
        </row>
        <row r="1286">
          <cell r="A1286" t="str">
            <v>51-9070</v>
          </cell>
          <cell r="B1286" t="str">
            <v>Jewelers and Precious Stone and Metal Workers</v>
          </cell>
          <cell r="C1286">
            <v>24060</v>
          </cell>
          <cell r="D1286">
            <v>4.0999999999999996</v>
          </cell>
          <cell r="E1286">
            <v>52000</v>
          </cell>
          <cell r="F1286">
            <v>1.1000000000000001</v>
          </cell>
          <cell r="G1286">
            <v>47450</v>
          </cell>
        </row>
        <row r="1287">
          <cell r="A1287" t="str">
            <v>51-9071</v>
          </cell>
          <cell r="B1287" t="str">
            <v>Jewelers and Precious Stone and Metal Workers</v>
          </cell>
          <cell r="C1287">
            <v>24060</v>
          </cell>
          <cell r="D1287">
            <v>4.0999999999999996</v>
          </cell>
          <cell r="E1287">
            <v>52000</v>
          </cell>
          <cell r="F1287">
            <v>1.1000000000000001</v>
          </cell>
          <cell r="G1287">
            <v>47450</v>
          </cell>
        </row>
        <row r="1288">
          <cell r="A1288" t="str">
            <v>51-9080</v>
          </cell>
          <cell r="B1288" t="str">
            <v>Dental and Ophthalmic Laboratory Technicians and Medical Appliance Technicians</v>
          </cell>
          <cell r="C1288">
            <v>64970</v>
          </cell>
          <cell r="D1288">
            <v>1.9</v>
          </cell>
          <cell r="E1288">
            <v>48590</v>
          </cell>
          <cell r="F1288">
            <v>0.6</v>
          </cell>
          <cell r="G1288">
            <v>44640</v>
          </cell>
        </row>
        <row r="1289">
          <cell r="A1289" t="str">
            <v>51-9081</v>
          </cell>
          <cell r="B1289" t="str">
            <v>Dental Laboratory Technicians</v>
          </cell>
          <cell r="C1289">
            <v>34190</v>
          </cell>
          <cell r="D1289">
            <v>2</v>
          </cell>
          <cell r="E1289">
            <v>52390</v>
          </cell>
          <cell r="F1289">
            <v>0.6</v>
          </cell>
          <cell r="G1289">
            <v>47690</v>
          </cell>
        </row>
        <row r="1290">
          <cell r="A1290" t="str">
            <v>51-9082</v>
          </cell>
          <cell r="B1290" t="str">
            <v>Medical Appliance Technicians</v>
          </cell>
          <cell r="C1290">
            <v>12550</v>
          </cell>
          <cell r="D1290">
            <v>5.9</v>
          </cell>
          <cell r="E1290">
            <v>48860</v>
          </cell>
          <cell r="F1290">
            <v>1.2</v>
          </cell>
          <cell r="G1290">
            <v>44960</v>
          </cell>
        </row>
        <row r="1291">
          <cell r="A1291" t="str">
            <v>51-9083</v>
          </cell>
          <cell r="B1291" t="str">
            <v>Ophthalmic Laboratory Technicians</v>
          </cell>
          <cell r="C1291">
            <v>18240</v>
          </cell>
          <cell r="D1291">
            <v>5.4</v>
          </cell>
          <cell r="E1291">
            <v>41280</v>
          </cell>
          <cell r="F1291">
            <v>1.2</v>
          </cell>
          <cell r="G1291">
            <v>37720</v>
          </cell>
        </row>
        <row r="1292">
          <cell r="A1292" t="str">
            <v>51-9110</v>
          </cell>
          <cell r="B1292" t="str">
            <v>Packaging and Filling Machine Operators and Tenders</v>
          </cell>
          <cell r="C1292">
            <v>371600</v>
          </cell>
          <cell r="D1292">
            <v>0.8</v>
          </cell>
          <cell r="E1292">
            <v>41200</v>
          </cell>
          <cell r="F1292">
            <v>0.3</v>
          </cell>
          <cell r="G1292">
            <v>38330</v>
          </cell>
        </row>
        <row r="1293">
          <cell r="A1293" t="str">
            <v>51-9111</v>
          </cell>
          <cell r="B1293" t="str">
            <v>Packaging and Filling Machine Operators and Tenders</v>
          </cell>
          <cell r="C1293">
            <v>371600</v>
          </cell>
          <cell r="D1293">
            <v>0.8</v>
          </cell>
          <cell r="E1293">
            <v>41200</v>
          </cell>
          <cell r="F1293">
            <v>0.3</v>
          </cell>
          <cell r="G1293">
            <v>38330</v>
          </cell>
        </row>
        <row r="1294">
          <cell r="A1294" t="str">
            <v>51-9120</v>
          </cell>
          <cell r="B1294" t="str">
            <v>Painting Workers</v>
          </cell>
          <cell r="C1294">
            <v>166570</v>
          </cell>
          <cell r="D1294">
            <v>1.5</v>
          </cell>
          <cell r="E1294">
            <v>48200</v>
          </cell>
          <cell r="F1294">
            <v>0.3</v>
          </cell>
          <cell r="G1294">
            <v>45340</v>
          </cell>
        </row>
        <row r="1295">
          <cell r="A1295" t="str">
            <v>51-9123</v>
          </cell>
          <cell r="B1295" t="str">
            <v>Painting, Coating, and Decorating Workers</v>
          </cell>
          <cell r="C1295">
            <v>10700</v>
          </cell>
          <cell r="D1295">
            <v>3.7</v>
          </cell>
          <cell r="E1295">
            <v>44050</v>
          </cell>
          <cell r="F1295">
            <v>1.4</v>
          </cell>
          <cell r="G1295">
            <v>40230</v>
          </cell>
        </row>
        <row r="1296">
          <cell r="A1296" t="str">
            <v>51-9124</v>
          </cell>
          <cell r="B1296" t="str">
            <v>Coating, Painting, and Spraying Machine Setters, Operators, and Tenders</v>
          </cell>
          <cell r="C1296">
            <v>155880</v>
          </cell>
          <cell r="D1296">
            <v>1.5</v>
          </cell>
          <cell r="E1296">
            <v>48480</v>
          </cell>
          <cell r="F1296">
            <v>0.3</v>
          </cell>
          <cell r="G1296">
            <v>45560</v>
          </cell>
        </row>
        <row r="1297">
          <cell r="A1297" t="str">
            <v>51-9140</v>
          </cell>
          <cell r="B1297" t="str">
            <v>Semiconductor Processing Technicians</v>
          </cell>
          <cell r="C1297">
            <v>26450</v>
          </cell>
          <cell r="D1297">
            <v>2.7</v>
          </cell>
          <cell r="E1297">
            <v>48970</v>
          </cell>
          <cell r="F1297">
            <v>0.3</v>
          </cell>
          <cell r="G1297">
            <v>45850</v>
          </cell>
        </row>
        <row r="1298">
          <cell r="A1298" t="str">
            <v>51-9141</v>
          </cell>
          <cell r="B1298" t="str">
            <v>Semiconductor Processing Technicians</v>
          </cell>
          <cell r="C1298">
            <v>26450</v>
          </cell>
          <cell r="D1298">
            <v>2.7</v>
          </cell>
          <cell r="E1298">
            <v>48970</v>
          </cell>
          <cell r="F1298">
            <v>0.3</v>
          </cell>
          <cell r="G1298">
            <v>45850</v>
          </cell>
        </row>
        <row r="1299">
          <cell r="A1299" t="str">
            <v>51-9150</v>
          </cell>
          <cell r="B1299" t="str">
            <v>Photographic Process Workers and Processing Machine Operators</v>
          </cell>
          <cell r="C1299">
            <v>5770</v>
          </cell>
          <cell r="D1299">
            <v>9.4</v>
          </cell>
          <cell r="E1299">
            <v>41900</v>
          </cell>
          <cell r="F1299">
            <v>2.6</v>
          </cell>
          <cell r="G1299">
            <v>35620</v>
          </cell>
        </row>
        <row r="1300">
          <cell r="A1300" t="str">
            <v>51-9151</v>
          </cell>
          <cell r="B1300" t="str">
            <v>Photographic Process Workers and Processing Machine Operators</v>
          </cell>
          <cell r="C1300">
            <v>5770</v>
          </cell>
          <cell r="D1300">
            <v>9.4</v>
          </cell>
          <cell r="E1300">
            <v>41900</v>
          </cell>
          <cell r="F1300">
            <v>2.6</v>
          </cell>
          <cell r="G1300">
            <v>35620</v>
          </cell>
        </row>
        <row r="1301">
          <cell r="A1301" t="str">
            <v>51-9160</v>
          </cell>
          <cell r="B1301" t="str">
            <v>Computer Numerically Controlled Tool Operators and Programmers</v>
          </cell>
          <cell r="C1301">
            <v>215710</v>
          </cell>
          <cell r="D1301">
            <v>1.4</v>
          </cell>
          <cell r="E1301">
            <v>53200</v>
          </cell>
          <cell r="F1301">
            <v>0.3</v>
          </cell>
          <cell r="G1301">
            <v>49690</v>
          </cell>
        </row>
        <row r="1302">
          <cell r="A1302" t="str">
            <v>51-9161</v>
          </cell>
          <cell r="B1302" t="str">
            <v>Computer Numerically Controlled Tool Operators</v>
          </cell>
          <cell r="C1302">
            <v>187670</v>
          </cell>
          <cell r="D1302">
            <v>1.5</v>
          </cell>
          <cell r="E1302">
            <v>51030</v>
          </cell>
          <cell r="F1302">
            <v>0.3</v>
          </cell>
          <cell r="G1302">
            <v>48550</v>
          </cell>
        </row>
        <row r="1303">
          <cell r="A1303" t="str">
            <v>51-9162</v>
          </cell>
          <cell r="B1303" t="str">
            <v>Computer Numerically Controlled Tool Programmers</v>
          </cell>
          <cell r="C1303">
            <v>28030</v>
          </cell>
          <cell r="D1303">
            <v>1.9</v>
          </cell>
          <cell r="E1303">
            <v>67650</v>
          </cell>
          <cell r="F1303">
            <v>0.6</v>
          </cell>
          <cell r="G1303">
            <v>63440</v>
          </cell>
        </row>
        <row r="1304">
          <cell r="A1304" t="str">
            <v>51-9190</v>
          </cell>
          <cell r="B1304" t="str">
            <v>Miscellaneous Production Workers</v>
          </cell>
          <cell r="C1304">
            <v>623280</v>
          </cell>
          <cell r="D1304">
            <v>0.6</v>
          </cell>
          <cell r="E1304">
            <v>42360</v>
          </cell>
          <cell r="F1304">
            <v>0.3</v>
          </cell>
          <cell r="G1304">
            <v>38750</v>
          </cell>
        </row>
        <row r="1305">
          <cell r="A1305" t="str">
            <v>51-9191</v>
          </cell>
          <cell r="B1305" t="str">
            <v>Adhesive Bonding Machine Operators and Tenders</v>
          </cell>
          <cell r="C1305">
            <v>12510</v>
          </cell>
          <cell r="D1305">
            <v>3.3</v>
          </cell>
          <cell r="E1305">
            <v>44400</v>
          </cell>
          <cell r="F1305">
            <v>0.7</v>
          </cell>
          <cell r="G1305">
            <v>43540</v>
          </cell>
        </row>
        <row r="1306">
          <cell r="A1306" t="str">
            <v>51-9192</v>
          </cell>
          <cell r="B1306" t="str">
            <v>Cleaning, Washing, and Metal Pickling Equipment Operators and Tenders</v>
          </cell>
          <cell r="C1306">
            <v>15210</v>
          </cell>
          <cell r="D1306">
            <v>2.7</v>
          </cell>
          <cell r="E1306">
            <v>41500</v>
          </cell>
          <cell r="F1306">
            <v>0.6</v>
          </cell>
          <cell r="G1306">
            <v>39340</v>
          </cell>
        </row>
        <row r="1307">
          <cell r="A1307" t="str">
            <v>51-9193</v>
          </cell>
          <cell r="B1307" t="str">
            <v>Cooling and Freezing Equipment Operators and Tenders</v>
          </cell>
          <cell r="C1307">
            <v>6500</v>
          </cell>
          <cell r="D1307">
            <v>2.2999999999999998</v>
          </cell>
          <cell r="E1307">
            <v>44840</v>
          </cell>
          <cell r="F1307">
            <v>0.8</v>
          </cell>
          <cell r="G1307">
            <v>42420</v>
          </cell>
        </row>
        <row r="1308">
          <cell r="A1308" t="str">
            <v>51-9194</v>
          </cell>
          <cell r="B1308" t="str">
            <v>Etchers and Engravers</v>
          </cell>
          <cell r="C1308">
            <v>8140</v>
          </cell>
          <cell r="D1308">
            <v>6.2</v>
          </cell>
          <cell r="E1308">
            <v>42780</v>
          </cell>
          <cell r="F1308">
            <v>2.1</v>
          </cell>
          <cell r="G1308">
            <v>40040</v>
          </cell>
        </row>
        <row r="1309">
          <cell r="A1309" t="str">
            <v>51-9195</v>
          </cell>
          <cell r="B1309" t="str">
            <v>Molders, Shapers, and Casters, Except Metal and Plastic</v>
          </cell>
          <cell r="C1309">
            <v>38480</v>
          </cell>
          <cell r="D1309">
            <v>2.2999999999999998</v>
          </cell>
          <cell r="E1309">
            <v>44710</v>
          </cell>
          <cell r="F1309">
            <v>0.6</v>
          </cell>
          <cell r="G1309">
            <v>43310</v>
          </cell>
        </row>
        <row r="1310">
          <cell r="A1310" t="str">
            <v>51-9196</v>
          </cell>
          <cell r="B1310" t="str">
            <v>Paper Goods Machine Setters, Operators, and Tenders</v>
          </cell>
          <cell r="C1310">
            <v>96460</v>
          </cell>
          <cell r="D1310">
            <v>1.1000000000000001</v>
          </cell>
          <cell r="E1310">
            <v>48910</v>
          </cell>
          <cell r="F1310">
            <v>0.3</v>
          </cell>
          <cell r="G1310">
            <v>47250</v>
          </cell>
        </row>
        <row r="1311">
          <cell r="A1311" t="str">
            <v>51-9197</v>
          </cell>
          <cell r="B1311" t="str">
            <v>Tire Builders</v>
          </cell>
          <cell r="C1311">
            <v>20660</v>
          </cell>
          <cell r="D1311">
            <v>1.5</v>
          </cell>
          <cell r="E1311">
            <v>53930</v>
          </cell>
          <cell r="F1311">
            <v>0.6</v>
          </cell>
          <cell r="G1311">
            <v>54080</v>
          </cell>
        </row>
        <row r="1312">
          <cell r="A1312" t="str">
            <v>51-9198</v>
          </cell>
          <cell r="B1312" t="str">
            <v>Helpers--Production Workers</v>
          </cell>
          <cell r="C1312">
            <v>181810</v>
          </cell>
          <cell r="D1312">
            <v>1</v>
          </cell>
          <cell r="E1312">
            <v>38160</v>
          </cell>
          <cell r="F1312">
            <v>0.4</v>
          </cell>
          <cell r="G1312">
            <v>36700</v>
          </cell>
        </row>
        <row r="1313">
          <cell r="A1313" t="str">
            <v>51-9199</v>
          </cell>
          <cell r="B1313" t="str">
            <v>Production Workers, All Other</v>
          </cell>
          <cell r="C1313">
            <v>243500</v>
          </cell>
          <cell r="D1313">
            <v>1.1000000000000001</v>
          </cell>
          <cell r="E1313">
            <v>41400</v>
          </cell>
          <cell r="F1313">
            <v>0.3</v>
          </cell>
          <cell r="G1313">
            <v>37430</v>
          </cell>
        </row>
        <row r="1314">
          <cell r="A1314" t="str">
            <v>53-0000</v>
          </cell>
          <cell r="B1314" t="str">
            <v>Transportation and Material Moving Occupations</v>
          </cell>
          <cell r="C1314">
            <v>13752760</v>
          </cell>
          <cell r="D1314">
            <v>0.1</v>
          </cell>
          <cell r="E1314">
            <v>46690</v>
          </cell>
          <cell r="F1314">
            <v>0.2</v>
          </cell>
          <cell r="G1314">
            <v>40050</v>
          </cell>
        </row>
        <row r="1315">
          <cell r="A1315" t="str">
            <v>53-1000</v>
          </cell>
          <cell r="B1315" t="str">
            <v>Supervisors of Transportation and Material Moving Workers</v>
          </cell>
          <cell r="C1315">
            <v>603350</v>
          </cell>
          <cell r="D1315">
            <v>0.6</v>
          </cell>
          <cell r="E1315">
            <v>63860</v>
          </cell>
          <cell r="F1315">
            <v>0.2</v>
          </cell>
          <cell r="G1315">
            <v>60500</v>
          </cell>
        </row>
        <row r="1316">
          <cell r="A1316" t="str">
            <v>53-1040</v>
          </cell>
          <cell r="B1316" t="str">
            <v>First-Line Supervisors of Transportation and Material Moving Workers</v>
          </cell>
          <cell r="C1316">
            <v>603350</v>
          </cell>
          <cell r="D1316">
            <v>0.6</v>
          </cell>
          <cell r="E1316">
            <v>63860</v>
          </cell>
          <cell r="F1316">
            <v>0.2</v>
          </cell>
          <cell r="G1316">
            <v>60500</v>
          </cell>
        </row>
        <row r="1317">
          <cell r="A1317" t="str">
            <v>53-1041</v>
          </cell>
          <cell r="B1317" t="str">
            <v>Aircraft Cargo Handling Supervisors</v>
          </cell>
          <cell r="C1317">
            <v>9020</v>
          </cell>
          <cell r="D1317">
            <v>2.9</v>
          </cell>
          <cell r="E1317">
            <v>64950</v>
          </cell>
          <cell r="F1317">
            <v>0.6</v>
          </cell>
          <cell r="G1317">
            <v>58920</v>
          </cell>
        </row>
        <row r="1318">
          <cell r="A1318" t="str">
            <v>53-1047</v>
          </cell>
          <cell r="B1318" t="str">
            <v>First-Line Supervisors of Transportation and Material Moving Workers, Except Aircraft Cargo Handling Supervisors</v>
          </cell>
          <cell r="C1318">
            <v>594330</v>
          </cell>
          <cell r="D1318">
            <v>0.6</v>
          </cell>
          <cell r="E1318">
            <v>63840</v>
          </cell>
          <cell r="F1318">
            <v>0.2</v>
          </cell>
          <cell r="G1318">
            <v>60510</v>
          </cell>
        </row>
        <row r="1319">
          <cell r="A1319" t="str">
            <v>53-2000</v>
          </cell>
          <cell r="B1319" t="str">
            <v>Air Transportation Workers</v>
          </cell>
          <cell r="C1319">
            <v>313070</v>
          </cell>
          <cell r="D1319">
            <v>0.9</v>
          </cell>
          <cell r="E1319">
            <v>140030</v>
          </cell>
          <cell r="F1319">
            <v>0.9</v>
          </cell>
          <cell r="G1319">
            <v>97320</v>
          </cell>
        </row>
        <row r="1320">
          <cell r="A1320" t="str">
            <v>53-2010</v>
          </cell>
          <cell r="B1320" t="str">
            <v>Aircraft Pilots and Flight Engineers</v>
          </cell>
          <cell r="C1320">
            <v>146420</v>
          </cell>
          <cell r="D1320">
            <v>1.1000000000000001</v>
          </cell>
          <cell r="E1320">
            <v>209680</v>
          </cell>
          <cell r="F1320">
            <v>1.3</v>
          </cell>
          <cell r="G1320">
            <v>171210</v>
          </cell>
        </row>
        <row r="1321">
          <cell r="A1321" t="str">
            <v>53-2011</v>
          </cell>
          <cell r="B1321" t="str">
            <v>Airline Pilots, Copilots, and Flight Engineers</v>
          </cell>
          <cell r="C1321">
            <v>93670</v>
          </cell>
          <cell r="D1321">
            <v>1.3</v>
          </cell>
          <cell r="E1321">
            <v>250050</v>
          </cell>
          <cell r="F1321">
            <v>1.6</v>
          </cell>
          <cell r="G1321">
            <v>219140</v>
          </cell>
        </row>
        <row r="1322">
          <cell r="A1322" t="str">
            <v>53-2012</v>
          </cell>
          <cell r="B1322" t="str">
            <v>Commercial Pilots</v>
          </cell>
          <cell r="C1322">
            <v>52750</v>
          </cell>
          <cell r="D1322">
            <v>2</v>
          </cell>
          <cell r="E1322">
            <v>138010</v>
          </cell>
          <cell r="F1322">
            <v>1.2</v>
          </cell>
          <cell r="G1322">
            <v>113080</v>
          </cell>
        </row>
        <row r="1323">
          <cell r="A1323" t="str">
            <v>53-2020</v>
          </cell>
          <cell r="B1323" t="str">
            <v>Air Traffic Controllers and Airfield Operations Specialists</v>
          </cell>
          <cell r="C1323">
            <v>40630</v>
          </cell>
          <cell r="D1323">
            <v>1.5</v>
          </cell>
          <cell r="E1323">
            <v>103140</v>
          </cell>
          <cell r="F1323">
            <v>0.8</v>
          </cell>
          <cell r="G1323">
            <v>91290</v>
          </cell>
        </row>
        <row r="1324">
          <cell r="A1324" t="str">
            <v>53-2021</v>
          </cell>
          <cell r="B1324" t="str">
            <v>Air Traffic Controllers</v>
          </cell>
          <cell r="C1324">
            <v>22310</v>
          </cell>
          <cell r="D1324">
            <v>0.7</v>
          </cell>
          <cell r="E1324">
            <v>136790</v>
          </cell>
          <cell r="F1324">
            <v>0.3</v>
          </cell>
          <cell r="G1324">
            <v>137380</v>
          </cell>
        </row>
        <row r="1325">
          <cell r="A1325" t="str">
            <v>53-2022</v>
          </cell>
          <cell r="B1325" t="str">
            <v>Airfield Operations Specialists</v>
          </cell>
          <cell r="C1325">
            <v>18320</v>
          </cell>
          <cell r="D1325">
            <v>3.2</v>
          </cell>
          <cell r="E1325">
            <v>62140</v>
          </cell>
          <cell r="F1325">
            <v>1.2</v>
          </cell>
          <cell r="G1325">
            <v>51140</v>
          </cell>
        </row>
        <row r="1326">
          <cell r="A1326" t="str">
            <v>53-2030</v>
          </cell>
          <cell r="B1326" t="str">
            <v>Flight Attendants</v>
          </cell>
          <cell r="C1326">
            <v>126020</v>
          </cell>
          <cell r="D1326">
            <v>1.1000000000000001</v>
          </cell>
          <cell r="E1326">
            <v>70980</v>
          </cell>
          <cell r="F1326">
            <v>0.4</v>
          </cell>
          <cell r="G1326">
            <v>68370</v>
          </cell>
        </row>
        <row r="1327">
          <cell r="A1327" t="str">
            <v>53-2031</v>
          </cell>
          <cell r="B1327" t="str">
            <v>Flight Attendants</v>
          </cell>
          <cell r="C1327">
            <v>126020</v>
          </cell>
          <cell r="D1327">
            <v>1.1000000000000001</v>
          </cell>
          <cell r="E1327">
            <v>70980</v>
          </cell>
          <cell r="F1327">
            <v>0.4</v>
          </cell>
          <cell r="G1327">
            <v>68370</v>
          </cell>
        </row>
        <row r="1328">
          <cell r="A1328" t="str">
            <v>53-3000</v>
          </cell>
          <cell r="B1328" t="str">
            <v>Motor Vehicle Operators</v>
          </cell>
          <cell r="C1328">
            <v>4353340</v>
          </cell>
          <cell r="D1328">
            <v>0.4</v>
          </cell>
          <cell r="E1328">
            <v>49830</v>
          </cell>
          <cell r="F1328">
            <v>0.2</v>
          </cell>
          <cell r="G1328">
            <v>47490</v>
          </cell>
        </row>
        <row r="1329">
          <cell r="A1329" t="str">
            <v>53-3010</v>
          </cell>
          <cell r="B1329" t="str">
            <v>Ambulance Drivers and Attendants, Except Emergency Medical Technicians</v>
          </cell>
          <cell r="C1329">
            <v>11520</v>
          </cell>
          <cell r="D1329">
            <v>3.2</v>
          </cell>
          <cell r="E1329">
            <v>34420</v>
          </cell>
          <cell r="F1329">
            <v>0.9</v>
          </cell>
          <cell r="G1329">
            <v>32580</v>
          </cell>
        </row>
        <row r="1330">
          <cell r="A1330" t="str">
            <v>53-3011</v>
          </cell>
          <cell r="B1330" t="str">
            <v>Ambulance Drivers and Attendants, Except Emergency Medical Technicians</v>
          </cell>
          <cell r="C1330">
            <v>11520</v>
          </cell>
          <cell r="D1330">
            <v>3.2</v>
          </cell>
          <cell r="E1330">
            <v>34420</v>
          </cell>
          <cell r="F1330">
            <v>0.9</v>
          </cell>
          <cell r="G1330">
            <v>32580</v>
          </cell>
        </row>
        <row r="1331">
          <cell r="A1331" t="str">
            <v>53-3030</v>
          </cell>
          <cell r="B1331" t="str">
            <v>Driver/Sales Workers and Truck Drivers</v>
          </cell>
          <cell r="C1331">
            <v>3511470</v>
          </cell>
          <cell r="D1331">
            <v>0.4</v>
          </cell>
          <cell r="E1331">
            <v>50810</v>
          </cell>
          <cell r="F1331">
            <v>0.2</v>
          </cell>
          <cell r="G1331">
            <v>48120</v>
          </cell>
        </row>
        <row r="1332">
          <cell r="A1332" t="str">
            <v>53-3031</v>
          </cell>
          <cell r="B1332" t="str">
            <v>Driver/Sales Workers</v>
          </cell>
          <cell r="C1332">
            <v>463120</v>
          </cell>
          <cell r="D1332">
            <v>2.4</v>
          </cell>
          <cell r="E1332">
            <v>38230</v>
          </cell>
          <cell r="F1332">
            <v>0.9</v>
          </cell>
          <cell r="G1332">
            <v>35420</v>
          </cell>
        </row>
        <row r="1333">
          <cell r="A1333" t="str">
            <v>53-3032</v>
          </cell>
          <cell r="B1333" t="str">
            <v>Heavy and Tractor-Trailer Truck Drivers</v>
          </cell>
          <cell r="C1333">
            <v>2044400</v>
          </cell>
          <cell r="D1333">
            <v>0.7</v>
          </cell>
          <cell r="E1333">
            <v>55990</v>
          </cell>
          <cell r="F1333">
            <v>0.3</v>
          </cell>
          <cell r="G1333">
            <v>54320</v>
          </cell>
        </row>
        <row r="1334">
          <cell r="A1334" t="str">
            <v>53-3033</v>
          </cell>
          <cell r="B1334" t="str">
            <v>Light Truck Drivers</v>
          </cell>
          <cell r="C1334">
            <v>1003960</v>
          </cell>
          <cell r="D1334">
            <v>0.5</v>
          </cell>
          <cell r="E1334">
            <v>46090</v>
          </cell>
          <cell r="F1334">
            <v>0.2</v>
          </cell>
          <cell r="G1334">
            <v>42470</v>
          </cell>
        </row>
        <row r="1335">
          <cell r="A1335" t="str">
            <v>53-3050</v>
          </cell>
          <cell r="B1335" t="str">
            <v>Passenger Vehicle Drivers</v>
          </cell>
          <cell r="C1335">
            <v>779210</v>
          </cell>
          <cell r="D1335">
            <v>0.6</v>
          </cell>
          <cell r="E1335">
            <v>46280</v>
          </cell>
          <cell r="F1335">
            <v>0.3</v>
          </cell>
          <cell r="G1335">
            <v>44080</v>
          </cell>
        </row>
        <row r="1336">
          <cell r="A1336" t="str">
            <v>53-3051</v>
          </cell>
          <cell r="B1336" t="str">
            <v>Bus Drivers, School</v>
          </cell>
          <cell r="C1336">
            <v>371530</v>
          </cell>
          <cell r="D1336">
            <v>0.9</v>
          </cell>
          <cell r="E1336">
            <v>45210</v>
          </cell>
          <cell r="F1336">
            <v>0.4</v>
          </cell>
          <cell r="G1336">
            <v>45660</v>
          </cell>
        </row>
        <row r="1337">
          <cell r="A1337" t="str">
            <v>53-3052</v>
          </cell>
          <cell r="B1337" t="str">
            <v>Bus Drivers, Transit and Intercity</v>
          </cell>
          <cell r="C1337">
            <v>184990</v>
          </cell>
          <cell r="D1337">
            <v>0.7</v>
          </cell>
          <cell r="E1337">
            <v>59860</v>
          </cell>
          <cell r="F1337">
            <v>0.4</v>
          </cell>
          <cell r="G1337">
            <v>60170</v>
          </cell>
        </row>
        <row r="1338">
          <cell r="A1338" t="str">
            <v>53-3053</v>
          </cell>
          <cell r="B1338" t="str">
            <v>Shuttle Drivers and Chauffeurs</v>
          </cell>
          <cell r="C1338">
            <v>204930</v>
          </cell>
          <cell r="D1338">
            <v>1.1000000000000001</v>
          </cell>
          <cell r="E1338">
            <v>36920</v>
          </cell>
          <cell r="F1338">
            <v>0.3</v>
          </cell>
          <cell r="G1338">
            <v>35240</v>
          </cell>
        </row>
        <row r="1339">
          <cell r="A1339" t="str">
            <v>53-3054</v>
          </cell>
          <cell r="B1339" t="str">
            <v>Taxi Drivers</v>
          </cell>
          <cell r="C1339">
            <v>17770</v>
          </cell>
          <cell r="D1339">
            <v>2.8</v>
          </cell>
          <cell r="E1339">
            <v>35120</v>
          </cell>
          <cell r="F1339">
            <v>1</v>
          </cell>
          <cell r="G1339">
            <v>34680</v>
          </cell>
        </row>
        <row r="1340">
          <cell r="A1340" t="str">
            <v>53-3090</v>
          </cell>
          <cell r="B1340" t="str">
            <v>Miscellaneous Motor Vehicle Operators</v>
          </cell>
          <cell r="C1340">
            <v>51140</v>
          </cell>
          <cell r="D1340">
            <v>3.5</v>
          </cell>
          <cell r="E1340">
            <v>39970</v>
          </cell>
          <cell r="F1340">
            <v>1.4</v>
          </cell>
          <cell r="G1340">
            <v>35690</v>
          </cell>
        </row>
        <row r="1341">
          <cell r="A1341" t="str">
            <v>53-3099</v>
          </cell>
          <cell r="B1341" t="str">
            <v>Motor Vehicle Operators, All Other</v>
          </cell>
          <cell r="C1341">
            <v>51140</v>
          </cell>
          <cell r="D1341">
            <v>3.5</v>
          </cell>
          <cell r="E1341">
            <v>39970</v>
          </cell>
          <cell r="F1341">
            <v>1.4</v>
          </cell>
          <cell r="G1341">
            <v>35690</v>
          </cell>
        </row>
        <row r="1342">
          <cell r="A1342" t="str">
            <v>53-4000</v>
          </cell>
          <cell r="B1342" t="str">
            <v>Rail Transportation Workers</v>
          </cell>
          <cell r="C1342">
            <v>111600</v>
          </cell>
          <cell r="D1342">
            <v>0.3</v>
          </cell>
          <cell r="E1342">
            <v>72150</v>
          </cell>
          <cell r="F1342">
            <v>0.3</v>
          </cell>
          <cell r="G1342">
            <v>73890</v>
          </cell>
        </row>
        <row r="1343">
          <cell r="A1343" t="str">
            <v>53-4010</v>
          </cell>
          <cell r="B1343" t="str">
            <v>Locomotive Engineers and Operators</v>
          </cell>
          <cell r="C1343">
            <v>34820</v>
          </cell>
          <cell r="D1343">
            <v>0.6</v>
          </cell>
          <cell r="E1343">
            <v>74600</v>
          </cell>
          <cell r="F1343">
            <v>0.3</v>
          </cell>
          <cell r="G1343">
            <v>74360</v>
          </cell>
        </row>
        <row r="1344">
          <cell r="A1344" t="str">
            <v>53-4011</v>
          </cell>
          <cell r="B1344" t="str">
            <v>Locomotive Engineers</v>
          </cell>
          <cell r="C1344">
            <v>32390</v>
          </cell>
          <cell r="D1344">
            <v>0.5</v>
          </cell>
          <cell r="E1344">
            <v>75870</v>
          </cell>
          <cell r="F1344">
            <v>0.3</v>
          </cell>
          <cell r="G1344">
            <v>74770</v>
          </cell>
        </row>
        <row r="1345">
          <cell r="A1345" t="str">
            <v>53-4013</v>
          </cell>
          <cell r="B1345" t="str">
            <v>Rail Yard Engineers, Dinkey Operators, and Hostlers</v>
          </cell>
          <cell r="C1345">
            <v>2430</v>
          </cell>
          <cell r="D1345">
            <v>4.4000000000000004</v>
          </cell>
          <cell r="E1345">
            <v>57580</v>
          </cell>
          <cell r="F1345">
            <v>1.1000000000000001</v>
          </cell>
          <cell r="G1345">
            <v>57070</v>
          </cell>
        </row>
        <row r="1346">
          <cell r="A1346" t="str">
            <v>53-4020</v>
          </cell>
          <cell r="B1346" t="str">
            <v>Railroad Brake, Signal, and Switch Operators and Locomotive Firers</v>
          </cell>
          <cell r="C1346">
            <v>13610</v>
          </cell>
          <cell r="D1346">
            <v>0.9</v>
          </cell>
          <cell r="E1346">
            <v>62840</v>
          </cell>
          <cell r="F1346">
            <v>0.4</v>
          </cell>
          <cell r="G1346">
            <v>63540</v>
          </cell>
        </row>
        <row r="1347">
          <cell r="A1347" t="str">
            <v>53-4022</v>
          </cell>
          <cell r="B1347" t="str">
            <v>Railroad Brake, Signal, and Switch Operators and Locomotive Firers</v>
          </cell>
          <cell r="C1347">
            <v>13610</v>
          </cell>
          <cell r="D1347">
            <v>0.9</v>
          </cell>
          <cell r="E1347">
            <v>62840</v>
          </cell>
          <cell r="F1347">
            <v>0.4</v>
          </cell>
          <cell r="G1347">
            <v>63540</v>
          </cell>
        </row>
        <row r="1348">
          <cell r="A1348" t="str">
            <v>53-4030</v>
          </cell>
          <cell r="B1348" t="str">
            <v>Railroad Conductors and Yardmasters</v>
          </cell>
          <cell r="C1348">
            <v>46490</v>
          </cell>
          <cell r="D1348">
            <v>0.3</v>
          </cell>
          <cell r="E1348">
            <v>72220</v>
          </cell>
          <cell r="F1348">
            <v>0.3</v>
          </cell>
          <cell r="G1348">
            <v>71130</v>
          </cell>
        </row>
        <row r="1349">
          <cell r="A1349" t="str">
            <v>53-4031</v>
          </cell>
          <cell r="B1349" t="str">
            <v>Railroad Conductors and Yardmasters</v>
          </cell>
          <cell r="C1349">
            <v>46490</v>
          </cell>
          <cell r="D1349">
            <v>0.3</v>
          </cell>
          <cell r="E1349">
            <v>72220</v>
          </cell>
          <cell r="F1349">
            <v>0.3</v>
          </cell>
          <cell r="G1349">
            <v>71130</v>
          </cell>
        </row>
        <row r="1350">
          <cell r="A1350" t="str">
            <v>53-4040</v>
          </cell>
          <cell r="B1350" t="str">
            <v>Subway and Streetcar Operators</v>
          </cell>
          <cell r="C1350">
            <v>14860</v>
          </cell>
          <cell r="D1350">
            <v>0.7</v>
          </cell>
          <cell r="E1350">
            <v>77370</v>
          </cell>
          <cell r="F1350">
            <v>0.4</v>
          </cell>
          <cell r="G1350">
            <v>84270</v>
          </cell>
        </row>
        <row r="1351">
          <cell r="A1351" t="str">
            <v>53-4041</v>
          </cell>
          <cell r="B1351" t="str">
            <v>Subway and Streetcar Operators</v>
          </cell>
          <cell r="C1351">
            <v>14860</v>
          </cell>
          <cell r="D1351">
            <v>0.7</v>
          </cell>
          <cell r="E1351">
            <v>77370</v>
          </cell>
          <cell r="F1351">
            <v>0.4</v>
          </cell>
          <cell r="G1351">
            <v>84270</v>
          </cell>
        </row>
        <row r="1352">
          <cell r="A1352" t="str">
            <v>53-4090</v>
          </cell>
          <cell r="B1352" t="str">
            <v>Miscellaneous Rail Transportation Workers</v>
          </cell>
          <cell r="C1352">
            <v>1830</v>
          </cell>
          <cell r="D1352">
            <v>8.6</v>
          </cell>
          <cell r="E1352">
            <v>50730</v>
          </cell>
          <cell r="F1352">
            <v>1.4</v>
          </cell>
          <cell r="G1352">
            <v>44660</v>
          </cell>
        </row>
        <row r="1353">
          <cell r="A1353" t="str">
            <v>53-4099</v>
          </cell>
          <cell r="B1353" t="str">
            <v>Rail Transportation Workers, All Other</v>
          </cell>
          <cell r="C1353">
            <v>1830</v>
          </cell>
          <cell r="D1353">
            <v>8.6</v>
          </cell>
          <cell r="E1353">
            <v>50730</v>
          </cell>
          <cell r="F1353">
            <v>1.4</v>
          </cell>
          <cell r="G1353">
            <v>44660</v>
          </cell>
        </row>
        <row r="1354">
          <cell r="A1354" t="str">
            <v>53-5000</v>
          </cell>
          <cell r="B1354" t="str">
            <v>Water Transportation Workers</v>
          </cell>
          <cell r="C1354">
            <v>76040</v>
          </cell>
          <cell r="D1354">
            <v>2.2000000000000002</v>
          </cell>
          <cell r="E1354">
            <v>79030</v>
          </cell>
          <cell r="F1354">
            <v>1.3</v>
          </cell>
          <cell r="G1354">
            <v>64930</v>
          </cell>
        </row>
        <row r="1355">
          <cell r="A1355" t="str">
            <v>53-5010</v>
          </cell>
          <cell r="B1355" t="str">
            <v>Sailors and Marine Oilers</v>
          </cell>
          <cell r="C1355">
            <v>29960</v>
          </cell>
          <cell r="D1355">
            <v>3.9</v>
          </cell>
          <cell r="E1355">
            <v>53470</v>
          </cell>
          <cell r="F1355">
            <v>1.3</v>
          </cell>
          <cell r="G1355">
            <v>48400</v>
          </cell>
        </row>
        <row r="1356">
          <cell r="A1356" t="str">
            <v>53-5011</v>
          </cell>
          <cell r="B1356" t="str">
            <v>Sailors and Marine Oilers</v>
          </cell>
          <cell r="C1356">
            <v>29960</v>
          </cell>
          <cell r="D1356">
            <v>3.9</v>
          </cell>
          <cell r="E1356">
            <v>53470</v>
          </cell>
          <cell r="F1356">
            <v>1.3</v>
          </cell>
          <cell r="G1356">
            <v>48400</v>
          </cell>
        </row>
        <row r="1357">
          <cell r="A1357" t="str">
            <v>53-5020</v>
          </cell>
          <cell r="B1357" t="str">
            <v>Ship and Boat Captains and Operators</v>
          </cell>
          <cell r="C1357">
            <v>37220</v>
          </cell>
          <cell r="D1357">
            <v>2.2999999999999998</v>
          </cell>
          <cell r="E1357">
            <v>94480</v>
          </cell>
          <cell r="F1357">
            <v>1.7</v>
          </cell>
          <cell r="G1357">
            <v>82630</v>
          </cell>
        </row>
        <row r="1358">
          <cell r="A1358" t="str">
            <v>53-5021</v>
          </cell>
          <cell r="B1358" t="str">
            <v>Captains, Mates, and Pilots of Water Vessels</v>
          </cell>
          <cell r="C1358">
            <v>34520</v>
          </cell>
          <cell r="D1358">
            <v>2.7</v>
          </cell>
          <cell r="E1358">
            <v>97820</v>
          </cell>
          <cell r="F1358">
            <v>1.5</v>
          </cell>
          <cell r="G1358">
            <v>88730</v>
          </cell>
        </row>
        <row r="1359">
          <cell r="A1359" t="str">
            <v>53-5022</v>
          </cell>
          <cell r="B1359" t="str">
            <v>Motorboat Operators</v>
          </cell>
          <cell r="C1359">
            <v>2710</v>
          </cell>
          <cell r="D1359">
            <v>8.1999999999999993</v>
          </cell>
          <cell r="E1359">
            <v>51810</v>
          </cell>
          <cell r="F1359">
            <v>2.4</v>
          </cell>
          <cell r="G1359">
            <v>46420</v>
          </cell>
        </row>
        <row r="1360">
          <cell r="A1360" t="str">
            <v>53-5030</v>
          </cell>
          <cell r="B1360" t="str">
            <v>Ship Engineers</v>
          </cell>
          <cell r="C1360">
            <v>8860</v>
          </cell>
          <cell r="D1360">
            <v>3.4</v>
          </cell>
          <cell r="E1360">
            <v>100550</v>
          </cell>
          <cell r="F1360">
            <v>1.1000000000000001</v>
          </cell>
          <cell r="G1360">
            <v>94270</v>
          </cell>
        </row>
        <row r="1361">
          <cell r="A1361" t="str">
            <v>53-5031</v>
          </cell>
          <cell r="B1361" t="str">
            <v>Ship Engineers</v>
          </cell>
          <cell r="C1361">
            <v>8860</v>
          </cell>
          <cell r="D1361">
            <v>3.4</v>
          </cell>
          <cell r="E1361">
            <v>100550</v>
          </cell>
          <cell r="F1361">
            <v>1.1000000000000001</v>
          </cell>
          <cell r="G1361">
            <v>94270</v>
          </cell>
        </row>
        <row r="1362">
          <cell r="A1362" t="str">
            <v>53-6000</v>
          </cell>
          <cell r="B1362" t="str">
            <v>Other Transportation Workers</v>
          </cell>
          <cell r="C1362">
            <v>305390</v>
          </cell>
          <cell r="D1362">
            <v>1.9</v>
          </cell>
          <cell r="E1362">
            <v>40110</v>
          </cell>
          <cell r="F1362">
            <v>0.6</v>
          </cell>
          <cell r="G1362">
            <v>35020</v>
          </cell>
        </row>
        <row r="1363">
          <cell r="A1363" t="str">
            <v>53-6010</v>
          </cell>
          <cell r="B1363" t="str">
            <v>Bridge and Lock Tenders</v>
          </cell>
          <cell r="C1363">
            <v>3460</v>
          </cell>
          <cell r="D1363">
            <v>4</v>
          </cell>
          <cell r="E1363">
            <v>50070</v>
          </cell>
          <cell r="F1363">
            <v>1.4</v>
          </cell>
          <cell r="G1363">
            <v>49120</v>
          </cell>
        </row>
        <row r="1364">
          <cell r="A1364" t="str">
            <v>53-6011</v>
          </cell>
          <cell r="B1364" t="str">
            <v>Bridge and Lock Tenders</v>
          </cell>
          <cell r="C1364">
            <v>3460</v>
          </cell>
          <cell r="D1364">
            <v>4</v>
          </cell>
          <cell r="E1364">
            <v>50070</v>
          </cell>
          <cell r="F1364">
            <v>1.4</v>
          </cell>
          <cell r="G1364">
            <v>49120</v>
          </cell>
        </row>
        <row r="1365">
          <cell r="A1365" t="str">
            <v>53-6020</v>
          </cell>
          <cell r="B1365" t="str">
            <v>Parking Attendants</v>
          </cell>
          <cell r="C1365">
            <v>118130</v>
          </cell>
          <cell r="D1365">
            <v>4</v>
          </cell>
          <cell r="E1365">
            <v>32700</v>
          </cell>
          <cell r="F1365">
            <v>0.6</v>
          </cell>
          <cell r="G1365">
            <v>32840</v>
          </cell>
        </row>
        <row r="1366">
          <cell r="A1366" t="str">
            <v>53-6021</v>
          </cell>
          <cell r="B1366" t="str">
            <v>Parking Attendants</v>
          </cell>
          <cell r="C1366">
            <v>118130</v>
          </cell>
          <cell r="D1366">
            <v>4</v>
          </cell>
          <cell r="E1366">
            <v>32700</v>
          </cell>
          <cell r="F1366">
            <v>0.6</v>
          </cell>
          <cell r="G1366">
            <v>32840</v>
          </cell>
        </row>
        <row r="1367">
          <cell r="A1367" t="str">
            <v>53-6030</v>
          </cell>
          <cell r="B1367" t="str">
            <v>Transportation Service Attendants</v>
          </cell>
          <cell r="C1367">
            <v>117460</v>
          </cell>
          <cell r="D1367">
            <v>1.5</v>
          </cell>
          <cell r="E1367">
            <v>36140</v>
          </cell>
          <cell r="F1367">
            <v>0.4</v>
          </cell>
          <cell r="G1367">
            <v>35000</v>
          </cell>
        </row>
        <row r="1368">
          <cell r="A1368" t="str">
            <v>53-6031</v>
          </cell>
          <cell r="B1368" t="str">
            <v>Automotive and Watercraft Service Attendants</v>
          </cell>
          <cell r="C1368">
            <v>92530</v>
          </cell>
          <cell r="D1368">
            <v>1.8</v>
          </cell>
          <cell r="E1368">
            <v>34530</v>
          </cell>
          <cell r="F1368">
            <v>0.4</v>
          </cell>
          <cell r="G1368">
            <v>33820</v>
          </cell>
        </row>
        <row r="1369">
          <cell r="A1369" t="str">
            <v>53-6032</v>
          </cell>
          <cell r="B1369" t="str">
            <v>Aircraft Service Attendants</v>
          </cell>
          <cell r="C1369">
            <v>24940</v>
          </cell>
          <cell r="D1369">
            <v>4.0999999999999996</v>
          </cell>
          <cell r="E1369">
            <v>42110</v>
          </cell>
          <cell r="F1369">
            <v>0.6</v>
          </cell>
          <cell r="G1369">
            <v>39110</v>
          </cell>
        </row>
        <row r="1370">
          <cell r="A1370" t="str">
            <v>53-6040</v>
          </cell>
          <cell r="B1370" t="str">
            <v>Traffic Technicians</v>
          </cell>
          <cell r="C1370">
            <v>7530</v>
          </cell>
          <cell r="D1370">
            <v>2.4</v>
          </cell>
          <cell r="E1370">
            <v>56680</v>
          </cell>
          <cell r="F1370">
            <v>0.7</v>
          </cell>
          <cell r="G1370">
            <v>52240</v>
          </cell>
        </row>
        <row r="1371">
          <cell r="A1371" t="str">
            <v>53-6041</v>
          </cell>
          <cell r="B1371" t="str">
            <v>Traffic Technicians</v>
          </cell>
          <cell r="C1371">
            <v>7530</v>
          </cell>
          <cell r="D1371">
            <v>2.4</v>
          </cell>
          <cell r="E1371">
            <v>56680</v>
          </cell>
          <cell r="F1371">
            <v>0.7</v>
          </cell>
          <cell r="G1371">
            <v>52240</v>
          </cell>
        </row>
        <row r="1372">
          <cell r="A1372" t="str">
            <v>53-6050</v>
          </cell>
          <cell r="B1372" t="str">
            <v>Transportation Inspectors</v>
          </cell>
          <cell r="C1372">
            <v>27670</v>
          </cell>
          <cell r="D1372">
            <v>1.8</v>
          </cell>
          <cell r="E1372">
            <v>83920</v>
          </cell>
          <cell r="F1372">
            <v>0.8</v>
          </cell>
          <cell r="G1372">
            <v>87290</v>
          </cell>
        </row>
        <row r="1373">
          <cell r="A1373" t="str">
            <v>53-6051</v>
          </cell>
          <cell r="B1373" t="str">
            <v>Transportation Inspectors</v>
          </cell>
          <cell r="C1373">
            <v>27670</v>
          </cell>
          <cell r="D1373">
            <v>1.8</v>
          </cell>
          <cell r="E1373">
            <v>83920</v>
          </cell>
          <cell r="F1373">
            <v>0.8</v>
          </cell>
          <cell r="G1373">
            <v>87290</v>
          </cell>
        </row>
        <row r="1374">
          <cell r="A1374" t="str">
            <v>53-6060</v>
          </cell>
          <cell r="B1374" t="str">
            <v>Passenger Attendants</v>
          </cell>
          <cell r="C1374">
            <v>20190</v>
          </cell>
          <cell r="D1374">
            <v>5.3</v>
          </cell>
          <cell r="E1374">
            <v>36780</v>
          </cell>
          <cell r="F1374">
            <v>0.8</v>
          </cell>
          <cell r="G1374">
            <v>35620</v>
          </cell>
        </row>
        <row r="1375">
          <cell r="A1375" t="str">
            <v>53-6061</v>
          </cell>
          <cell r="B1375" t="str">
            <v>Passenger Attendants</v>
          </cell>
          <cell r="C1375">
            <v>20190</v>
          </cell>
          <cell r="D1375">
            <v>5.3</v>
          </cell>
          <cell r="E1375">
            <v>36780</v>
          </cell>
          <cell r="F1375">
            <v>0.8</v>
          </cell>
          <cell r="G1375">
            <v>35620</v>
          </cell>
        </row>
        <row r="1376">
          <cell r="A1376" t="str">
            <v>53-6090</v>
          </cell>
          <cell r="B1376" t="str">
            <v>Miscellaneous Transportation Workers</v>
          </cell>
          <cell r="C1376">
            <v>10940</v>
          </cell>
          <cell r="D1376">
            <v>4.8</v>
          </cell>
          <cell r="E1376">
            <v>43530</v>
          </cell>
          <cell r="F1376">
            <v>2</v>
          </cell>
          <cell r="G1376">
            <v>40300</v>
          </cell>
        </row>
        <row r="1377">
          <cell r="A1377" t="str">
            <v>53-6099</v>
          </cell>
          <cell r="B1377" t="str">
            <v>Transportation Workers, All Other</v>
          </cell>
          <cell r="C1377">
            <v>10940</v>
          </cell>
          <cell r="D1377">
            <v>4.8</v>
          </cell>
          <cell r="E1377">
            <v>43530</v>
          </cell>
          <cell r="F1377">
            <v>2</v>
          </cell>
          <cell r="G1377">
            <v>40300</v>
          </cell>
        </row>
        <row r="1378">
          <cell r="A1378" t="str">
            <v>53-7000</v>
          </cell>
          <cell r="B1378" t="str">
            <v>Material Moving Workers</v>
          </cell>
          <cell r="C1378">
            <v>7989980</v>
          </cell>
          <cell r="D1378">
            <v>0.2</v>
          </cell>
          <cell r="E1378">
            <v>39620</v>
          </cell>
          <cell r="F1378">
            <v>0.2</v>
          </cell>
          <cell r="G1378">
            <v>37290</v>
          </cell>
        </row>
        <row r="1379">
          <cell r="A1379" t="str">
            <v>53-7010</v>
          </cell>
          <cell r="B1379" t="str">
            <v>Conveyor Operators and Tenders</v>
          </cell>
          <cell r="C1379">
            <v>24660</v>
          </cell>
          <cell r="D1379">
            <v>2.6</v>
          </cell>
          <cell r="E1379">
            <v>42900</v>
          </cell>
          <cell r="F1379">
            <v>0.5</v>
          </cell>
          <cell r="G1379">
            <v>39260</v>
          </cell>
        </row>
        <row r="1380">
          <cell r="A1380" t="str">
            <v>53-7011</v>
          </cell>
          <cell r="B1380" t="str">
            <v>Conveyor Operators and Tenders</v>
          </cell>
          <cell r="C1380">
            <v>24660</v>
          </cell>
          <cell r="D1380">
            <v>2.6</v>
          </cell>
          <cell r="E1380">
            <v>42900</v>
          </cell>
          <cell r="F1380">
            <v>0.5</v>
          </cell>
          <cell r="G1380">
            <v>39260</v>
          </cell>
        </row>
        <row r="1381">
          <cell r="A1381" t="str">
            <v>53-7020</v>
          </cell>
          <cell r="B1381" t="str">
            <v>Crane and Tower Operators</v>
          </cell>
          <cell r="C1381">
            <v>42260</v>
          </cell>
          <cell r="D1381">
            <v>2.8</v>
          </cell>
          <cell r="E1381">
            <v>68040</v>
          </cell>
          <cell r="F1381">
            <v>1.4</v>
          </cell>
          <cell r="G1381">
            <v>64690</v>
          </cell>
        </row>
        <row r="1382">
          <cell r="A1382" t="str">
            <v>53-7021</v>
          </cell>
          <cell r="B1382" t="str">
            <v>Crane and Tower Operators</v>
          </cell>
          <cell r="C1382">
            <v>42260</v>
          </cell>
          <cell r="D1382">
            <v>2.8</v>
          </cell>
          <cell r="E1382">
            <v>68040</v>
          </cell>
          <cell r="F1382">
            <v>1.4</v>
          </cell>
          <cell r="G1382">
            <v>64690</v>
          </cell>
        </row>
        <row r="1383">
          <cell r="A1383" t="str">
            <v>53-7030</v>
          </cell>
          <cell r="B1383" t="str">
            <v>Dredge Operators</v>
          </cell>
          <cell r="C1383">
            <v>940</v>
          </cell>
          <cell r="D1383">
            <v>9.6999999999999993</v>
          </cell>
          <cell r="E1383">
            <v>53700</v>
          </cell>
          <cell r="F1383">
            <v>1.7</v>
          </cell>
          <cell r="G1383">
            <v>50440</v>
          </cell>
        </row>
        <row r="1384">
          <cell r="A1384" t="str">
            <v>53-7031</v>
          </cell>
          <cell r="B1384" t="str">
            <v>Dredge Operators</v>
          </cell>
          <cell r="C1384">
            <v>940</v>
          </cell>
          <cell r="D1384">
            <v>9.6999999999999993</v>
          </cell>
          <cell r="E1384">
            <v>53700</v>
          </cell>
          <cell r="F1384">
            <v>1.7</v>
          </cell>
          <cell r="G1384">
            <v>50440</v>
          </cell>
        </row>
        <row r="1385">
          <cell r="A1385" t="str">
            <v>53-7040</v>
          </cell>
          <cell r="B1385" t="str">
            <v>Hoist and Winch Operators</v>
          </cell>
          <cell r="C1385">
            <v>2230</v>
          </cell>
          <cell r="D1385">
            <v>6.6</v>
          </cell>
          <cell r="E1385">
            <v>65810</v>
          </cell>
          <cell r="F1385">
            <v>3</v>
          </cell>
          <cell r="G1385">
            <v>55950</v>
          </cell>
        </row>
        <row r="1386">
          <cell r="A1386" t="str">
            <v>53-7041</v>
          </cell>
          <cell r="B1386" t="str">
            <v>Hoist and Winch Operators</v>
          </cell>
          <cell r="C1386">
            <v>2230</v>
          </cell>
          <cell r="D1386">
            <v>6.6</v>
          </cell>
          <cell r="E1386">
            <v>65810</v>
          </cell>
          <cell r="F1386">
            <v>3</v>
          </cell>
          <cell r="G1386">
            <v>55950</v>
          </cell>
        </row>
        <row r="1387">
          <cell r="A1387" t="str">
            <v>53-7050</v>
          </cell>
          <cell r="B1387" t="str">
            <v>Industrial Truck and Tractor Operators</v>
          </cell>
          <cell r="C1387">
            <v>778920</v>
          </cell>
          <cell r="D1387">
            <v>0.5</v>
          </cell>
          <cell r="E1387">
            <v>45720</v>
          </cell>
          <cell r="F1387">
            <v>0.2</v>
          </cell>
          <cell r="G1387">
            <v>44470</v>
          </cell>
        </row>
        <row r="1388">
          <cell r="A1388" t="str">
            <v>53-7051</v>
          </cell>
          <cell r="B1388" t="str">
            <v>Industrial Truck and Tractor Operators</v>
          </cell>
          <cell r="C1388">
            <v>778920</v>
          </cell>
          <cell r="D1388">
            <v>0.5</v>
          </cell>
          <cell r="E1388">
            <v>45720</v>
          </cell>
          <cell r="F1388">
            <v>0.2</v>
          </cell>
          <cell r="G1388">
            <v>44470</v>
          </cell>
        </row>
        <row r="1389">
          <cell r="A1389" t="str">
            <v>53-7060</v>
          </cell>
          <cell r="B1389" t="str">
            <v>Laborers and Material Movers</v>
          </cell>
          <cell r="C1389">
            <v>6935980</v>
          </cell>
          <cell r="D1389">
            <v>0.2</v>
          </cell>
          <cell r="E1389">
            <v>38400</v>
          </cell>
          <cell r="F1389">
            <v>0.2</v>
          </cell>
          <cell r="G1389">
            <v>36720</v>
          </cell>
        </row>
        <row r="1390">
          <cell r="A1390" t="str">
            <v>53-7061</v>
          </cell>
          <cell r="B1390" t="str">
            <v>Cleaners of Vehicles and Equipment</v>
          </cell>
          <cell r="C1390">
            <v>365290</v>
          </cell>
          <cell r="D1390">
            <v>0.9</v>
          </cell>
          <cell r="E1390">
            <v>35250</v>
          </cell>
          <cell r="F1390">
            <v>0.3</v>
          </cell>
          <cell r="G1390">
            <v>34150</v>
          </cell>
        </row>
        <row r="1391">
          <cell r="A1391" t="str">
            <v>53-7062</v>
          </cell>
          <cell r="B1391" t="str">
            <v>Laborers and Freight, Stock, and Material Movers, Hand</v>
          </cell>
          <cell r="C1391">
            <v>3008300</v>
          </cell>
          <cell r="D1391">
            <v>0.3</v>
          </cell>
          <cell r="E1391">
            <v>39760</v>
          </cell>
          <cell r="F1391">
            <v>0.2</v>
          </cell>
          <cell r="G1391">
            <v>37660</v>
          </cell>
        </row>
        <row r="1392">
          <cell r="A1392" t="str">
            <v>53-7063</v>
          </cell>
          <cell r="B1392" t="str">
            <v>Machine Feeders and Offbearers</v>
          </cell>
          <cell r="C1392">
            <v>44500</v>
          </cell>
          <cell r="D1392">
            <v>2.1</v>
          </cell>
          <cell r="E1392">
            <v>41000</v>
          </cell>
          <cell r="F1392">
            <v>0.3</v>
          </cell>
          <cell r="G1392">
            <v>39250</v>
          </cell>
        </row>
        <row r="1393">
          <cell r="A1393" t="str">
            <v>53-7064</v>
          </cell>
          <cell r="B1393" t="str">
            <v>Packers and Packagers, Hand</v>
          </cell>
          <cell r="C1393">
            <v>645210</v>
          </cell>
          <cell r="D1393">
            <v>1</v>
          </cell>
          <cell r="E1393">
            <v>35450</v>
          </cell>
          <cell r="F1393">
            <v>0.2</v>
          </cell>
          <cell r="G1393">
            <v>34830</v>
          </cell>
        </row>
        <row r="1394">
          <cell r="A1394" t="str">
            <v>53-7065</v>
          </cell>
          <cell r="B1394" t="str">
            <v>Stockers and Order Fillers</v>
          </cell>
          <cell r="C1394">
            <v>2872680</v>
          </cell>
          <cell r="D1394">
            <v>0.3</v>
          </cell>
          <cell r="E1394">
            <v>37990</v>
          </cell>
          <cell r="F1394">
            <v>0.1</v>
          </cell>
          <cell r="G1394">
            <v>36390</v>
          </cell>
        </row>
        <row r="1395">
          <cell r="A1395" t="str">
            <v>53-7070</v>
          </cell>
          <cell r="B1395" t="str">
            <v>Pumping Station Operators</v>
          </cell>
          <cell r="C1395">
            <v>34200</v>
          </cell>
          <cell r="D1395">
            <v>3.9</v>
          </cell>
          <cell r="E1395">
            <v>65320</v>
          </cell>
          <cell r="F1395">
            <v>1.4</v>
          </cell>
          <cell r="G1395">
            <v>62530</v>
          </cell>
        </row>
        <row r="1396">
          <cell r="A1396" t="str">
            <v>53-7071</v>
          </cell>
          <cell r="B1396" t="str">
            <v>Gas Compressor and Gas Pumping Station Operators</v>
          </cell>
          <cell r="C1396">
            <v>4400</v>
          </cell>
          <cell r="D1396">
            <v>10.9</v>
          </cell>
          <cell r="E1396">
            <v>63810</v>
          </cell>
          <cell r="F1396">
            <v>1.8</v>
          </cell>
          <cell r="G1396">
            <v>61870</v>
          </cell>
        </row>
        <row r="1397">
          <cell r="A1397" t="str">
            <v>53-7072</v>
          </cell>
          <cell r="B1397" t="str">
            <v>Pump Operators, Except Wellhead Pumpers</v>
          </cell>
          <cell r="C1397">
            <v>11570</v>
          </cell>
          <cell r="D1397">
            <v>5.5</v>
          </cell>
          <cell r="E1397">
            <v>58650</v>
          </cell>
          <cell r="F1397">
            <v>2</v>
          </cell>
          <cell r="G1397">
            <v>54690</v>
          </cell>
        </row>
        <row r="1398">
          <cell r="A1398" t="str">
            <v>53-7073</v>
          </cell>
          <cell r="B1398" t="str">
            <v>Wellhead Pumpers</v>
          </cell>
          <cell r="C1398">
            <v>18230</v>
          </cell>
          <cell r="D1398">
            <v>6.2</v>
          </cell>
          <cell r="E1398">
            <v>69930</v>
          </cell>
          <cell r="F1398">
            <v>1.6</v>
          </cell>
          <cell r="G1398">
            <v>71830</v>
          </cell>
        </row>
        <row r="1399">
          <cell r="A1399" t="str">
            <v>53-7080</v>
          </cell>
          <cell r="B1399" t="str">
            <v>Refuse and Recyclable Material Collectors</v>
          </cell>
          <cell r="C1399">
            <v>135430</v>
          </cell>
          <cell r="D1399">
            <v>1.3</v>
          </cell>
          <cell r="E1399">
            <v>47810</v>
          </cell>
          <cell r="F1399">
            <v>0.7</v>
          </cell>
          <cell r="G1399">
            <v>45760</v>
          </cell>
        </row>
        <row r="1400">
          <cell r="A1400" t="str">
            <v>53-7081</v>
          </cell>
          <cell r="B1400" t="str">
            <v>Refuse and Recyclable Material Collectors</v>
          </cell>
          <cell r="C1400">
            <v>135430</v>
          </cell>
          <cell r="D1400">
            <v>1.3</v>
          </cell>
          <cell r="E1400">
            <v>47810</v>
          </cell>
          <cell r="F1400">
            <v>0.7</v>
          </cell>
          <cell r="G1400">
            <v>45760</v>
          </cell>
        </row>
        <row r="1401">
          <cell r="A1401" t="str">
            <v>53-7120</v>
          </cell>
          <cell r="B1401" t="str">
            <v>Tank Car, Truck, and Ship Loaders</v>
          </cell>
          <cell r="C1401">
            <v>11400</v>
          </cell>
          <cell r="D1401">
            <v>4.7</v>
          </cell>
          <cell r="E1401">
            <v>60530</v>
          </cell>
          <cell r="F1401">
            <v>1.5</v>
          </cell>
          <cell r="G1401">
            <v>58620</v>
          </cell>
        </row>
        <row r="1402">
          <cell r="A1402" t="str">
            <v>53-7121</v>
          </cell>
          <cell r="B1402" t="str">
            <v>Tank Car, Truck, and Ship Loaders</v>
          </cell>
          <cell r="C1402">
            <v>11400</v>
          </cell>
          <cell r="D1402">
            <v>4.7</v>
          </cell>
          <cell r="E1402">
            <v>60530</v>
          </cell>
          <cell r="F1402">
            <v>1.5</v>
          </cell>
          <cell r="G1402">
            <v>58620</v>
          </cell>
        </row>
        <row r="1403">
          <cell r="A1403" t="str">
            <v>53-7190</v>
          </cell>
          <cell r="B1403" t="str">
            <v>Miscellaneous Material Moving Workers</v>
          </cell>
          <cell r="C1403">
            <v>23970</v>
          </cell>
          <cell r="D1403">
            <v>3.4</v>
          </cell>
          <cell r="E1403">
            <v>45840</v>
          </cell>
          <cell r="F1403">
            <v>1</v>
          </cell>
          <cell r="G1403">
            <v>40310</v>
          </cell>
        </row>
        <row r="1404">
          <cell r="A1404" t="str">
            <v>53-7199</v>
          </cell>
          <cell r="B1404" t="str">
            <v>Material Moving Workers, All Other</v>
          </cell>
          <cell r="C1404">
            <v>23970</v>
          </cell>
          <cell r="D1404">
            <v>3.4</v>
          </cell>
          <cell r="E1404">
            <v>45840</v>
          </cell>
          <cell r="F1404">
            <v>1</v>
          </cell>
          <cell r="G1404">
            <v>40310</v>
          </cell>
        </row>
      </sheetData>
      <sheetData sheetId="3">
        <row r="1">
          <cell r="A1" t="str">
            <v>OCC_CODE</v>
          </cell>
          <cell r="B1" t="str">
            <v>OCC_TITLE</v>
          </cell>
          <cell r="C1" t="str">
            <v>TOT_EMP</v>
          </cell>
          <cell r="D1" t="str">
            <v>EMP_PRSE</v>
          </cell>
          <cell r="E1" t="str">
            <v>A_MEAN</v>
          </cell>
          <cell r="F1" t="str">
            <v>MEAN_PRSE</v>
          </cell>
          <cell r="G1" t="str">
            <v>A_MEDIAN</v>
          </cell>
        </row>
        <row r="2">
          <cell r="A2" t="str">
            <v>00-0000</v>
          </cell>
          <cell r="B2" t="str">
            <v>All Occupations</v>
          </cell>
          <cell r="C2">
            <v>154187380</v>
          </cell>
          <cell r="D2">
            <v>0</v>
          </cell>
          <cell r="E2">
            <v>67920</v>
          </cell>
          <cell r="F2">
            <v>0.1</v>
          </cell>
          <cell r="G2">
            <v>49500</v>
          </cell>
        </row>
        <row r="3">
          <cell r="A3" t="str">
            <v>11-0000</v>
          </cell>
          <cell r="B3" t="str">
            <v>Management Occupations</v>
          </cell>
          <cell r="C3">
            <v>10966830</v>
          </cell>
          <cell r="D3">
            <v>0.2</v>
          </cell>
          <cell r="E3">
            <v>141760</v>
          </cell>
          <cell r="F3">
            <v>0.2</v>
          </cell>
          <cell r="G3">
            <v>122090</v>
          </cell>
        </row>
        <row r="4">
          <cell r="A4" t="str">
            <v>11-1000</v>
          </cell>
          <cell r="B4" t="str">
            <v>Top Executives</v>
          </cell>
          <cell r="C4">
            <v>3822780</v>
          </cell>
          <cell r="D4">
            <v>0.3</v>
          </cell>
          <cell r="E4">
            <v>139860</v>
          </cell>
          <cell r="F4">
            <v>0.4</v>
          </cell>
          <cell r="G4">
            <v>104990</v>
          </cell>
        </row>
        <row r="5">
          <cell r="A5" t="str">
            <v>11-1010</v>
          </cell>
          <cell r="B5" t="str">
            <v>Chief Executives</v>
          </cell>
          <cell r="C5">
            <v>211850</v>
          </cell>
          <cell r="D5">
            <v>1.2</v>
          </cell>
          <cell r="E5">
            <v>262930</v>
          </cell>
          <cell r="F5">
            <v>0.9</v>
          </cell>
          <cell r="G5">
            <v>206420</v>
          </cell>
        </row>
        <row r="6">
          <cell r="A6" t="str">
            <v>11-1011</v>
          </cell>
          <cell r="B6" t="str">
            <v>Chief Executives</v>
          </cell>
          <cell r="C6">
            <v>211850</v>
          </cell>
          <cell r="D6">
            <v>1.2</v>
          </cell>
          <cell r="E6">
            <v>262930</v>
          </cell>
          <cell r="F6">
            <v>0.9</v>
          </cell>
          <cell r="G6">
            <v>206420</v>
          </cell>
        </row>
        <row r="7">
          <cell r="A7" t="str">
            <v>11-1020</v>
          </cell>
          <cell r="B7" t="str">
            <v>General and Operations Managers</v>
          </cell>
          <cell r="C7">
            <v>3584420</v>
          </cell>
          <cell r="D7">
            <v>0.4</v>
          </cell>
          <cell r="E7">
            <v>133120</v>
          </cell>
          <cell r="F7">
            <v>0.4</v>
          </cell>
          <cell r="G7">
            <v>102950</v>
          </cell>
        </row>
        <row r="8">
          <cell r="A8" t="str">
            <v>11-1021</v>
          </cell>
          <cell r="B8" t="str">
            <v>General and Operations Managers</v>
          </cell>
          <cell r="C8">
            <v>3584420</v>
          </cell>
          <cell r="D8">
            <v>0.4</v>
          </cell>
          <cell r="E8">
            <v>133120</v>
          </cell>
          <cell r="F8">
            <v>0.4</v>
          </cell>
          <cell r="G8">
            <v>102950</v>
          </cell>
        </row>
        <row r="9">
          <cell r="A9" t="str">
            <v>11-1030</v>
          </cell>
          <cell r="B9" t="str">
            <v>Legislators</v>
          </cell>
          <cell r="C9">
            <v>26510</v>
          </cell>
          <cell r="D9">
            <v>3.9</v>
          </cell>
          <cell r="E9">
            <v>67390</v>
          </cell>
          <cell r="F9">
            <v>1.6</v>
          </cell>
          <cell r="G9">
            <v>44810</v>
          </cell>
        </row>
        <row r="10">
          <cell r="A10" t="str">
            <v>11-1031</v>
          </cell>
          <cell r="B10" t="str">
            <v>Legislators</v>
          </cell>
          <cell r="C10">
            <v>26510</v>
          </cell>
          <cell r="D10">
            <v>3.9</v>
          </cell>
          <cell r="E10">
            <v>67390</v>
          </cell>
          <cell r="F10">
            <v>1.6</v>
          </cell>
          <cell r="G10">
            <v>44810</v>
          </cell>
        </row>
        <row r="11">
          <cell r="A11" t="str">
            <v>11-2000</v>
          </cell>
          <cell r="B11" t="str">
            <v>Advertising, Marketing, Promotions, Public Relations, and Sales Managers</v>
          </cell>
          <cell r="C11">
            <v>1122770</v>
          </cell>
          <cell r="D11">
            <v>0.5</v>
          </cell>
          <cell r="E11">
            <v>163740</v>
          </cell>
          <cell r="F11">
            <v>0.3</v>
          </cell>
          <cell r="G11">
            <v>144530</v>
          </cell>
        </row>
        <row r="12">
          <cell r="A12" t="str">
            <v>11-2010</v>
          </cell>
          <cell r="B12" t="str">
            <v>Advertising and Promotions Managers</v>
          </cell>
          <cell r="C12">
            <v>21100</v>
          </cell>
          <cell r="D12">
            <v>4.5999999999999996</v>
          </cell>
          <cell r="E12">
            <v>149270</v>
          </cell>
          <cell r="F12">
            <v>2.2999999999999998</v>
          </cell>
          <cell r="G12">
            <v>126960</v>
          </cell>
        </row>
        <row r="13">
          <cell r="A13" t="str">
            <v>11-2011</v>
          </cell>
          <cell r="B13" t="str">
            <v>Advertising and Promotions Managers</v>
          </cell>
          <cell r="C13">
            <v>21100</v>
          </cell>
          <cell r="D13">
            <v>4.5999999999999996</v>
          </cell>
          <cell r="E13">
            <v>149270</v>
          </cell>
          <cell r="F13">
            <v>2.2999999999999998</v>
          </cell>
          <cell r="G13">
            <v>126960</v>
          </cell>
        </row>
        <row r="14">
          <cell r="A14" t="str">
            <v>11-2020</v>
          </cell>
          <cell r="B14" t="str">
            <v>Marketing and Sales Managers</v>
          </cell>
          <cell r="C14">
            <v>988680</v>
          </cell>
          <cell r="D14">
            <v>0.6</v>
          </cell>
          <cell r="E14">
            <v>165050</v>
          </cell>
          <cell r="F14">
            <v>0.3</v>
          </cell>
          <cell r="G14">
            <v>148870</v>
          </cell>
        </row>
        <row r="15">
          <cell r="A15" t="str">
            <v>11-2021</v>
          </cell>
          <cell r="B15" t="str">
            <v>Marketing Managers</v>
          </cell>
          <cell r="C15">
            <v>384980</v>
          </cell>
          <cell r="D15">
            <v>0.8</v>
          </cell>
          <cell r="E15">
            <v>171520</v>
          </cell>
          <cell r="F15">
            <v>0.6</v>
          </cell>
          <cell r="G15">
            <v>161030</v>
          </cell>
        </row>
        <row r="16">
          <cell r="A16" t="str">
            <v>11-2022</v>
          </cell>
          <cell r="B16" t="str">
            <v>Sales Managers</v>
          </cell>
          <cell r="C16">
            <v>603710</v>
          </cell>
          <cell r="D16">
            <v>0.8</v>
          </cell>
          <cell r="E16">
            <v>160930</v>
          </cell>
          <cell r="F16">
            <v>0.5</v>
          </cell>
          <cell r="G16">
            <v>138060</v>
          </cell>
        </row>
        <row r="17">
          <cell r="A17" t="str">
            <v>11-2030</v>
          </cell>
          <cell r="B17" t="str">
            <v>Public Relations and Fundraising Managers</v>
          </cell>
          <cell r="C17">
            <v>112980</v>
          </cell>
          <cell r="D17">
            <v>1.1000000000000001</v>
          </cell>
          <cell r="E17">
            <v>154950</v>
          </cell>
          <cell r="F17">
            <v>0.8</v>
          </cell>
          <cell r="G17">
            <v>132870</v>
          </cell>
        </row>
        <row r="18">
          <cell r="A18" t="str">
            <v>11-2032</v>
          </cell>
          <cell r="B18" t="str">
            <v>Public Relations Managers</v>
          </cell>
          <cell r="C18">
            <v>76060</v>
          </cell>
          <cell r="D18">
            <v>1.3</v>
          </cell>
          <cell r="E18">
            <v>163520</v>
          </cell>
          <cell r="F18">
            <v>1.1000000000000001</v>
          </cell>
          <cell r="G18">
            <v>138520</v>
          </cell>
        </row>
        <row r="19">
          <cell r="A19" t="str">
            <v>11-2033</v>
          </cell>
          <cell r="B19" t="str">
            <v>Fundraising Managers</v>
          </cell>
          <cell r="C19">
            <v>36920</v>
          </cell>
          <cell r="D19">
            <v>1.6</v>
          </cell>
          <cell r="E19">
            <v>137290</v>
          </cell>
          <cell r="F19">
            <v>0.8</v>
          </cell>
          <cell r="G19">
            <v>123480</v>
          </cell>
        </row>
        <row r="20">
          <cell r="A20" t="str">
            <v>11-3000</v>
          </cell>
          <cell r="B20" t="str">
            <v>Operations Specialties Managers</v>
          </cell>
          <cell r="C20">
            <v>2669000</v>
          </cell>
          <cell r="D20">
            <v>0.3</v>
          </cell>
          <cell r="E20">
            <v>160590</v>
          </cell>
          <cell r="F20">
            <v>0.2</v>
          </cell>
          <cell r="G20">
            <v>140330</v>
          </cell>
        </row>
        <row r="21">
          <cell r="A21" t="str">
            <v>11-3010</v>
          </cell>
          <cell r="B21" t="str">
            <v>Administrative Services and Facilities Managers</v>
          </cell>
          <cell r="C21">
            <v>395230</v>
          </cell>
          <cell r="D21">
            <v>0.5</v>
          </cell>
          <cell r="E21">
            <v>121920</v>
          </cell>
          <cell r="F21">
            <v>0.3</v>
          </cell>
          <cell r="G21">
            <v>106880</v>
          </cell>
        </row>
        <row r="22">
          <cell r="A22" t="str">
            <v>11-3012</v>
          </cell>
          <cell r="B22" t="str">
            <v>Administrative Services Managers</v>
          </cell>
          <cell r="C22">
            <v>254140</v>
          </cell>
          <cell r="D22">
            <v>0.7</v>
          </cell>
          <cell r="E22">
            <v>126030</v>
          </cell>
          <cell r="F22">
            <v>0.4</v>
          </cell>
          <cell r="G22">
            <v>108390</v>
          </cell>
        </row>
        <row r="23">
          <cell r="A23" t="str">
            <v>11-3013</v>
          </cell>
          <cell r="B23" t="str">
            <v>Facilities Managers</v>
          </cell>
          <cell r="C23">
            <v>141090</v>
          </cell>
          <cell r="D23">
            <v>0.7</v>
          </cell>
          <cell r="E23">
            <v>114520</v>
          </cell>
          <cell r="F23">
            <v>0.4</v>
          </cell>
          <cell r="G23">
            <v>104690</v>
          </cell>
        </row>
        <row r="24">
          <cell r="A24" t="str">
            <v>11-3020</v>
          </cell>
          <cell r="B24" t="str">
            <v>Computer and Information Systems Managers</v>
          </cell>
          <cell r="C24">
            <v>645970</v>
          </cell>
          <cell r="D24">
            <v>0.6</v>
          </cell>
          <cell r="E24">
            <v>187990</v>
          </cell>
          <cell r="F24">
            <v>0.3</v>
          </cell>
          <cell r="G24">
            <v>171200</v>
          </cell>
        </row>
        <row r="25">
          <cell r="A25" t="str">
            <v>11-3021</v>
          </cell>
          <cell r="B25" t="str">
            <v>Computer and Information Systems Managers</v>
          </cell>
          <cell r="C25">
            <v>645970</v>
          </cell>
          <cell r="D25">
            <v>0.6</v>
          </cell>
          <cell r="E25">
            <v>187990</v>
          </cell>
          <cell r="F25">
            <v>0.3</v>
          </cell>
          <cell r="G25">
            <v>171200</v>
          </cell>
        </row>
        <row r="26">
          <cell r="A26" t="str">
            <v>11-3030</v>
          </cell>
          <cell r="B26" t="str">
            <v>Financial Managers</v>
          </cell>
          <cell r="C26">
            <v>818620</v>
          </cell>
          <cell r="D26">
            <v>0.7</v>
          </cell>
          <cell r="E26">
            <v>180470</v>
          </cell>
          <cell r="F26">
            <v>0.3</v>
          </cell>
          <cell r="G26">
            <v>161700</v>
          </cell>
        </row>
        <row r="27">
          <cell r="A27" t="str">
            <v>11-3031</v>
          </cell>
          <cell r="B27" t="str">
            <v>Financial Managers</v>
          </cell>
          <cell r="C27">
            <v>818620</v>
          </cell>
          <cell r="D27">
            <v>0.7</v>
          </cell>
          <cell r="E27">
            <v>180470</v>
          </cell>
          <cell r="F27">
            <v>0.3</v>
          </cell>
          <cell r="G27">
            <v>161700</v>
          </cell>
        </row>
        <row r="28">
          <cell r="A28" t="str">
            <v>11-3050</v>
          </cell>
          <cell r="B28" t="str">
            <v>Industrial Production Managers</v>
          </cell>
          <cell r="C28">
            <v>234380</v>
          </cell>
          <cell r="D28">
            <v>0.6</v>
          </cell>
          <cell r="E28">
            <v>129180</v>
          </cell>
          <cell r="F28">
            <v>0.3</v>
          </cell>
          <cell r="G28">
            <v>121440</v>
          </cell>
        </row>
        <row r="29">
          <cell r="A29" t="str">
            <v>11-3051</v>
          </cell>
          <cell r="B29" t="str">
            <v>Industrial Production Managers</v>
          </cell>
          <cell r="C29">
            <v>234380</v>
          </cell>
          <cell r="D29">
            <v>0.6</v>
          </cell>
          <cell r="E29">
            <v>129180</v>
          </cell>
          <cell r="F29">
            <v>0.3</v>
          </cell>
          <cell r="G29">
            <v>121440</v>
          </cell>
        </row>
        <row r="30">
          <cell r="A30" t="str">
            <v>11-3060</v>
          </cell>
          <cell r="B30" t="str">
            <v>Purchasing Managers</v>
          </cell>
          <cell r="C30">
            <v>81240</v>
          </cell>
          <cell r="D30">
            <v>0.8</v>
          </cell>
          <cell r="E30">
            <v>150630</v>
          </cell>
          <cell r="F30">
            <v>0.3</v>
          </cell>
          <cell r="G30">
            <v>139510</v>
          </cell>
        </row>
        <row r="31">
          <cell r="A31" t="str">
            <v>11-3061</v>
          </cell>
          <cell r="B31" t="str">
            <v>Purchasing Managers</v>
          </cell>
          <cell r="C31">
            <v>81240</v>
          </cell>
          <cell r="D31">
            <v>0.8</v>
          </cell>
          <cell r="E31">
            <v>150630</v>
          </cell>
          <cell r="F31">
            <v>0.3</v>
          </cell>
          <cell r="G31">
            <v>139510</v>
          </cell>
        </row>
        <row r="32">
          <cell r="A32" t="str">
            <v>11-3070</v>
          </cell>
          <cell r="B32" t="str">
            <v>Transportation, Storage, and Distribution Managers</v>
          </cell>
          <cell r="C32">
            <v>213000</v>
          </cell>
          <cell r="D32">
            <v>0.8</v>
          </cell>
          <cell r="E32">
            <v>116010</v>
          </cell>
          <cell r="F32">
            <v>0.6</v>
          </cell>
          <cell r="G32">
            <v>102010</v>
          </cell>
        </row>
        <row r="33">
          <cell r="A33" t="str">
            <v>11-3071</v>
          </cell>
          <cell r="B33" t="str">
            <v>Transportation, Storage, and Distribution Managers</v>
          </cell>
          <cell r="C33">
            <v>213000</v>
          </cell>
          <cell r="D33">
            <v>0.8</v>
          </cell>
          <cell r="E33">
            <v>116010</v>
          </cell>
          <cell r="F33">
            <v>0.6</v>
          </cell>
          <cell r="G33">
            <v>102010</v>
          </cell>
        </row>
        <row r="34">
          <cell r="A34" t="str">
            <v>11-3110</v>
          </cell>
          <cell r="B34" t="str">
            <v>Compensation and Benefits Managers</v>
          </cell>
          <cell r="C34">
            <v>20070</v>
          </cell>
          <cell r="D34">
            <v>2.1</v>
          </cell>
          <cell r="E34">
            <v>156230</v>
          </cell>
          <cell r="F34">
            <v>1.1000000000000001</v>
          </cell>
          <cell r="G34">
            <v>140360</v>
          </cell>
        </row>
        <row r="35">
          <cell r="A35" t="str">
            <v>11-3111</v>
          </cell>
          <cell r="B35" t="str">
            <v>Compensation and Benefits Managers</v>
          </cell>
          <cell r="C35">
            <v>20070</v>
          </cell>
          <cell r="D35">
            <v>2.1</v>
          </cell>
          <cell r="E35">
            <v>156230</v>
          </cell>
          <cell r="F35">
            <v>1.1000000000000001</v>
          </cell>
          <cell r="G35">
            <v>140360</v>
          </cell>
        </row>
        <row r="36">
          <cell r="A36" t="str">
            <v>11-3120</v>
          </cell>
          <cell r="B36" t="str">
            <v>Human Resources Managers</v>
          </cell>
          <cell r="C36">
            <v>215520</v>
          </cell>
          <cell r="D36">
            <v>0.6</v>
          </cell>
          <cell r="E36">
            <v>160480</v>
          </cell>
          <cell r="F36">
            <v>0.4</v>
          </cell>
          <cell r="G36">
            <v>140030</v>
          </cell>
        </row>
        <row r="37">
          <cell r="A37" t="str">
            <v>11-3121</v>
          </cell>
          <cell r="B37" t="str">
            <v>Human Resources Managers</v>
          </cell>
          <cell r="C37">
            <v>215520</v>
          </cell>
          <cell r="D37">
            <v>0.6</v>
          </cell>
          <cell r="E37">
            <v>160480</v>
          </cell>
          <cell r="F37">
            <v>0.4</v>
          </cell>
          <cell r="G37">
            <v>140030</v>
          </cell>
        </row>
        <row r="38">
          <cell r="A38" t="str">
            <v>11-3130</v>
          </cell>
          <cell r="B38" t="str">
            <v>Training and Development Managers</v>
          </cell>
          <cell r="C38">
            <v>44960</v>
          </cell>
          <cell r="D38">
            <v>1.7</v>
          </cell>
          <cell r="E38">
            <v>140590</v>
          </cell>
          <cell r="F38">
            <v>0.6</v>
          </cell>
          <cell r="G38">
            <v>127090</v>
          </cell>
        </row>
        <row r="39">
          <cell r="A39" t="str">
            <v>11-3131</v>
          </cell>
          <cell r="B39" t="str">
            <v>Training and Development Managers</v>
          </cell>
          <cell r="C39">
            <v>44960</v>
          </cell>
          <cell r="D39">
            <v>1.7</v>
          </cell>
          <cell r="E39">
            <v>140590</v>
          </cell>
          <cell r="F39">
            <v>0.6</v>
          </cell>
          <cell r="G39">
            <v>127090</v>
          </cell>
        </row>
        <row r="40">
          <cell r="A40" t="str">
            <v>11-9000</v>
          </cell>
          <cell r="B40" t="str">
            <v>Other Management Occupations</v>
          </cell>
          <cell r="C40">
            <v>3352280</v>
          </cell>
          <cell r="D40">
            <v>0.3</v>
          </cell>
          <cell r="E40">
            <v>121560</v>
          </cell>
          <cell r="F40">
            <v>0.4</v>
          </cell>
          <cell r="G40">
            <v>104030</v>
          </cell>
        </row>
        <row r="41">
          <cell r="A41" t="str">
            <v>11-9010</v>
          </cell>
          <cell r="B41" t="str">
            <v>Farmers, Ranchers, and Other Agricultural Managers</v>
          </cell>
          <cell r="C41">
            <v>5910</v>
          </cell>
          <cell r="D41">
            <v>4.2</v>
          </cell>
          <cell r="E41">
            <v>97240</v>
          </cell>
          <cell r="F41">
            <v>1.8</v>
          </cell>
          <cell r="G41">
            <v>87980</v>
          </cell>
        </row>
        <row r="42">
          <cell r="A42" t="str">
            <v>11-9013</v>
          </cell>
          <cell r="B42" t="str">
            <v>Farmers, Ranchers, and Other Agricultural Managers</v>
          </cell>
          <cell r="C42">
            <v>5910</v>
          </cell>
          <cell r="D42">
            <v>4.2</v>
          </cell>
          <cell r="E42">
            <v>97240</v>
          </cell>
          <cell r="F42">
            <v>1.8</v>
          </cell>
          <cell r="G42">
            <v>87980</v>
          </cell>
        </row>
        <row r="43">
          <cell r="A43" t="str">
            <v>11-9020</v>
          </cell>
          <cell r="B43" t="str">
            <v>Construction Managers</v>
          </cell>
          <cell r="C43">
            <v>348330</v>
          </cell>
          <cell r="D43">
            <v>1</v>
          </cell>
          <cell r="E43">
            <v>119660</v>
          </cell>
          <cell r="F43">
            <v>0.4</v>
          </cell>
          <cell r="G43">
            <v>106980</v>
          </cell>
        </row>
        <row r="44">
          <cell r="A44" t="str">
            <v>11-9021</v>
          </cell>
          <cell r="B44" t="str">
            <v>Construction Managers</v>
          </cell>
          <cell r="C44">
            <v>348330</v>
          </cell>
          <cell r="D44">
            <v>1</v>
          </cell>
          <cell r="E44">
            <v>119660</v>
          </cell>
          <cell r="F44">
            <v>0.4</v>
          </cell>
          <cell r="G44">
            <v>106980</v>
          </cell>
        </row>
        <row r="45">
          <cell r="A45" t="str">
            <v>11-9030</v>
          </cell>
          <cell r="B45" t="str">
            <v>Education and Childcare Administrators</v>
          </cell>
          <cell r="C45">
            <v>621000</v>
          </cell>
          <cell r="D45">
            <v>0.4</v>
          </cell>
          <cell r="E45">
            <v>109470</v>
          </cell>
          <cell r="F45">
            <v>0.3</v>
          </cell>
          <cell r="G45">
            <v>100650</v>
          </cell>
        </row>
        <row r="46">
          <cell r="A46" t="str">
            <v>11-9031</v>
          </cell>
          <cell r="B46" t="str">
            <v>Education and Childcare Administrators, Preschool and Daycare</v>
          </cell>
          <cell r="C46">
            <v>71620</v>
          </cell>
          <cell r="D46">
            <v>1.8</v>
          </cell>
          <cell r="E46">
            <v>62640</v>
          </cell>
          <cell r="F46">
            <v>1</v>
          </cell>
          <cell r="G46">
            <v>56270</v>
          </cell>
        </row>
        <row r="47">
          <cell r="A47" t="str">
            <v>11-9032</v>
          </cell>
          <cell r="B47" t="str">
            <v>Education Administrators, Kindergarten through Secondary</v>
          </cell>
          <cell r="C47">
            <v>319630</v>
          </cell>
          <cell r="D47">
            <v>0.7</v>
          </cell>
          <cell r="E47">
            <v>113360</v>
          </cell>
          <cell r="F47">
            <v>0.4</v>
          </cell>
          <cell r="G47">
            <v>104070</v>
          </cell>
        </row>
        <row r="48">
          <cell r="A48" t="str">
            <v>11-9033</v>
          </cell>
          <cell r="B48" t="str">
            <v>Education Administrators, Postsecondary</v>
          </cell>
          <cell r="C48">
            <v>176420</v>
          </cell>
          <cell r="D48">
            <v>0.3</v>
          </cell>
          <cell r="E48">
            <v>124450</v>
          </cell>
          <cell r="F48">
            <v>0.3</v>
          </cell>
          <cell r="G48">
            <v>103960</v>
          </cell>
        </row>
        <row r="49">
          <cell r="A49" t="str">
            <v>11-9039</v>
          </cell>
          <cell r="B49" t="str">
            <v>Education Administrators, All Other</v>
          </cell>
          <cell r="C49">
            <v>53330</v>
          </cell>
          <cell r="D49">
            <v>1.9</v>
          </cell>
          <cell r="E49">
            <v>99460</v>
          </cell>
          <cell r="F49">
            <v>0.9</v>
          </cell>
          <cell r="G49">
            <v>89040</v>
          </cell>
        </row>
        <row r="50">
          <cell r="A50" t="str">
            <v>11-9040</v>
          </cell>
          <cell r="B50" t="str">
            <v>Architectural and Engineering Managers</v>
          </cell>
          <cell r="C50">
            <v>210340</v>
          </cell>
          <cell r="D50">
            <v>0.8</v>
          </cell>
          <cell r="E50">
            <v>175710</v>
          </cell>
          <cell r="F50">
            <v>0.5</v>
          </cell>
          <cell r="G50">
            <v>167740</v>
          </cell>
        </row>
        <row r="51">
          <cell r="A51" t="str">
            <v>11-9041</v>
          </cell>
          <cell r="B51" t="str">
            <v>Architectural and Engineering Managers</v>
          </cell>
          <cell r="C51">
            <v>210340</v>
          </cell>
          <cell r="D51">
            <v>0.8</v>
          </cell>
          <cell r="E51">
            <v>175710</v>
          </cell>
          <cell r="F51">
            <v>0.5</v>
          </cell>
          <cell r="G51">
            <v>167740</v>
          </cell>
        </row>
        <row r="52">
          <cell r="A52" t="str">
            <v>11-9050</v>
          </cell>
          <cell r="B52" t="str">
            <v>Food Service Managers</v>
          </cell>
          <cell r="C52">
            <v>244230</v>
          </cell>
          <cell r="D52">
            <v>1.6</v>
          </cell>
          <cell r="E52">
            <v>72370</v>
          </cell>
          <cell r="F52">
            <v>0.7</v>
          </cell>
          <cell r="G52">
            <v>65310</v>
          </cell>
        </row>
        <row r="53">
          <cell r="A53" t="str">
            <v>11-9051</v>
          </cell>
          <cell r="B53" t="str">
            <v>Food Service Managers</v>
          </cell>
          <cell r="C53">
            <v>244230</v>
          </cell>
          <cell r="D53">
            <v>1.6</v>
          </cell>
          <cell r="E53">
            <v>72370</v>
          </cell>
          <cell r="F53">
            <v>0.7</v>
          </cell>
          <cell r="G53">
            <v>65310</v>
          </cell>
        </row>
        <row r="54">
          <cell r="A54" t="str">
            <v>11-9070</v>
          </cell>
          <cell r="B54" t="str">
            <v>Entertainment and Recreation Managers</v>
          </cell>
          <cell r="C54">
            <v>41320</v>
          </cell>
          <cell r="D54">
            <v>1.7</v>
          </cell>
          <cell r="E54">
            <v>88780</v>
          </cell>
          <cell r="F54">
            <v>0.8</v>
          </cell>
          <cell r="G54">
            <v>77650</v>
          </cell>
        </row>
        <row r="55">
          <cell r="A55" t="str">
            <v>11-9071</v>
          </cell>
          <cell r="B55" t="str">
            <v>Gambling Managers</v>
          </cell>
          <cell r="C55">
            <v>4620</v>
          </cell>
          <cell r="D55">
            <v>2.2000000000000002</v>
          </cell>
          <cell r="E55">
            <v>102480</v>
          </cell>
          <cell r="F55">
            <v>1.6</v>
          </cell>
          <cell r="G55">
            <v>85580</v>
          </cell>
        </row>
        <row r="56">
          <cell r="A56" t="str">
            <v>11-9072</v>
          </cell>
          <cell r="B56" t="str">
            <v>Entertainment and Recreation Managers, Except Gambling</v>
          </cell>
          <cell r="C56">
            <v>36700</v>
          </cell>
          <cell r="D56">
            <v>2</v>
          </cell>
          <cell r="E56">
            <v>87060</v>
          </cell>
          <cell r="F56">
            <v>0.9</v>
          </cell>
          <cell r="G56">
            <v>77180</v>
          </cell>
        </row>
        <row r="57">
          <cell r="A57" t="str">
            <v>11-9080</v>
          </cell>
          <cell r="B57" t="str">
            <v>Lodging Managers</v>
          </cell>
          <cell r="C57">
            <v>41350</v>
          </cell>
          <cell r="D57">
            <v>2.7</v>
          </cell>
          <cell r="E57">
            <v>77460</v>
          </cell>
          <cell r="F57">
            <v>1.2</v>
          </cell>
          <cell r="G57">
            <v>68130</v>
          </cell>
        </row>
        <row r="58">
          <cell r="A58" t="str">
            <v>11-9081</v>
          </cell>
          <cell r="B58" t="str">
            <v>Lodging Managers</v>
          </cell>
          <cell r="C58">
            <v>41350</v>
          </cell>
          <cell r="D58">
            <v>2.7</v>
          </cell>
          <cell r="E58">
            <v>77460</v>
          </cell>
          <cell r="F58">
            <v>1.2</v>
          </cell>
          <cell r="G58">
            <v>68130</v>
          </cell>
        </row>
        <row r="59">
          <cell r="A59" t="str">
            <v>11-9110</v>
          </cell>
          <cell r="B59" t="str">
            <v>Medical and Health Services Managers</v>
          </cell>
          <cell r="C59">
            <v>565840</v>
          </cell>
          <cell r="D59">
            <v>0.5</v>
          </cell>
          <cell r="E59">
            <v>137730</v>
          </cell>
          <cell r="F59">
            <v>0.4</v>
          </cell>
          <cell r="G59">
            <v>117960</v>
          </cell>
        </row>
        <row r="60">
          <cell r="A60" t="str">
            <v>11-9111</v>
          </cell>
          <cell r="B60" t="str">
            <v>Medical and Health Services Managers</v>
          </cell>
          <cell r="C60">
            <v>565840</v>
          </cell>
          <cell r="D60">
            <v>0.5</v>
          </cell>
          <cell r="E60">
            <v>137730</v>
          </cell>
          <cell r="F60">
            <v>0.4</v>
          </cell>
          <cell r="G60">
            <v>117960</v>
          </cell>
        </row>
        <row r="61">
          <cell r="A61" t="str">
            <v>11-9120</v>
          </cell>
          <cell r="B61" t="str">
            <v>Natural Sciences Managers</v>
          </cell>
          <cell r="C61">
            <v>100870</v>
          </cell>
          <cell r="D61">
            <v>1.6</v>
          </cell>
          <cell r="E61">
            <v>173500</v>
          </cell>
          <cell r="F61">
            <v>0.9</v>
          </cell>
          <cell r="G61">
            <v>161180</v>
          </cell>
        </row>
        <row r="62">
          <cell r="A62" t="str">
            <v>11-9121</v>
          </cell>
          <cell r="B62" t="str">
            <v>Natural Sciences Managers</v>
          </cell>
          <cell r="C62">
            <v>100870</v>
          </cell>
          <cell r="D62">
            <v>1.6</v>
          </cell>
          <cell r="E62">
            <v>173500</v>
          </cell>
          <cell r="F62">
            <v>0.9</v>
          </cell>
          <cell r="G62">
            <v>161180</v>
          </cell>
        </row>
        <row r="63">
          <cell r="A63" t="str">
            <v>11-9130</v>
          </cell>
          <cell r="B63" t="str">
            <v>Postmasters and Mail Superintendents</v>
          </cell>
          <cell r="C63">
            <v>13810</v>
          </cell>
          <cell r="D63">
            <v>0</v>
          </cell>
          <cell r="E63">
            <v>93760</v>
          </cell>
          <cell r="F63">
            <v>0</v>
          </cell>
          <cell r="G63">
            <v>92730</v>
          </cell>
        </row>
        <row r="64">
          <cell r="A64" t="str">
            <v>11-9131</v>
          </cell>
          <cell r="B64" t="str">
            <v>Postmasters and Mail Superintendents</v>
          </cell>
          <cell r="C64">
            <v>13810</v>
          </cell>
          <cell r="D64">
            <v>0</v>
          </cell>
          <cell r="E64">
            <v>93760</v>
          </cell>
          <cell r="F64">
            <v>0</v>
          </cell>
          <cell r="G64">
            <v>92730</v>
          </cell>
        </row>
        <row r="65">
          <cell r="A65" t="str">
            <v>11-9140</v>
          </cell>
          <cell r="B65" t="str">
            <v>Property, Real Estate, and Community Association Managers</v>
          </cell>
          <cell r="C65">
            <v>296640</v>
          </cell>
          <cell r="D65">
            <v>1.8</v>
          </cell>
          <cell r="E65">
            <v>82720</v>
          </cell>
          <cell r="F65">
            <v>3.4</v>
          </cell>
          <cell r="G65">
            <v>66700</v>
          </cell>
        </row>
        <row r="66">
          <cell r="A66" t="str">
            <v>11-9141</v>
          </cell>
          <cell r="B66" t="str">
            <v>Property, Real Estate, and Community Association Managers</v>
          </cell>
          <cell r="C66">
            <v>296640</v>
          </cell>
          <cell r="D66">
            <v>1.8</v>
          </cell>
          <cell r="E66">
            <v>82720</v>
          </cell>
          <cell r="F66">
            <v>3.4</v>
          </cell>
          <cell r="G66">
            <v>66700</v>
          </cell>
        </row>
        <row r="67">
          <cell r="A67" t="str">
            <v>11-9150</v>
          </cell>
          <cell r="B67" t="str">
            <v>Social and Community Service Managers</v>
          </cell>
          <cell r="C67">
            <v>195490</v>
          </cell>
          <cell r="D67">
            <v>1.1000000000000001</v>
          </cell>
          <cell r="E67">
            <v>86100</v>
          </cell>
          <cell r="F67">
            <v>1</v>
          </cell>
          <cell r="G67">
            <v>78240</v>
          </cell>
        </row>
        <row r="68">
          <cell r="A68" t="str">
            <v>11-9151</v>
          </cell>
          <cell r="B68" t="str">
            <v>Social and Community Service Managers</v>
          </cell>
          <cell r="C68">
            <v>195490</v>
          </cell>
          <cell r="D68">
            <v>1.1000000000000001</v>
          </cell>
          <cell r="E68">
            <v>86100</v>
          </cell>
          <cell r="F68">
            <v>1</v>
          </cell>
          <cell r="G68">
            <v>78240</v>
          </cell>
        </row>
        <row r="69">
          <cell r="A69" t="str">
            <v>11-9160</v>
          </cell>
          <cell r="B69" t="str">
            <v>Emergency Management Directors</v>
          </cell>
          <cell r="C69">
            <v>12570</v>
          </cell>
          <cell r="D69">
            <v>1.3</v>
          </cell>
          <cell r="E69">
            <v>97700</v>
          </cell>
          <cell r="F69">
            <v>0.7</v>
          </cell>
          <cell r="G69">
            <v>86130</v>
          </cell>
        </row>
        <row r="70">
          <cell r="A70" t="str">
            <v>11-9161</v>
          </cell>
          <cell r="B70" t="str">
            <v>Emergency Management Directors</v>
          </cell>
          <cell r="C70">
            <v>12570</v>
          </cell>
          <cell r="D70">
            <v>1.3</v>
          </cell>
          <cell r="E70">
            <v>97700</v>
          </cell>
          <cell r="F70">
            <v>0.7</v>
          </cell>
          <cell r="G70">
            <v>86130</v>
          </cell>
        </row>
        <row r="71">
          <cell r="A71" t="str">
            <v>11-9170</v>
          </cell>
          <cell r="B71" t="str">
            <v>Personal Service Managers</v>
          </cell>
          <cell r="C71">
            <v>23610</v>
          </cell>
          <cell r="D71">
            <v>2.8</v>
          </cell>
          <cell r="E71">
            <v>78970</v>
          </cell>
          <cell r="F71">
            <v>1</v>
          </cell>
          <cell r="G71">
            <v>70560</v>
          </cell>
        </row>
        <row r="72">
          <cell r="A72" t="str">
            <v>11-9171</v>
          </cell>
          <cell r="B72" t="str">
            <v>Funeral Home Managers</v>
          </cell>
          <cell r="C72">
            <v>13120</v>
          </cell>
          <cell r="D72">
            <v>1.9</v>
          </cell>
          <cell r="E72">
            <v>85650</v>
          </cell>
          <cell r="F72">
            <v>1.1000000000000001</v>
          </cell>
          <cell r="G72">
            <v>76830</v>
          </cell>
        </row>
        <row r="73">
          <cell r="A73" t="str">
            <v>11-9179</v>
          </cell>
          <cell r="B73" t="str">
            <v>Personal Service Managers, All Other</v>
          </cell>
          <cell r="C73">
            <v>10490</v>
          </cell>
          <cell r="D73">
            <v>5.5</v>
          </cell>
          <cell r="E73">
            <v>70620</v>
          </cell>
          <cell r="F73">
            <v>1.7</v>
          </cell>
          <cell r="G73">
            <v>61340</v>
          </cell>
        </row>
        <row r="74">
          <cell r="A74" t="str">
            <v>11-9190</v>
          </cell>
          <cell r="B74" t="str">
            <v>Miscellaneous Managers</v>
          </cell>
          <cell r="C74">
            <v>630980</v>
          </cell>
          <cell r="D74">
            <v>0.5</v>
          </cell>
          <cell r="E74">
            <v>149890</v>
          </cell>
          <cell r="F74">
            <v>0.4</v>
          </cell>
          <cell r="G74">
            <v>136550</v>
          </cell>
        </row>
        <row r="75">
          <cell r="A75" t="str">
            <v>11-9199</v>
          </cell>
          <cell r="B75" t="str">
            <v>Managers, All Other</v>
          </cell>
          <cell r="C75">
            <v>630980</v>
          </cell>
          <cell r="D75">
            <v>0.5</v>
          </cell>
          <cell r="E75">
            <v>149890</v>
          </cell>
          <cell r="F75">
            <v>0.4</v>
          </cell>
          <cell r="G75">
            <v>136550</v>
          </cell>
        </row>
        <row r="76">
          <cell r="A76" t="str">
            <v>13-0000</v>
          </cell>
          <cell r="B76" t="str">
            <v>Business and Financial Operations Occupations</v>
          </cell>
          <cell r="C76">
            <v>10351440</v>
          </cell>
          <cell r="D76">
            <v>0.2</v>
          </cell>
          <cell r="E76">
            <v>93680</v>
          </cell>
          <cell r="F76">
            <v>0.4</v>
          </cell>
          <cell r="G76">
            <v>80920</v>
          </cell>
        </row>
        <row r="77">
          <cell r="A77" t="str">
            <v>13-1000</v>
          </cell>
          <cell r="B77" t="str">
            <v>Business Operations Specialists</v>
          </cell>
          <cell r="C77">
            <v>7318320</v>
          </cell>
          <cell r="D77">
            <v>0.3</v>
          </cell>
          <cell r="E77">
            <v>91020</v>
          </cell>
          <cell r="F77">
            <v>0.5</v>
          </cell>
          <cell r="G77">
            <v>80410</v>
          </cell>
        </row>
        <row r="78">
          <cell r="A78" t="str">
            <v>13-1010</v>
          </cell>
          <cell r="B78" t="str">
            <v>Agents and Business Managers of Artists, Performers, and Athletes</v>
          </cell>
          <cell r="C78">
            <v>14220</v>
          </cell>
          <cell r="D78">
            <v>6.7</v>
          </cell>
          <cell r="E78">
            <v>165600</v>
          </cell>
          <cell r="F78">
            <v>10.199999999999999</v>
          </cell>
          <cell r="G78">
            <v>96310</v>
          </cell>
        </row>
        <row r="79">
          <cell r="A79" t="str">
            <v>13-1011</v>
          </cell>
          <cell r="B79" t="str">
            <v>Agents and Business Managers of Artists, Performers, and Athletes</v>
          </cell>
          <cell r="C79">
            <v>14220</v>
          </cell>
          <cell r="D79">
            <v>6.7</v>
          </cell>
          <cell r="E79">
            <v>165600</v>
          </cell>
          <cell r="F79">
            <v>10.199999999999999</v>
          </cell>
          <cell r="G79">
            <v>96310</v>
          </cell>
        </row>
        <row r="80">
          <cell r="A80" t="str">
            <v>13-1020</v>
          </cell>
          <cell r="B80" t="str">
            <v>Buyers and Purchasing Agents</v>
          </cell>
          <cell r="C80">
            <v>486900</v>
          </cell>
          <cell r="D80">
            <v>0.6</v>
          </cell>
          <cell r="E80">
            <v>81720</v>
          </cell>
          <cell r="F80">
            <v>0.4</v>
          </cell>
          <cell r="G80">
            <v>75650</v>
          </cell>
        </row>
        <row r="81">
          <cell r="A81" t="str">
            <v>13-1020</v>
          </cell>
          <cell r="B81" t="str">
            <v>Buyers and Purchasing Agents</v>
          </cell>
          <cell r="C81">
            <v>486900</v>
          </cell>
          <cell r="D81">
            <v>0.6</v>
          </cell>
          <cell r="E81">
            <v>81720</v>
          </cell>
          <cell r="F81">
            <v>0.4</v>
          </cell>
          <cell r="G81">
            <v>75650</v>
          </cell>
        </row>
        <row r="82">
          <cell r="A82" t="str">
            <v>13-1030</v>
          </cell>
          <cell r="B82" t="str">
            <v>Claims Adjusters, Appraisers, Examiners, and Investigators</v>
          </cell>
          <cell r="C82">
            <v>312810</v>
          </cell>
          <cell r="D82">
            <v>1.2</v>
          </cell>
          <cell r="E82">
            <v>78720</v>
          </cell>
          <cell r="F82">
            <v>0.4</v>
          </cell>
          <cell r="G82">
            <v>76790</v>
          </cell>
        </row>
        <row r="83">
          <cell r="A83" t="str">
            <v>13-1031</v>
          </cell>
          <cell r="B83" t="str">
            <v>Claims Adjusters, Examiners, and Investigators</v>
          </cell>
          <cell r="C83">
            <v>305020</v>
          </cell>
          <cell r="D83">
            <v>1.2</v>
          </cell>
          <cell r="E83">
            <v>78770</v>
          </cell>
          <cell r="F83">
            <v>0.4</v>
          </cell>
          <cell r="G83">
            <v>76790</v>
          </cell>
        </row>
        <row r="84">
          <cell r="A84" t="str">
            <v>13-1032</v>
          </cell>
          <cell r="B84" t="str">
            <v>Insurance Appraisers, Auto Damage</v>
          </cell>
          <cell r="C84">
            <v>7790</v>
          </cell>
          <cell r="D84">
            <v>7.5</v>
          </cell>
          <cell r="E84">
            <v>77050</v>
          </cell>
          <cell r="F84">
            <v>1.8</v>
          </cell>
          <cell r="G84">
            <v>76650</v>
          </cell>
        </row>
        <row r="85">
          <cell r="A85" t="str">
            <v>13-1040</v>
          </cell>
          <cell r="B85" t="str">
            <v>Compliance Officers</v>
          </cell>
          <cell r="C85">
            <v>397770</v>
          </cell>
          <cell r="D85">
            <v>0.7</v>
          </cell>
          <cell r="E85">
            <v>84980</v>
          </cell>
          <cell r="F85">
            <v>0.3</v>
          </cell>
          <cell r="G85">
            <v>78420</v>
          </cell>
        </row>
        <row r="86">
          <cell r="A86" t="str">
            <v>13-1041</v>
          </cell>
          <cell r="B86" t="str">
            <v>Compliance Officers</v>
          </cell>
          <cell r="C86">
            <v>397770</v>
          </cell>
          <cell r="D86">
            <v>0.7</v>
          </cell>
          <cell r="E86">
            <v>84980</v>
          </cell>
          <cell r="F86">
            <v>0.3</v>
          </cell>
          <cell r="G86">
            <v>78420</v>
          </cell>
        </row>
        <row r="87">
          <cell r="A87" t="str">
            <v>13-1050</v>
          </cell>
          <cell r="B87" t="str">
            <v>Cost Estimators</v>
          </cell>
          <cell r="C87">
            <v>219530</v>
          </cell>
          <cell r="D87">
            <v>1.1000000000000001</v>
          </cell>
          <cell r="E87">
            <v>83160</v>
          </cell>
          <cell r="F87">
            <v>0.6</v>
          </cell>
          <cell r="G87">
            <v>77070</v>
          </cell>
        </row>
        <row r="88">
          <cell r="A88" t="str">
            <v>13-1051</v>
          </cell>
          <cell r="B88" t="str">
            <v>Cost Estimators</v>
          </cell>
          <cell r="C88">
            <v>219530</v>
          </cell>
          <cell r="D88">
            <v>1.1000000000000001</v>
          </cell>
          <cell r="E88">
            <v>83160</v>
          </cell>
          <cell r="F88">
            <v>0.6</v>
          </cell>
          <cell r="G88">
            <v>77070</v>
          </cell>
        </row>
        <row r="89">
          <cell r="A89" t="str">
            <v>13-1070</v>
          </cell>
          <cell r="B89" t="str">
            <v>Human Resources Workers</v>
          </cell>
          <cell r="C89">
            <v>982460</v>
          </cell>
          <cell r="D89">
            <v>0.5</v>
          </cell>
          <cell r="E89">
            <v>80860</v>
          </cell>
          <cell r="F89">
            <v>0.3</v>
          </cell>
          <cell r="G89">
            <v>74220</v>
          </cell>
        </row>
        <row r="90">
          <cell r="A90" t="str">
            <v>13-1071</v>
          </cell>
          <cell r="B90" t="str">
            <v>Human Resources Specialists</v>
          </cell>
          <cell r="C90">
            <v>917460</v>
          </cell>
          <cell r="D90">
            <v>0.6</v>
          </cell>
          <cell r="E90">
            <v>79730</v>
          </cell>
          <cell r="F90">
            <v>0.3</v>
          </cell>
          <cell r="G90">
            <v>72910</v>
          </cell>
        </row>
        <row r="91">
          <cell r="A91" t="str">
            <v>13-1074</v>
          </cell>
          <cell r="B91" t="str">
            <v>Farm Labor Contractors</v>
          </cell>
          <cell r="C91">
            <v>410</v>
          </cell>
          <cell r="D91">
            <v>28.3</v>
          </cell>
          <cell r="E91">
            <v>51910</v>
          </cell>
          <cell r="F91">
            <v>8.6999999999999993</v>
          </cell>
          <cell r="G91">
            <v>48690</v>
          </cell>
        </row>
        <row r="92">
          <cell r="A92" t="str">
            <v>13-1075</v>
          </cell>
          <cell r="B92" t="str">
            <v>Labor Relations Specialists</v>
          </cell>
          <cell r="C92">
            <v>64590</v>
          </cell>
          <cell r="D92">
            <v>1.5</v>
          </cell>
          <cell r="E92">
            <v>97130</v>
          </cell>
          <cell r="F92">
            <v>1</v>
          </cell>
          <cell r="G92">
            <v>93500</v>
          </cell>
        </row>
        <row r="93">
          <cell r="A93" t="str">
            <v>13-1080</v>
          </cell>
          <cell r="B93" t="str">
            <v>Logisticians and Project Management Specialists</v>
          </cell>
          <cell r="C93">
            <v>1241800</v>
          </cell>
          <cell r="D93">
            <v>0.4</v>
          </cell>
          <cell r="E93">
            <v>104210</v>
          </cell>
          <cell r="F93">
            <v>0.4</v>
          </cell>
          <cell r="G93">
            <v>98070</v>
          </cell>
        </row>
        <row r="94">
          <cell r="A94" t="str">
            <v>13-1081</v>
          </cell>
          <cell r="B94" t="str">
            <v>Logisticians</v>
          </cell>
          <cell r="C94">
            <v>235640</v>
          </cell>
          <cell r="D94">
            <v>1</v>
          </cell>
          <cell r="E94">
            <v>87600</v>
          </cell>
          <cell r="F94">
            <v>0.4</v>
          </cell>
          <cell r="G94">
            <v>80880</v>
          </cell>
        </row>
        <row r="95">
          <cell r="A95" t="str">
            <v>13-1082</v>
          </cell>
          <cell r="B95" t="str">
            <v>Project Management Specialists</v>
          </cell>
          <cell r="C95">
            <v>1006160</v>
          </cell>
          <cell r="D95">
            <v>0.5</v>
          </cell>
          <cell r="E95">
            <v>108100</v>
          </cell>
          <cell r="F95">
            <v>0.4</v>
          </cell>
          <cell r="G95">
            <v>100750</v>
          </cell>
        </row>
        <row r="96">
          <cell r="A96" t="str">
            <v>13-1110</v>
          </cell>
          <cell r="B96" t="str">
            <v>Management Analysts</v>
          </cell>
          <cell r="C96">
            <v>893900</v>
          </cell>
          <cell r="D96">
            <v>1.2</v>
          </cell>
          <cell r="E96">
            <v>114710</v>
          </cell>
          <cell r="F96">
            <v>3.3</v>
          </cell>
          <cell r="G96">
            <v>101190</v>
          </cell>
        </row>
        <row r="97">
          <cell r="A97" t="str">
            <v>13-1111</v>
          </cell>
          <cell r="B97" t="str">
            <v>Management Analysts</v>
          </cell>
          <cell r="C97">
            <v>893900</v>
          </cell>
          <cell r="D97">
            <v>1.2</v>
          </cell>
          <cell r="E97">
            <v>114710</v>
          </cell>
          <cell r="F97">
            <v>3.3</v>
          </cell>
          <cell r="G97">
            <v>101190</v>
          </cell>
        </row>
        <row r="98">
          <cell r="A98" t="str">
            <v>13-1120</v>
          </cell>
          <cell r="B98" t="str">
            <v>Meeting, Convention, and Event Planners</v>
          </cell>
          <cell r="C98">
            <v>134670</v>
          </cell>
          <cell r="D98">
            <v>1.6</v>
          </cell>
          <cell r="E98">
            <v>65090</v>
          </cell>
          <cell r="F98">
            <v>1.1000000000000001</v>
          </cell>
          <cell r="G98">
            <v>59440</v>
          </cell>
        </row>
        <row r="99">
          <cell r="A99" t="str">
            <v>13-1121</v>
          </cell>
          <cell r="B99" t="str">
            <v>Meeting, Convention, and Event Planners</v>
          </cell>
          <cell r="C99">
            <v>134670</v>
          </cell>
          <cell r="D99">
            <v>1.6</v>
          </cell>
          <cell r="E99">
            <v>65090</v>
          </cell>
          <cell r="F99">
            <v>1.1000000000000001</v>
          </cell>
          <cell r="G99">
            <v>59440</v>
          </cell>
        </row>
        <row r="100">
          <cell r="A100" t="str">
            <v>13-1130</v>
          </cell>
          <cell r="B100" t="str">
            <v>Fundraisers</v>
          </cell>
          <cell r="C100">
            <v>105930</v>
          </cell>
          <cell r="D100">
            <v>2</v>
          </cell>
          <cell r="E100">
            <v>73130</v>
          </cell>
          <cell r="F100">
            <v>0.7</v>
          </cell>
          <cell r="G100">
            <v>66490</v>
          </cell>
        </row>
        <row r="101">
          <cell r="A101" t="str">
            <v>13-1131</v>
          </cell>
          <cell r="B101" t="str">
            <v>Fundraisers</v>
          </cell>
          <cell r="C101">
            <v>105930</v>
          </cell>
          <cell r="D101">
            <v>2</v>
          </cell>
          <cell r="E101">
            <v>73130</v>
          </cell>
          <cell r="F101">
            <v>0.7</v>
          </cell>
          <cell r="G101">
            <v>66490</v>
          </cell>
        </row>
        <row r="102">
          <cell r="A102" t="str">
            <v>13-1140</v>
          </cell>
          <cell r="B102" t="str">
            <v>Compensation, Benefits, and Job Analysis Specialists</v>
          </cell>
          <cell r="C102">
            <v>102370</v>
          </cell>
          <cell r="D102">
            <v>2.7</v>
          </cell>
          <cell r="E102">
            <v>82920</v>
          </cell>
          <cell r="F102">
            <v>0.7</v>
          </cell>
          <cell r="G102">
            <v>77020</v>
          </cell>
        </row>
        <row r="103">
          <cell r="A103" t="str">
            <v>13-1141</v>
          </cell>
          <cell r="B103" t="str">
            <v>Compensation, Benefits, and Job Analysis Specialists</v>
          </cell>
          <cell r="C103">
            <v>102370</v>
          </cell>
          <cell r="D103">
            <v>2.7</v>
          </cell>
          <cell r="E103">
            <v>82920</v>
          </cell>
          <cell r="F103">
            <v>0.7</v>
          </cell>
          <cell r="G103">
            <v>77020</v>
          </cell>
        </row>
        <row r="104">
          <cell r="A104" t="str">
            <v>13-1150</v>
          </cell>
          <cell r="B104" t="str">
            <v>Training and Development Specialists</v>
          </cell>
          <cell r="C104">
            <v>436610</v>
          </cell>
          <cell r="D104">
            <v>0.8</v>
          </cell>
          <cell r="E104">
            <v>73760</v>
          </cell>
          <cell r="F104">
            <v>0.5</v>
          </cell>
          <cell r="G104">
            <v>65850</v>
          </cell>
        </row>
        <row r="105">
          <cell r="A105" t="str">
            <v>13-1151</v>
          </cell>
          <cell r="B105" t="str">
            <v>Training and Development Specialists</v>
          </cell>
          <cell r="C105">
            <v>436610</v>
          </cell>
          <cell r="D105">
            <v>0.8</v>
          </cell>
          <cell r="E105">
            <v>73760</v>
          </cell>
          <cell r="F105">
            <v>0.5</v>
          </cell>
          <cell r="G105">
            <v>65850</v>
          </cell>
        </row>
        <row r="106">
          <cell r="A106" t="str">
            <v>13-1160</v>
          </cell>
          <cell r="B106" t="str">
            <v>Market Research Analysts and Marketing Specialists</v>
          </cell>
          <cell r="C106">
            <v>861140</v>
          </cell>
          <cell r="D106">
            <v>0.7</v>
          </cell>
          <cell r="E106">
            <v>86480</v>
          </cell>
          <cell r="F106">
            <v>0.4</v>
          </cell>
          <cell r="G106">
            <v>76950</v>
          </cell>
        </row>
        <row r="107">
          <cell r="A107" t="str">
            <v>13-1161</v>
          </cell>
          <cell r="B107" t="str">
            <v>Market Research Analysts and Marketing Specialists</v>
          </cell>
          <cell r="C107">
            <v>861140</v>
          </cell>
          <cell r="D107">
            <v>0.7</v>
          </cell>
          <cell r="E107">
            <v>86480</v>
          </cell>
          <cell r="F107">
            <v>0.4</v>
          </cell>
          <cell r="G107">
            <v>76950</v>
          </cell>
        </row>
        <row r="108">
          <cell r="A108" t="str">
            <v>13-1190</v>
          </cell>
          <cell r="B108" t="str">
            <v>Miscellaneous Business Operations Specialists</v>
          </cell>
          <cell r="C108">
            <v>1128200</v>
          </cell>
          <cell r="D108">
            <v>0.6</v>
          </cell>
          <cell r="E108">
            <v>92380</v>
          </cell>
          <cell r="F108">
            <v>0.4</v>
          </cell>
          <cell r="G108">
            <v>81270</v>
          </cell>
        </row>
        <row r="109">
          <cell r="A109" t="str">
            <v>13-1199</v>
          </cell>
          <cell r="B109" t="str">
            <v>Business Operations Specialists, All Other</v>
          </cell>
          <cell r="C109">
            <v>1128200</v>
          </cell>
          <cell r="D109">
            <v>0.6</v>
          </cell>
          <cell r="E109">
            <v>92380</v>
          </cell>
          <cell r="F109">
            <v>0.4</v>
          </cell>
          <cell r="G109">
            <v>81270</v>
          </cell>
        </row>
        <row r="110">
          <cell r="A110" t="str">
            <v>13-2000</v>
          </cell>
          <cell r="B110" t="str">
            <v>Financial Specialists</v>
          </cell>
          <cell r="C110">
            <v>3033120</v>
          </cell>
          <cell r="D110">
            <v>0.4</v>
          </cell>
          <cell r="E110">
            <v>100090</v>
          </cell>
          <cell r="F110">
            <v>0.5</v>
          </cell>
          <cell r="G110">
            <v>82140</v>
          </cell>
        </row>
        <row r="111">
          <cell r="A111" t="str">
            <v>13-2010</v>
          </cell>
          <cell r="B111" t="str">
            <v>Accountants and Auditors</v>
          </cell>
          <cell r="C111">
            <v>1448290</v>
          </cell>
          <cell r="D111">
            <v>0.7</v>
          </cell>
          <cell r="E111">
            <v>93520</v>
          </cell>
          <cell r="F111">
            <v>0.3</v>
          </cell>
          <cell r="G111">
            <v>81680</v>
          </cell>
        </row>
        <row r="112">
          <cell r="A112" t="str">
            <v>13-2011</v>
          </cell>
          <cell r="B112" t="str">
            <v>Accountants and Auditors</v>
          </cell>
          <cell r="C112">
            <v>1448290</v>
          </cell>
          <cell r="D112">
            <v>0.7</v>
          </cell>
          <cell r="E112">
            <v>93520</v>
          </cell>
          <cell r="F112">
            <v>0.3</v>
          </cell>
          <cell r="G112">
            <v>81680</v>
          </cell>
        </row>
        <row r="113">
          <cell r="A113" t="str">
            <v>13-2020</v>
          </cell>
          <cell r="B113" t="str">
            <v>Property Appraisers and Assessors</v>
          </cell>
          <cell r="C113">
            <v>59070</v>
          </cell>
          <cell r="D113">
            <v>2.7</v>
          </cell>
          <cell r="E113">
            <v>77160</v>
          </cell>
          <cell r="F113">
            <v>2.5</v>
          </cell>
          <cell r="G113">
            <v>65420</v>
          </cell>
        </row>
        <row r="114">
          <cell r="A114" t="str">
            <v>13-2020</v>
          </cell>
          <cell r="B114" t="str">
            <v>Property Appraisers and Assessors</v>
          </cell>
          <cell r="C114">
            <v>59070</v>
          </cell>
          <cell r="D114">
            <v>2.7</v>
          </cell>
          <cell r="E114">
            <v>77160</v>
          </cell>
          <cell r="F114">
            <v>2.5</v>
          </cell>
          <cell r="G114">
            <v>65420</v>
          </cell>
        </row>
        <row r="115">
          <cell r="A115" t="str">
            <v>13-2030</v>
          </cell>
          <cell r="B115" t="str">
            <v>Budget Analysts</v>
          </cell>
          <cell r="C115">
            <v>47170</v>
          </cell>
          <cell r="D115">
            <v>1.1000000000000001</v>
          </cell>
          <cell r="E115">
            <v>93920</v>
          </cell>
          <cell r="F115">
            <v>0.5</v>
          </cell>
          <cell r="G115">
            <v>87930</v>
          </cell>
        </row>
        <row r="116">
          <cell r="A116" t="str">
            <v>13-2031</v>
          </cell>
          <cell r="B116" t="str">
            <v>Budget Analysts</v>
          </cell>
          <cell r="C116">
            <v>47170</v>
          </cell>
          <cell r="D116">
            <v>1.1000000000000001</v>
          </cell>
          <cell r="E116">
            <v>93920</v>
          </cell>
          <cell r="F116">
            <v>0.5</v>
          </cell>
          <cell r="G116">
            <v>87930</v>
          </cell>
        </row>
        <row r="117">
          <cell r="A117" t="str">
            <v>13-2040</v>
          </cell>
          <cell r="B117" t="str">
            <v>Credit Analysts</v>
          </cell>
          <cell r="C117">
            <v>67370</v>
          </cell>
          <cell r="D117">
            <v>1.7</v>
          </cell>
          <cell r="E117">
            <v>98040</v>
          </cell>
          <cell r="F117">
            <v>0.8</v>
          </cell>
          <cell r="G117">
            <v>80970</v>
          </cell>
        </row>
        <row r="118">
          <cell r="A118" t="str">
            <v>13-2041</v>
          </cell>
          <cell r="B118" t="str">
            <v>Credit Analysts</v>
          </cell>
          <cell r="C118">
            <v>67370</v>
          </cell>
          <cell r="D118">
            <v>1.7</v>
          </cell>
          <cell r="E118">
            <v>98040</v>
          </cell>
          <cell r="F118">
            <v>0.8</v>
          </cell>
          <cell r="G118">
            <v>80970</v>
          </cell>
        </row>
        <row r="119">
          <cell r="A119" t="str">
            <v>13-2050</v>
          </cell>
          <cell r="B119" t="str">
            <v>Financial Analysts and Advisors</v>
          </cell>
          <cell r="C119">
            <v>775200</v>
          </cell>
          <cell r="D119">
            <v>0.8</v>
          </cell>
          <cell r="E119">
            <v>128420</v>
          </cell>
          <cell r="F119">
            <v>1.1000000000000001</v>
          </cell>
          <cell r="G119">
            <v>99990</v>
          </cell>
        </row>
        <row r="120">
          <cell r="A120" t="str">
            <v>13-2051</v>
          </cell>
          <cell r="B120" t="str">
            <v>Financial and Investment Analysts</v>
          </cell>
          <cell r="C120">
            <v>340580</v>
          </cell>
          <cell r="D120">
            <v>1.1000000000000001</v>
          </cell>
          <cell r="E120">
            <v>116490</v>
          </cell>
          <cell r="F120">
            <v>0.7</v>
          </cell>
          <cell r="G120">
            <v>101350</v>
          </cell>
        </row>
        <row r="121">
          <cell r="A121" t="str">
            <v>13-2052</v>
          </cell>
          <cell r="B121" t="str">
            <v>Personal Financial Advisors</v>
          </cell>
          <cell r="C121">
            <v>270480</v>
          </cell>
          <cell r="D121">
            <v>1.6</v>
          </cell>
          <cell r="E121">
            <v>160210</v>
          </cell>
          <cell r="F121">
            <v>2.5</v>
          </cell>
          <cell r="G121">
            <v>102140</v>
          </cell>
        </row>
        <row r="122">
          <cell r="A122" t="str">
            <v>13-2053</v>
          </cell>
          <cell r="B122" t="str">
            <v>Insurance Underwriters</v>
          </cell>
          <cell r="C122">
            <v>107820</v>
          </cell>
          <cell r="D122">
            <v>2.4</v>
          </cell>
          <cell r="E122">
            <v>90830</v>
          </cell>
          <cell r="F122">
            <v>0.8</v>
          </cell>
          <cell r="G122">
            <v>79880</v>
          </cell>
        </row>
        <row r="123">
          <cell r="A123" t="str">
            <v>13-2054</v>
          </cell>
          <cell r="B123" t="str">
            <v>Financial Risk Specialists</v>
          </cell>
          <cell r="C123">
            <v>56320</v>
          </cell>
          <cell r="D123">
            <v>1.8</v>
          </cell>
          <cell r="E123">
            <v>119930</v>
          </cell>
          <cell r="F123">
            <v>0.7</v>
          </cell>
          <cell r="G123">
            <v>106000</v>
          </cell>
        </row>
        <row r="124">
          <cell r="A124" t="str">
            <v>13-2060</v>
          </cell>
          <cell r="B124" t="str">
            <v>Financial Examiners</v>
          </cell>
          <cell r="C124">
            <v>62830</v>
          </cell>
          <cell r="D124">
            <v>1.8</v>
          </cell>
          <cell r="E124">
            <v>103650</v>
          </cell>
          <cell r="F124">
            <v>0.6</v>
          </cell>
          <cell r="G124">
            <v>90400</v>
          </cell>
        </row>
        <row r="125">
          <cell r="A125" t="str">
            <v>13-2061</v>
          </cell>
          <cell r="B125" t="str">
            <v>Financial Examiners</v>
          </cell>
          <cell r="C125">
            <v>62830</v>
          </cell>
          <cell r="D125">
            <v>1.8</v>
          </cell>
          <cell r="E125">
            <v>103650</v>
          </cell>
          <cell r="F125">
            <v>0.6</v>
          </cell>
          <cell r="G125">
            <v>90400</v>
          </cell>
        </row>
        <row r="126">
          <cell r="A126" t="str">
            <v>13-2070</v>
          </cell>
          <cell r="B126" t="str">
            <v>Credit Counselors and Loan Officers</v>
          </cell>
          <cell r="C126">
            <v>318640</v>
          </cell>
          <cell r="D126">
            <v>1</v>
          </cell>
          <cell r="E126">
            <v>83360</v>
          </cell>
          <cell r="F126">
            <v>0.6</v>
          </cell>
          <cell r="G126">
            <v>69040</v>
          </cell>
        </row>
        <row r="127">
          <cell r="A127" t="str">
            <v>13-2071</v>
          </cell>
          <cell r="B127" t="str">
            <v>Credit Counselors</v>
          </cell>
          <cell r="C127">
            <v>28110</v>
          </cell>
          <cell r="D127">
            <v>2.8</v>
          </cell>
          <cell r="E127">
            <v>55890</v>
          </cell>
          <cell r="F127">
            <v>0.6</v>
          </cell>
          <cell r="G127">
            <v>50480</v>
          </cell>
        </row>
        <row r="128">
          <cell r="A128" t="str">
            <v>13-2072</v>
          </cell>
          <cell r="B128" t="str">
            <v>Loan Officers</v>
          </cell>
          <cell r="C128">
            <v>290530</v>
          </cell>
          <cell r="D128">
            <v>1.1000000000000001</v>
          </cell>
          <cell r="E128">
            <v>86020</v>
          </cell>
          <cell r="F128">
            <v>0.6</v>
          </cell>
          <cell r="G128">
            <v>74180</v>
          </cell>
        </row>
        <row r="129">
          <cell r="A129" t="str">
            <v>13-2080</v>
          </cell>
          <cell r="B129" t="str">
            <v>Tax Examiners, Collectors and Preparers, and Revenue Agents</v>
          </cell>
          <cell r="C129">
            <v>127100</v>
          </cell>
          <cell r="D129">
            <v>1.9</v>
          </cell>
          <cell r="E129">
            <v>62530</v>
          </cell>
          <cell r="F129">
            <v>0.8</v>
          </cell>
          <cell r="G129">
            <v>56160</v>
          </cell>
        </row>
        <row r="130">
          <cell r="A130" t="str">
            <v>13-2081</v>
          </cell>
          <cell r="B130" t="str">
            <v>Tax Examiners and Collectors, and Revenue Agents</v>
          </cell>
          <cell r="C130">
            <v>53530</v>
          </cell>
          <cell r="D130">
            <v>0.8</v>
          </cell>
          <cell r="E130">
            <v>67570</v>
          </cell>
          <cell r="F130">
            <v>0.3</v>
          </cell>
          <cell r="G130">
            <v>59740</v>
          </cell>
        </row>
        <row r="131">
          <cell r="A131" t="str">
            <v>13-2082</v>
          </cell>
          <cell r="B131" t="str">
            <v>Tax Preparers</v>
          </cell>
          <cell r="C131">
            <v>73570</v>
          </cell>
          <cell r="D131">
            <v>3.1</v>
          </cell>
          <cell r="E131">
            <v>58860</v>
          </cell>
          <cell r="F131">
            <v>1.4</v>
          </cell>
          <cell r="G131">
            <v>50560</v>
          </cell>
        </row>
        <row r="132">
          <cell r="A132" t="str">
            <v>13-2090</v>
          </cell>
          <cell r="B132" t="str">
            <v>Miscellaneous Financial Specialists</v>
          </cell>
          <cell r="C132">
            <v>127450</v>
          </cell>
          <cell r="D132">
            <v>1.3</v>
          </cell>
          <cell r="E132">
            <v>93890</v>
          </cell>
          <cell r="F132">
            <v>1</v>
          </cell>
          <cell r="G132">
            <v>80190</v>
          </cell>
        </row>
        <row r="133">
          <cell r="A133" t="str">
            <v>13-2099</v>
          </cell>
          <cell r="B133" t="str">
            <v>Financial Specialists, All Other</v>
          </cell>
          <cell r="C133">
            <v>127450</v>
          </cell>
          <cell r="D133">
            <v>1.3</v>
          </cell>
          <cell r="E133">
            <v>93890</v>
          </cell>
          <cell r="F133">
            <v>1</v>
          </cell>
          <cell r="G133">
            <v>80190</v>
          </cell>
        </row>
        <row r="134">
          <cell r="A134" t="str">
            <v>15-0000</v>
          </cell>
          <cell r="B134" t="str">
            <v>Computer and Mathematical Occupations</v>
          </cell>
          <cell r="C134">
            <v>5192890</v>
          </cell>
          <cell r="D134">
            <v>0.4</v>
          </cell>
          <cell r="E134">
            <v>116810</v>
          </cell>
          <cell r="F134">
            <v>0.3</v>
          </cell>
          <cell r="G134">
            <v>105850</v>
          </cell>
        </row>
        <row r="135">
          <cell r="A135" t="str">
            <v>15-1200</v>
          </cell>
          <cell r="B135" t="str">
            <v>Computer Occupations</v>
          </cell>
          <cell r="C135">
            <v>4786660</v>
          </cell>
          <cell r="D135">
            <v>0.4</v>
          </cell>
          <cell r="E135">
            <v>116770</v>
          </cell>
          <cell r="F135">
            <v>0.4</v>
          </cell>
          <cell r="G135">
            <v>105990</v>
          </cell>
        </row>
        <row r="136">
          <cell r="A136" t="str">
            <v>15-1210</v>
          </cell>
          <cell r="B136" t="str">
            <v>Computer and Information Analysts</v>
          </cell>
          <cell r="C136">
            <v>677230</v>
          </cell>
          <cell r="D136">
            <v>0.9</v>
          </cell>
          <cell r="E136">
            <v>116130</v>
          </cell>
          <cell r="F136">
            <v>0.4</v>
          </cell>
          <cell r="G136">
            <v>106890</v>
          </cell>
        </row>
        <row r="137">
          <cell r="A137" t="str">
            <v>15-1211</v>
          </cell>
          <cell r="B137" t="str">
            <v>Computer Systems Analysts</v>
          </cell>
          <cell r="C137">
            <v>497800</v>
          </cell>
          <cell r="D137">
            <v>0.9</v>
          </cell>
          <cell r="E137">
            <v>111960</v>
          </cell>
          <cell r="F137">
            <v>0.5</v>
          </cell>
          <cell r="G137">
            <v>103790</v>
          </cell>
        </row>
        <row r="138">
          <cell r="A138" t="str">
            <v>15-1212</v>
          </cell>
          <cell r="B138" t="str">
            <v>Information Security Analysts</v>
          </cell>
          <cell r="C138">
            <v>179430</v>
          </cell>
          <cell r="D138">
            <v>2.1</v>
          </cell>
          <cell r="E138">
            <v>127730</v>
          </cell>
          <cell r="F138">
            <v>0.6</v>
          </cell>
          <cell r="G138">
            <v>124910</v>
          </cell>
        </row>
        <row r="139">
          <cell r="A139" t="str">
            <v>15-1220</v>
          </cell>
          <cell r="B139" t="str">
            <v>Computer and Information Research Scientists</v>
          </cell>
          <cell r="C139">
            <v>38480</v>
          </cell>
          <cell r="D139">
            <v>3.5</v>
          </cell>
          <cell r="E139">
            <v>152310</v>
          </cell>
          <cell r="F139">
            <v>1.1000000000000001</v>
          </cell>
          <cell r="G139">
            <v>140910</v>
          </cell>
        </row>
        <row r="140">
          <cell r="A140" t="str">
            <v>15-1221</v>
          </cell>
          <cell r="B140" t="str">
            <v>Computer and Information Research Scientists</v>
          </cell>
          <cell r="C140">
            <v>38480</v>
          </cell>
          <cell r="D140">
            <v>3.5</v>
          </cell>
          <cell r="E140">
            <v>152310</v>
          </cell>
          <cell r="F140">
            <v>1.1000000000000001</v>
          </cell>
          <cell r="G140">
            <v>140910</v>
          </cell>
        </row>
        <row r="141">
          <cell r="A141" t="str">
            <v>15-1230</v>
          </cell>
          <cell r="B141" t="str">
            <v>Computer Support Specialists</v>
          </cell>
          <cell r="C141">
            <v>843660</v>
          </cell>
          <cell r="D141">
            <v>0.7</v>
          </cell>
          <cell r="E141">
            <v>67530</v>
          </cell>
          <cell r="F141">
            <v>0.4</v>
          </cell>
          <cell r="G141">
            <v>61550</v>
          </cell>
        </row>
        <row r="142">
          <cell r="A142" t="str">
            <v>15-1231</v>
          </cell>
          <cell r="B142" t="str">
            <v>Computer Network Support Specialists</v>
          </cell>
          <cell r="C142">
            <v>146450</v>
          </cell>
          <cell r="D142">
            <v>2.2999999999999998</v>
          </cell>
          <cell r="E142">
            <v>79610</v>
          </cell>
          <cell r="F142">
            <v>0.8</v>
          </cell>
          <cell r="G142">
            <v>73340</v>
          </cell>
        </row>
        <row r="143">
          <cell r="A143" t="str">
            <v>15-1232</v>
          </cell>
          <cell r="B143" t="str">
            <v>Computer User Support Specialists</v>
          </cell>
          <cell r="C143">
            <v>697210</v>
          </cell>
          <cell r="D143">
            <v>0.9</v>
          </cell>
          <cell r="E143">
            <v>64990</v>
          </cell>
          <cell r="F143">
            <v>0.4</v>
          </cell>
          <cell r="G143">
            <v>60340</v>
          </cell>
        </row>
        <row r="144">
          <cell r="A144" t="str">
            <v>15-1240</v>
          </cell>
          <cell r="B144" t="str">
            <v>Database and Network Administrators and Architects</v>
          </cell>
          <cell r="C144">
            <v>633540</v>
          </cell>
          <cell r="D144">
            <v>1.2</v>
          </cell>
          <cell r="E144">
            <v>115840</v>
          </cell>
          <cell r="F144">
            <v>0.4</v>
          </cell>
          <cell r="G144">
            <v>107480</v>
          </cell>
        </row>
        <row r="145">
          <cell r="A145" t="str">
            <v>15-1241</v>
          </cell>
          <cell r="B145" t="str">
            <v>Computer Network Architects</v>
          </cell>
          <cell r="C145">
            <v>177010</v>
          </cell>
          <cell r="D145">
            <v>1.5</v>
          </cell>
          <cell r="E145">
            <v>135890</v>
          </cell>
          <cell r="F145">
            <v>0.9</v>
          </cell>
          <cell r="G145">
            <v>130390</v>
          </cell>
        </row>
        <row r="146">
          <cell r="A146" t="str">
            <v>15-1242</v>
          </cell>
          <cell r="B146" t="str">
            <v>Database Administrators</v>
          </cell>
          <cell r="C146">
            <v>73180</v>
          </cell>
          <cell r="D146">
            <v>3.4</v>
          </cell>
          <cell r="E146">
            <v>107440</v>
          </cell>
          <cell r="F146">
            <v>0.6</v>
          </cell>
          <cell r="G146">
            <v>104620</v>
          </cell>
        </row>
        <row r="147">
          <cell r="A147" t="str">
            <v>15-1243</v>
          </cell>
          <cell r="B147" t="str">
            <v>Database Architects</v>
          </cell>
          <cell r="C147">
            <v>64770</v>
          </cell>
          <cell r="D147">
            <v>2.7</v>
          </cell>
          <cell r="E147">
            <v>142620</v>
          </cell>
          <cell r="F147">
            <v>1.1000000000000001</v>
          </cell>
          <cell r="G147">
            <v>135980</v>
          </cell>
        </row>
        <row r="148">
          <cell r="A148" t="str">
            <v>15-1244</v>
          </cell>
          <cell r="B148" t="str">
            <v>Network and Computer Systems Administrators</v>
          </cell>
          <cell r="C148">
            <v>318570</v>
          </cell>
          <cell r="D148">
            <v>1.1000000000000001</v>
          </cell>
          <cell r="E148">
            <v>101190</v>
          </cell>
          <cell r="F148">
            <v>0.6</v>
          </cell>
          <cell r="G148">
            <v>96800</v>
          </cell>
        </row>
        <row r="149">
          <cell r="A149" t="str">
            <v>15-1250</v>
          </cell>
          <cell r="B149" t="str">
            <v>Software and Web Developers, Programmers, and Testers</v>
          </cell>
          <cell r="C149">
            <v>2154370</v>
          </cell>
          <cell r="D149">
            <v>0.6</v>
          </cell>
          <cell r="E149">
            <v>135910</v>
          </cell>
          <cell r="F149">
            <v>0.6</v>
          </cell>
          <cell r="G149">
            <v>129320</v>
          </cell>
        </row>
        <row r="150">
          <cell r="A150" t="str">
            <v>15-1251</v>
          </cell>
          <cell r="B150" t="str">
            <v>Computer Programmers</v>
          </cell>
          <cell r="C150">
            <v>109870</v>
          </cell>
          <cell r="D150">
            <v>2.5</v>
          </cell>
          <cell r="E150">
            <v>103640</v>
          </cell>
          <cell r="F150">
            <v>4.3</v>
          </cell>
          <cell r="G150">
            <v>98670</v>
          </cell>
        </row>
        <row r="151">
          <cell r="A151" t="str">
            <v>15-1252</v>
          </cell>
          <cell r="B151" t="str">
            <v>Software Developers</v>
          </cell>
          <cell r="C151">
            <v>1654440</v>
          </cell>
          <cell r="D151">
            <v>0.7</v>
          </cell>
          <cell r="E151">
            <v>144570</v>
          </cell>
          <cell r="F151">
            <v>0.6</v>
          </cell>
          <cell r="G151">
            <v>133080</v>
          </cell>
        </row>
        <row r="152">
          <cell r="A152" t="str">
            <v>15-1253</v>
          </cell>
          <cell r="B152" t="str">
            <v>Software Quality Assurance Analysts and Testers</v>
          </cell>
          <cell r="C152">
            <v>199800</v>
          </cell>
          <cell r="D152">
            <v>1.7</v>
          </cell>
          <cell r="E152">
            <v>110260</v>
          </cell>
          <cell r="F152">
            <v>0.7</v>
          </cell>
          <cell r="G152">
            <v>102610</v>
          </cell>
        </row>
        <row r="153">
          <cell r="A153" t="str">
            <v>15-1254</v>
          </cell>
          <cell r="B153" t="str">
            <v>Web Developers</v>
          </cell>
          <cell r="C153">
            <v>78860</v>
          </cell>
          <cell r="D153">
            <v>2.6</v>
          </cell>
          <cell r="E153">
            <v>98790</v>
          </cell>
          <cell r="F153">
            <v>1.1000000000000001</v>
          </cell>
          <cell r="G153">
            <v>90930</v>
          </cell>
        </row>
        <row r="154">
          <cell r="A154" t="str">
            <v>15-1255</v>
          </cell>
          <cell r="B154" t="str">
            <v>Web and Digital Interface Designers</v>
          </cell>
          <cell r="C154">
            <v>111400</v>
          </cell>
          <cell r="D154">
            <v>3.1</v>
          </cell>
          <cell r="E154">
            <v>111450</v>
          </cell>
          <cell r="F154">
            <v>0.9</v>
          </cell>
          <cell r="G154">
            <v>98090</v>
          </cell>
        </row>
        <row r="155">
          <cell r="A155" t="str">
            <v>15-1290</v>
          </cell>
          <cell r="B155" t="str">
            <v>Miscellaneous Computer Occupations</v>
          </cell>
          <cell r="C155">
            <v>439380</v>
          </cell>
          <cell r="D155">
            <v>1</v>
          </cell>
          <cell r="E155">
            <v>116700</v>
          </cell>
          <cell r="F155">
            <v>0.6</v>
          </cell>
          <cell r="G155">
            <v>108970</v>
          </cell>
        </row>
        <row r="156">
          <cell r="A156" t="str">
            <v>15-1299</v>
          </cell>
          <cell r="B156" t="str">
            <v>Computer Occupations, All Other</v>
          </cell>
          <cell r="C156">
            <v>439380</v>
          </cell>
          <cell r="D156">
            <v>1</v>
          </cell>
          <cell r="E156">
            <v>116700</v>
          </cell>
          <cell r="F156">
            <v>0.6</v>
          </cell>
          <cell r="G156">
            <v>108970</v>
          </cell>
        </row>
        <row r="157">
          <cell r="A157" t="str">
            <v>15-2000</v>
          </cell>
          <cell r="B157" t="str">
            <v>Mathematical Science Occupations</v>
          </cell>
          <cell r="C157">
            <v>406230</v>
          </cell>
          <cell r="D157">
            <v>1</v>
          </cell>
          <cell r="E157">
            <v>117190</v>
          </cell>
          <cell r="F157">
            <v>0.6</v>
          </cell>
          <cell r="G157">
            <v>104620</v>
          </cell>
        </row>
        <row r="158">
          <cell r="A158" t="str">
            <v>15-2010</v>
          </cell>
          <cell r="B158" t="str">
            <v>Actuaries</v>
          </cell>
          <cell r="C158">
            <v>28340</v>
          </cell>
          <cell r="D158">
            <v>3.6</v>
          </cell>
          <cell r="E158">
            <v>134990</v>
          </cell>
          <cell r="F158">
            <v>2.2000000000000002</v>
          </cell>
          <cell r="G158">
            <v>125770</v>
          </cell>
        </row>
        <row r="159">
          <cell r="A159" t="str">
            <v>15-2011</v>
          </cell>
          <cell r="B159" t="str">
            <v>Actuaries</v>
          </cell>
          <cell r="C159">
            <v>28340</v>
          </cell>
          <cell r="D159">
            <v>3.6</v>
          </cell>
          <cell r="E159">
            <v>134990</v>
          </cell>
          <cell r="F159">
            <v>2.2000000000000002</v>
          </cell>
          <cell r="G159">
            <v>125770</v>
          </cell>
        </row>
        <row r="160">
          <cell r="A160" t="str">
            <v>15-2020</v>
          </cell>
          <cell r="B160" t="str">
            <v>Mathematicians</v>
          </cell>
          <cell r="C160">
            <v>2220</v>
          </cell>
          <cell r="D160">
            <v>2.8</v>
          </cell>
          <cell r="E160">
            <v>122520</v>
          </cell>
          <cell r="F160">
            <v>1.1000000000000001</v>
          </cell>
          <cell r="G160">
            <v>121680</v>
          </cell>
        </row>
        <row r="161">
          <cell r="A161" t="str">
            <v>15-2021</v>
          </cell>
          <cell r="B161" t="str">
            <v>Mathematicians</v>
          </cell>
          <cell r="C161">
            <v>2220</v>
          </cell>
          <cell r="D161">
            <v>2.8</v>
          </cell>
          <cell r="E161">
            <v>122520</v>
          </cell>
          <cell r="F161">
            <v>1.1000000000000001</v>
          </cell>
          <cell r="G161">
            <v>121680</v>
          </cell>
        </row>
        <row r="162">
          <cell r="A162" t="str">
            <v>15-2030</v>
          </cell>
          <cell r="B162" t="str">
            <v>Operations Research Analysts</v>
          </cell>
          <cell r="C162">
            <v>107760</v>
          </cell>
          <cell r="D162">
            <v>1.5</v>
          </cell>
          <cell r="E162">
            <v>99120</v>
          </cell>
          <cell r="F162">
            <v>0.9</v>
          </cell>
          <cell r="G162">
            <v>91290</v>
          </cell>
        </row>
        <row r="163">
          <cell r="A163" t="str">
            <v>15-2031</v>
          </cell>
          <cell r="B163" t="str">
            <v>Operations Research Analysts</v>
          </cell>
          <cell r="C163">
            <v>107760</v>
          </cell>
          <cell r="D163">
            <v>1.5</v>
          </cell>
          <cell r="E163">
            <v>99120</v>
          </cell>
          <cell r="F163">
            <v>0.9</v>
          </cell>
          <cell r="G163">
            <v>91290</v>
          </cell>
        </row>
        <row r="164">
          <cell r="A164" t="str">
            <v>15-2040</v>
          </cell>
          <cell r="B164" t="str">
            <v>Statisticians</v>
          </cell>
          <cell r="C164">
            <v>29800</v>
          </cell>
          <cell r="D164">
            <v>3.2</v>
          </cell>
          <cell r="E164">
            <v>112330</v>
          </cell>
          <cell r="F164">
            <v>1.4</v>
          </cell>
          <cell r="G164">
            <v>103300</v>
          </cell>
        </row>
        <row r="165">
          <cell r="A165" t="str">
            <v>15-2041</v>
          </cell>
          <cell r="B165" t="str">
            <v>Statisticians</v>
          </cell>
          <cell r="C165">
            <v>29800</v>
          </cell>
          <cell r="D165">
            <v>3.2</v>
          </cell>
          <cell r="E165">
            <v>112330</v>
          </cell>
          <cell r="F165">
            <v>1.4</v>
          </cell>
          <cell r="G165">
            <v>103300</v>
          </cell>
        </row>
        <row r="166">
          <cell r="A166" t="str">
            <v>15-2050</v>
          </cell>
          <cell r="B166" t="str">
            <v>Data Scientists</v>
          </cell>
          <cell r="C166">
            <v>233440</v>
          </cell>
          <cell r="D166">
            <v>1.7</v>
          </cell>
          <cell r="E166">
            <v>124590</v>
          </cell>
          <cell r="F166">
            <v>0.9</v>
          </cell>
          <cell r="G166">
            <v>112590</v>
          </cell>
        </row>
        <row r="167">
          <cell r="A167" t="str">
            <v>15-2051</v>
          </cell>
          <cell r="B167" t="str">
            <v>Data Scientists</v>
          </cell>
          <cell r="C167">
            <v>233440</v>
          </cell>
          <cell r="D167">
            <v>1.7</v>
          </cell>
          <cell r="E167">
            <v>124590</v>
          </cell>
          <cell r="F167">
            <v>0.9</v>
          </cell>
          <cell r="G167">
            <v>112590</v>
          </cell>
        </row>
        <row r="168">
          <cell r="A168" t="str">
            <v>15-2090</v>
          </cell>
          <cell r="B168" t="str">
            <v>Miscellaneous Mathematical Science Occupations</v>
          </cell>
          <cell r="C168">
            <v>4660</v>
          </cell>
          <cell r="D168">
            <v>6.5</v>
          </cell>
          <cell r="E168">
            <v>84700</v>
          </cell>
          <cell r="F168">
            <v>3.5</v>
          </cell>
          <cell r="G168">
            <v>71490</v>
          </cell>
        </row>
        <row r="169">
          <cell r="A169" t="str">
            <v>15-2099</v>
          </cell>
          <cell r="B169" t="str">
            <v>Mathematical Science Occupations, All Other</v>
          </cell>
          <cell r="C169">
            <v>4660</v>
          </cell>
          <cell r="D169">
            <v>6.5</v>
          </cell>
          <cell r="E169">
            <v>84700</v>
          </cell>
          <cell r="F169">
            <v>3.5</v>
          </cell>
          <cell r="G169">
            <v>71490</v>
          </cell>
        </row>
        <row r="170">
          <cell r="A170" t="str">
            <v>17-0000</v>
          </cell>
          <cell r="B170" t="str">
            <v>Architecture and Engineering Occupations</v>
          </cell>
          <cell r="C170">
            <v>2567210</v>
          </cell>
          <cell r="D170">
            <v>0.4</v>
          </cell>
          <cell r="E170">
            <v>103980</v>
          </cell>
          <cell r="F170">
            <v>0.3</v>
          </cell>
          <cell r="G170">
            <v>97310</v>
          </cell>
        </row>
        <row r="171">
          <cell r="A171" t="str">
            <v>17-1000</v>
          </cell>
          <cell r="B171" t="str">
            <v>Architects, Surveyors, and Cartographers</v>
          </cell>
          <cell r="C171">
            <v>196590</v>
          </cell>
          <cell r="D171">
            <v>1.6</v>
          </cell>
          <cell r="E171">
            <v>93330</v>
          </cell>
          <cell r="F171">
            <v>0.8</v>
          </cell>
          <cell r="G171">
            <v>82990</v>
          </cell>
        </row>
        <row r="172">
          <cell r="A172" t="str">
            <v>17-1010</v>
          </cell>
          <cell r="B172" t="str">
            <v>Architects, Except Naval</v>
          </cell>
          <cell r="C172">
            <v>130720</v>
          </cell>
          <cell r="D172">
            <v>1.8</v>
          </cell>
          <cell r="E172">
            <v>101090</v>
          </cell>
          <cell r="F172">
            <v>0.9</v>
          </cell>
          <cell r="G172">
            <v>94010</v>
          </cell>
        </row>
        <row r="173">
          <cell r="A173" t="str">
            <v>17-1011</v>
          </cell>
          <cell r="B173" t="str">
            <v>Architects, Except Landscape and Naval</v>
          </cell>
          <cell r="C173">
            <v>111140</v>
          </cell>
          <cell r="D173">
            <v>1.9</v>
          </cell>
          <cell r="E173">
            <v>103390</v>
          </cell>
          <cell r="F173">
            <v>1</v>
          </cell>
          <cell r="G173">
            <v>96690</v>
          </cell>
        </row>
        <row r="174">
          <cell r="A174" t="str">
            <v>17-1012</v>
          </cell>
          <cell r="B174" t="str">
            <v>Landscape Architects</v>
          </cell>
          <cell r="C174">
            <v>19580</v>
          </cell>
          <cell r="D174">
            <v>11.3</v>
          </cell>
          <cell r="E174">
            <v>88000</v>
          </cell>
          <cell r="F174">
            <v>1.6</v>
          </cell>
          <cell r="G174">
            <v>79660</v>
          </cell>
        </row>
        <row r="175">
          <cell r="A175" t="str">
            <v>17-1020</v>
          </cell>
          <cell r="B175" t="str">
            <v>Surveyors, Cartographers, and Photogrammetrists</v>
          </cell>
          <cell r="C175">
            <v>65870</v>
          </cell>
          <cell r="D175">
            <v>2.4</v>
          </cell>
          <cell r="E175">
            <v>77920</v>
          </cell>
          <cell r="F175">
            <v>1</v>
          </cell>
          <cell r="G175">
            <v>74120</v>
          </cell>
        </row>
        <row r="176">
          <cell r="A176" t="str">
            <v>17-1021</v>
          </cell>
          <cell r="B176" t="str">
            <v>Cartographers and Photogrammetrists</v>
          </cell>
          <cell r="C176">
            <v>12790</v>
          </cell>
          <cell r="D176">
            <v>4</v>
          </cell>
          <cell r="E176">
            <v>82860</v>
          </cell>
          <cell r="F176">
            <v>1.1000000000000001</v>
          </cell>
          <cell r="G176">
            <v>78380</v>
          </cell>
        </row>
        <row r="177">
          <cell r="A177" t="str">
            <v>17-1022</v>
          </cell>
          <cell r="B177" t="str">
            <v>Surveyors</v>
          </cell>
          <cell r="C177">
            <v>53080</v>
          </cell>
          <cell r="D177">
            <v>2.7</v>
          </cell>
          <cell r="E177">
            <v>76730</v>
          </cell>
          <cell r="F177">
            <v>1.2</v>
          </cell>
          <cell r="G177">
            <v>72740</v>
          </cell>
        </row>
        <row r="178">
          <cell r="A178" t="str">
            <v>17-2000</v>
          </cell>
          <cell r="B178" t="str">
            <v>Engineers</v>
          </cell>
          <cell r="C178">
            <v>1746750</v>
          </cell>
          <cell r="D178">
            <v>0.4</v>
          </cell>
          <cell r="E178">
            <v>116760</v>
          </cell>
          <cell r="F178">
            <v>0.3</v>
          </cell>
          <cell r="G178">
            <v>106070</v>
          </cell>
        </row>
        <row r="179">
          <cell r="A179" t="str">
            <v>17-2010</v>
          </cell>
          <cell r="B179" t="str">
            <v>Aerospace Engineers</v>
          </cell>
          <cell r="C179">
            <v>68440</v>
          </cell>
          <cell r="D179">
            <v>2.2999999999999998</v>
          </cell>
          <cell r="E179">
            <v>141180</v>
          </cell>
          <cell r="F179">
            <v>0.8</v>
          </cell>
          <cell r="G179">
            <v>134830</v>
          </cell>
        </row>
        <row r="180">
          <cell r="A180" t="str">
            <v>17-2011</v>
          </cell>
          <cell r="B180" t="str">
            <v>Aerospace Engineers</v>
          </cell>
          <cell r="C180">
            <v>68440</v>
          </cell>
          <cell r="D180">
            <v>2.2999999999999998</v>
          </cell>
          <cell r="E180">
            <v>141180</v>
          </cell>
          <cell r="F180">
            <v>0.8</v>
          </cell>
          <cell r="G180">
            <v>134830</v>
          </cell>
        </row>
        <row r="181">
          <cell r="A181" t="str">
            <v>17-2020</v>
          </cell>
          <cell r="B181" t="str">
            <v>Agricultural Engineers</v>
          </cell>
          <cell r="C181">
            <v>1680</v>
          </cell>
          <cell r="D181">
            <v>33.6</v>
          </cell>
          <cell r="E181">
            <v>84240</v>
          </cell>
          <cell r="F181">
            <v>13.6</v>
          </cell>
          <cell r="G181">
            <v>84630</v>
          </cell>
        </row>
        <row r="182">
          <cell r="A182" t="str">
            <v>17-2021</v>
          </cell>
          <cell r="B182" t="str">
            <v>Agricultural Engineers</v>
          </cell>
          <cell r="C182">
            <v>1680</v>
          </cell>
          <cell r="D182">
            <v>33.6</v>
          </cell>
          <cell r="E182">
            <v>84240</v>
          </cell>
          <cell r="F182">
            <v>13.6</v>
          </cell>
          <cell r="G182">
            <v>84630</v>
          </cell>
        </row>
        <row r="183">
          <cell r="A183" t="str">
            <v>17-2030</v>
          </cell>
          <cell r="B183" t="str">
            <v>Bioengineers and Biomedical Engineers</v>
          </cell>
          <cell r="C183">
            <v>21860</v>
          </cell>
          <cell r="D183">
            <v>4</v>
          </cell>
          <cell r="E183">
            <v>115020</v>
          </cell>
          <cell r="F183">
            <v>0.9</v>
          </cell>
          <cell r="G183">
            <v>106950</v>
          </cell>
        </row>
        <row r="184">
          <cell r="A184" t="str">
            <v>17-2031</v>
          </cell>
          <cell r="B184" t="str">
            <v>Bioengineers and Biomedical Engineers</v>
          </cell>
          <cell r="C184">
            <v>21860</v>
          </cell>
          <cell r="D184">
            <v>4</v>
          </cell>
          <cell r="E184">
            <v>115020</v>
          </cell>
          <cell r="F184">
            <v>0.9</v>
          </cell>
          <cell r="G184">
            <v>106950</v>
          </cell>
        </row>
        <row r="185">
          <cell r="A185" t="str">
            <v>17-2040</v>
          </cell>
          <cell r="B185" t="str">
            <v>Chemical Engineers</v>
          </cell>
          <cell r="C185">
            <v>20330</v>
          </cell>
          <cell r="D185">
            <v>3.7</v>
          </cell>
          <cell r="E185">
            <v>128430</v>
          </cell>
          <cell r="F185">
            <v>2.4</v>
          </cell>
          <cell r="G185">
            <v>121860</v>
          </cell>
        </row>
        <row r="186">
          <cell r="A186" t="str">
            <v>17-2041</v>
          </cell>
          <cell r="B186" t="str">
            <v>Chemical Engineers</v>
          </cell>
          <cell r="C186">
            <v>20330</v>
          </cell>
          <cell r="D186">
            <v>3.7</v>
          </cell>
          <cell r="E186">
            <v>128430</v>
          </cell>
          <cell r="F186">
            <v>2.4</v>
          </cell>
          <cell r="G186">
            <v>121860</v>
          </cell>
        </row>
        <row r="187">
          <cell r="A187" t="str">
            <v>17-2050</v>
          </cell>
          <cell r="B187" t="str">
            <v>Civil Engineers</v>
          </cell>
          <cell r="C187">
            <v>355410</v>
          </cell>
          <cell r="D187">
            <v>1.1000000000000001</v>
          </cell>
          <cell r="E187">
            <v>107050</v>
          </cell>
          <cell r="F187">
            <v>0.7</v>
          </cell>
          <cell r="G187">
            <v>99590</v>
          </cell>
        </row>
        <row r="188">
          <cell r="A188" t="str">
            <v>17-2051</v>
          </cell>
          <cell r="B188" t="str">
            <v>Civil Engineers</v>
          </cell>
          <cell r="C188">
            <v>355410</v>
          </cell>
          <cell r="D188">
            <v>1.1000000000000001</v>
          </cell>
          <cell r="E188">
            <v>107050</v>
          </cell>
          <cell r="F188">
            <v>0.7</v>
          </cell>
          <cell r="G188">
            <v>99590</v>
          </cell>
        </row>
        <row r="189">
          <cell r="A189" t="str">
            <v>17-2060</v>
          </cell>
          <cell r="B189" t="str">
            <v>Computer Hardware Engineers</v>
          </cell>
          <cell r="C189">
            <v>75710</v>
          </cell>
          <cell r="D189">
            <v>2.8</v>
          </cell>
          <cell r="E189">
            <v>156770</v>
          </cell>
          <cell r="F189">
            <v>1.1000000000000001</v>
          </cell>
          <cell r="G189">
            <v>155020</v>
          </cell>
        </row>
        <row r="190">
          <cell r="A190" t="str">
            <v>17-2061</v>
          </cell>
          <cell r="B190" t="str">
            <v>Computer Hardware Engineers</v>
          </cell>
          <cell r="C190">
            <v>75710</v>
          </cell>
          <cell r="D190">
            <v>2.8</v>
          </cell>
          <cell r="E190">
            <v>156770</v>
          </cell>
          <cell r="F190">
            <v>1.1000000000000001</v>
          </cell>
          <cell r="G190">
            <v>155020</v>
          </cell>
        </row>
        <row r="191">
          <cell r="A191" t="str">
            <v>17-2070</v>
          </cell>
          <cell r="B191" t="str">
            <v>Electrical and Electronics Engineers</v>
          </cell>
          <cell r="C191">
            <v>282740</v>
          </cell>
          <cell r="D191">
            <v>1</v>
          </cell>
          <cell r="E191">
            <v>124810</v>
          </cell>
          <cell r="F191">
            <v>0.6</v>
          </cell>
          <cell r="G191">
            <v>118780</v>
          </cell>
        </row>
        <row r="192">
          <cell r="A192" t="str">
            <v>17-2071</v>
          </cell>
          <cell r="B192" t="str">
            <v>Electrical Engineers</v>
          </cell>
          <cell r="C192">
            <v>188790</v>
          </cell>
          <cell r="D192">
            <v>1.4</v>
          </cell>
          <cell r="E192">
            <v>120980</v>
          </cell>
          <cell r="F192">
            <v>0.7</v>
          </cell>
          <cell r="G192">
            <v>111910</v>
          </cell>
        </row>
        <row r="193">
          <cell r="A193" t="str">
            <v>17-2072</v>
          </cell>
          <cell r="B193" t="str">
            <v>Electronics Engineers, Except Computer</v>
          </cell>
          <cell r="C193">
            <v>93940</v>
          </cell>
          <cell r="D193">
            <v>1.7</v>
          </cell>
          <cell r="E193">
            <v>132500</v>
          </cell>
          <cell r="F193">
            <v>0.6</v>
          </cell>
          <cell r="G193">
            <v>127590</v>
          </cell>
        </row>
        <row r="194">
          <cell r="A194" t="str">
            <v>17-2080</v>
          </cell>
          <cell r="B194" t="str">
            <v>Environmental Engineers</v>
          </cell>
          <cell r="C194">
            <v>37950</v>
          </cell>
          <cell r="D194">
            <v>3.2</v>
          </cell>
          <cell r="E194">
            <v>110570</v>
          </cell>
          <cell r="F194">
            <v>0.9</v>
          </cell>
          <cell r="G194">
            <v>104170</v>
          </cell>
        </row>
        <row r="195">
          <cell r="A195" t="str">
            <v>17-2081</v>
          </cell>
          <cell r="B195" t="str">
            <v>Environmental Engineers</v>
          </cell>
          <cell r="C195">
            <v>37950</v>
          </cell>
          <cell r="D195">
            <v>3.2</v>
          </cell>
          <cell r="E195">
            <v>110570</v>
          </cell>
          <cell r="F195">
            <v>0.9</v>
          </cell>
          <cell r="G195">
            <v>104170</v>
          </cell>
        </row>
        <row r="196">
          <cell r="A196" t="str">
            <v>17-2110</v>
          </cell>
          <cell r="B196" t="str">
            <v>Industrial Engineers, Including Health and Safety</v>
          </cell>
          <cell r="C196">
            <v>373440</v>
          </cell>
          <cell r="D196">
            <v>0.6</v>
          </cell>
          <cell r="E196">
            <v>108260</v>
          </cell>
          <cell r="F196">
            <v>0.3</v>
          </cell>
          <cell r="G196">
            <v>101490</v>
          </cell>
        </row>
        <row r="197">
          <cell r="A197" t="str">
            <v>17-2111</v>
          </cell>
          <cell r="B197" t="str">
            <v>Health and Safety Engineers, Except Mining Safety Engineers and Inspectors</v>
          </cell>
          <cell r="C197">
            <v>23220</v>
          </cell>
          <cell r="D197">
            <v>3.5</v>
          </cell>
          <cell r="E197">
            <v>113770</v>
          </cell>
          <cell r="F197">
            <v>1.2</v>
          </cell>
          <cell r="G197">
            <v>109660</v>
          </cell>
        </row>
        <row r="198">
          <cell r="A198" t="str">
            <v>17-2112</v>
          </cell>
          <cell r="B198" t="str">
            <v>Industrial Engineers</v>
          </cell>
          <cell r="C198">
            <v>350230</v>
          </cell>
          <cell r="D198">
            <v>0.6</v>
          </cell>
          <cell r="E198">
            <v>107900</v>
          </cell>
          <cell r="F198">
            <v>0.3</v>
          </cell>
          <cell r="G198">
            <v>101140</v>
          </cell>
        </row>
        <row r="199">
          <cell r="A199" t="str">
            <v>17-2120</v>
          </cell>
          <cell r="B199" t="str">
            <v>Marine Engineers and Naval Architects</v>
          </cell>
          <cell r="C199">
            <v>8440</v>
          </cell>
          <cell r="D199">
            <v>5.2</v>
          </cell>
          <cell r="E199">
            <v>116680</v>
          </cell>
          <cell r="F199">
            <v>1.4</v>
          </cell>
          <cell r="G199">
            <v>105670</v>
          </cell>
        </row>
        <row r="200">
          <cell r="A200" t="str">
            <v>17-2121</v>
          </cell>
          <cell r="B200" t="str">
            <v>Marine Engineers and Naval Architects</v>
          </cell>
          <cell r="C200">
            <v>8440</v>
          </cell>
          <cell r="D200">
            <v>5.2</v>
          </cell>
          <cell r="E200">
            <v>116680</v>
          </cell>
          <cell r="F200">
            <v>1.4</v>
          </cell>
          <cell r="G200">
            <v>105670</v>
          </cell>
        </row>
        <row r="201">
          <cell r="A201" t="str">
            <v>17-2130</v>
          </cell>
          <cell r="B201" t="str">
            <v>Materials Engineers</v>
          </cell>
          <cell r="C201">
            <v>22770</v>
          </cell>
          <cell r="D201">
            <v>2.4</v>
          </cell>
          <cell r="E201">
            <v>116380</v>
          </cell>
          <cell r="F201">
            <v>0.7</v>
          </cell>
          <cell r="G201">
            <v>108310</v>
          </cell>
        </row>
        <row r="202">
          <cell r="A202" t="str">
            <v>17-2131</v>
          </cell>
          <cell r="B202" t="str">
            <v>Materials Engineers</v>
          </cell>
          <cell r="C202">
            <v>22770</v>
          </cell>
          <cell r="D202">
            <v>2.4</v>
          </cell>
          <cell r="E202">
            <v>116380</v>
          </cell>
          <cell r="F202">
            <v>0.7</v>
          </cell>
          <cell r="G202">
            <v>108310</v>
          </cell>
        </row>
        <row r="203">
          <cell r="A203" t="str">
            <v>17-2140</v>
          </cell>
          <cell r="B203" t="str">
            <v>Mechanical Engineers</v>
          </cell>
          <cell r="C203">
            <v>286760</v>
          </cell>
          <cell r="D203">
            <v>1</v>
          </cell>
          <cell r="E203">
            <v>110080</v>
          </cell>
          <cell r="F203">
            <v>0.5</v>
          </cell>
          <cell r="G203">
            <v>102320</v>
          </cell>
        </row>
        <row r="204">
          <cell r="A204" t="str">
            <v>17-2141</v>
          </cell>
          <cell r="B204" t="str">
            <v>Mechanical Engineers</v>
          </cell>
          <cell r="C204">
            <v>286760</v>
          </cell>
          <cell r="D204">
            <v>1</v>
          </cell>
          <cell r="E204">
            <v>110080</v>
          </cell>
          <cell r="F204">
            <v>0.5</v>
          </cell>
          <cell r="G204">
            <v>102320</v>
          </cell>
        </row>
        <row r="205">
          <cell r="A205" t="str">
            <v>17-2150</v>
          </cell>
          <cell r="B205" t="str">
            <v>Mining and Geological Engineers, Including Mining Safety Engineers</v>
          </cell>
          <cell r="C205">
            <v>6770</v>
          </cell>
          <cell r="D205">
            <v>7</v>
          </cell>
          <cell r="E205">
            <v>108940</v>
          </cell>
          <cell r="F205">
            <v>2.4</v>
          </cell>
          <cell r="G205">
            <v>101020</v>
          </cell>
        </row>
        <row r="206">
          <cell r="A206" t="str">
            <v>17-2151</v>
          </cell>
          <cell r="B206" t="str">
            <v>Mining and Geological Engineers, Including Mining Safety Engineers</v>
          </cell>
          <cell r="C206">
            <v>6770</v>
          </cell>
          <cell r="D206">
            <v>7</v>
          </cell>
          <cell r="E206">
            <v>108940</v>
          </cell>
          <cell r="F206">
            <v>2.4</v>
          </cell>
          <cell r="G206">
            <v>101020</v>
          </cell>
        </row>
        <row r="207">
          <cell r="A207" t="str">
            <v>17-2160</v>
          </cell>
          <cell r="B207" t="str">
            <v>Nuclear Engineers</v>
          </cell>
          <cell r="C207">
            <v>14740</v>
          </cell>
          <cell r="D207">
            <v>3.7</v>
          </cell>
          <cell r="E207">
            <v>134980</v>
          </cell>
          <cell r="F207">
            <v>1.4</v>
          </cell>
          <cell r="G207">
            <v>127520</v>
          </cell>
        </row>
        <row r="208">
          <cell r="A208" t="str">
            <v>17-2161</v>
          </cell>
          <cell r="B208" t="str">
            <v>Nuclear Engineers</v>
          </cell>
          <cell r="C208">
            <v>14740</v>
          </cell>
          <cell r="D208">
            <v>3.7</v>
          </cell>
          <cell r="E208">
            <v>134980</v>
          </cell>
          <cell r="F208">
            <v>1.4</v>
          </cell>
          <cell r="G208">
            <v>127520</v>
          </cell>
        </row>
        <row r="209">
          <cell r="A209" t="str">
            <v>17-2170</v>
          </cell>
          <cell r="B209" t="str">
            <v>Petroleum Engineers</v>
          </cell>
          <cell r="C209">
            <v>18970</v>
          </cell>
          <cell r="D209">
            <v>5.8</v>
          </cell>
          <cell r="E209">
            <v>153560</v>
          </cell>
          <cell r="F209">
            <v>1.9</v>
          </cell>
          <cell r="G209">
            <v>141280</v>
          </cell>
        </row>
        <row r="210">
          <cell r="A210" t="str">
            <v>17-2171</v>
          </cell>
          <cell r="B210" t="str">
            <v>Petroleum Engineers</v>
          </cell>
          <cell r="C210">
            <v>18970</v>
          </cell>
          <cell r="D210">
            <v>5.8</v>
          </cell>
          <cell r="E210">
            <v>153560</v>
          </cell>
          <cell r="F210">
            <v>1.9</v>
          </cell>
          <cell r="G210">
            <v>141280</v>
          </cell>
        </row>
        <row r="211">
          <cell r="A211" t="str">
            <v>17-2190</v>
          </cell>
          <cell r="B211" t="str">
            <v>Miscellaneous Engineers</v>
          </cell>
          <cell r="C211">
            <v>150750</v>
          </cell>
          <cell r="D211">
            <v>1.2</v>
          </cell>
          <cell r="E211">
            <v>121720</v>
          </cell>
          <cell r="F211">
            <v>0.6</v>
          </cell>
          <cell r="G211">
            <v>117750</v>
          </cell>
        </row>
        <row r="212">
          <cell r="A212" t="str">
            <v>17-2199</v>
          </cell>
          <cell r="B212" t="str">
            <v>Engineers, All Other</v>
          </cell>
          <cell r="C212">
            <v>150750</v>
          </cell>
          <cell r="D212">
            <v>1.2</v>
          </cell>
          <cell r="E212">
            <v>121720</v>
          </cell>
          <cell r="F212">
            <v>0.6</v>
          </cell>
          <cell r="G212">
            <v>117750</v>
          </cell>
        </row>
        <row r="213">
          <cell r="A213" t="str">
            <v>17-3000</v>
          </cell>
          <cell r="B213" t="str">
            <v>Drafters, Engineering Technicians, and Mapping Technicians</v>
          </cell>
          <cell r="C213">
            <v>623870</v>
          </cell>
          <cell r="D213">
            <v>0.6</v>
          </cell>
          <cell r="E213">
            <v>71540</v>
          </cell>
          <cell r="F213">
            <v>0.3</v>
          </cell>
          <cell r="G213">
            <v>66390</v>
          </cell>
        </row>
        <row r="214">
          <cell r="A214" t="str">
            <v>17-3010</v>
          </cell>
          <cell r="B214" t="str">
            <v>Drafters</v>
          </cell>
          <cell r="C214">
            <v>185470</v>
          </cell>
          <cell r="D214">
            <v>1.3</v>
          </cell>
          <cell r="E214">
            <v>70760</v>
          </cell>
          <cell r="F214">
            <v>0.5</v>
          </cell>
          <cell r="G214">
            <v>65380</v>
          </cell>
        </row>
        <row r="215">
          <cell r="A215" t="str">
            <v>17-3011</v>
          </cell>
          <cell r="B215" t="str">
            <v>Architectural and Civil Drafters</v>
          </cell>
          <cell r="C215">
            <v>109550</v>
          </cell>
          <cell r="D215">
            <v>2</v>
          </cell>
          <cell r="E215">
            <v>68860</v>
          </cell>
          <cell r="F215">
            <v>0.6</v>
          </cell>
          <cell r="G215">
            <v>64280</v>
          </cell>
        </row>
        <row r="216">
          <cell r="A216" t="str">
            <v>17-3012</v>
          </cell>
          <cell r="B216" t="str">
            <v>Electrical and Electronics Drafters</v>
          </cell>
          <cell r="C216">
            <v>20020</v>
          </cell>
          <cell r="D216">
            <v>3.6</v>
          </cell>
          <cell r="E216">
            <v>77960</v>
          </cell>
          <cell r="F216">
            <v>0.9</v>
          </cell>
          <cell r="G216">
            <v>73720</v>
          </cell>
        </row>
        <row r="217">
          <cell r="A217" t="str">
            <v>17-3013</v>
          </cell>
          <cell r="B217" t="str">
            <v>Mechanical Drafters</v>
          </cell>
          <cell r="C217">
            <v>39900</v>
          </cell>
          <cell r="D217">
            <v>3.4</v>
          </cell>
          <cell r="E217">
            <v>74040</v>
          </cell>
          <cell r="F217">
            <v>1.3</v>
          </cell>
          <cell r="G217">
            <v>68510</v>
          </cell>
        </row>
        <row r="218">
          <cell r="A218" t="str">
            <v>17-3019</v>
          </cell>
          <cell r="B218" t="str">
            <v>Drafters, All Other</v>
          </cell>
          <cell r="C218">
            <v>16010</v>
          </cell>
          <cell r="D218">
            <v>3.6</v>
          </cell>
          <cell r="E218">
            <v>66530</v>
          </cell>
          <cell r="F218">
            <v>0.9</v>
          </cell>
          <cell r="G218">
            <v>62010</v>
          </cell>
        </row>
        <row r="219">
          <cell r="A219" t="str">
            <v>17-3020</v>
          </cell>
          <cell r="B219" t="str">
            <v>Engineering Technologists and Technicians, Except Drafters</v>
          </cell>
          <cell r="C219">
            <v>381680</v>
          </cell>
          <cell r="D219">
            <v>0.7</v>
          </cell>
          <cell r="E219">
            <v>74100</v>
          </cell>
          <cell r="F219">
            <v>0.4</v>
          </cell>
          <cell r="G219">
            <v>70070</v>
          </cell>
        </row>
        <row r="220">
          <cell r="A220" t="str">
            <v>17-3021</v>
          </cell>
          <cell r="B220" t="str">
            <v>Aerospace Engineering and Operations Technologists and Technicians</v>
          </cell>
          <cell r="C220">
            <v>9060</v>
          </cell>
          <cell r="D220">
            <v>4.3</v>
          </cell>
          <cell r="E220">
            <v>86330</v>
          </cell>
          <cell r="F220">
            <v>1.4</v>
          </cell>
          <cell r="G220">
            <v>79830</v>
          </cell>
        </row>
        <row r="221">
          <cell r="A221" t="str">
            <v>17-3022</v>
          </cell>
          <cell r="B221" t="str">
            <v>Civil Engineering Technologists and Technicians</v>
          </cell>
          <cell r="C221">
            <v>62130</v>
          </cell>
          <cell r="D221">
            <v>2.2000000000000002</v>
          </cell>
          <cell r="E221">
            <v>68450</v>
          </cell>
          <cell r="F221">
            <v>1.1000000000000001</v>
          </cell>
          <cell r="G221">
            <v>64200</v>
          </cell>
        </row>
        <row r="222">
          <cell r="A222" t="str">
            <v>17-3023</v>
          </cell>
          <cell r="B222" t="str">
            <v>Electrical and Electronic Engineering Technologists and Technicians</v>
          </cell>
          <cell r="C222">
            <v>92710</v>
          </cell>
          <cell r="D222">
            <v>1.4</v>
          </cell>
          <cell r="E222">
            <v>78580</v>
          </cell>
          <cell r="F222">
            <v>0.4</v>
          </cell>
          <cell r="G222">
            <v>77180</v>
          </cell>
        </row>
        <row r="223">
          <cell r="A223" t="str">
            <v>17-3024</v>
          </cell>
          <cell r="B223" t="str">
            <v>Electro-Mechanical and Mechatronics Technologists and Technicians</v>
          </cell>
          <cell r="C223">
            <v>14680</v>
          </cell>
          <cell r="D223">
            <v>3</v>
          </cell>
          <cell r="E223">
            <v>75710</v>
          </cell>
          <cell r="F223">
            <v>0.9</v>
          </cell>
          <cell r="G223">
            <v>70760</v>
          </cell>
        </row>
        <row r="224">
          <cell r="A224" t="str">
            <v>17-3025</v>
          </cell>
          <cell r="B224" t="str">
            <v>Environmental Engineering Technologists and Technicians</v>
          </cell>
          <cell r="C224">
            <v>12500</v>
          </cell>
          <cell r="D224">
            <v>6.4</v>
          </cell>
          <cell r="E224">
            <v>63070</v>
          </cell>
          <cell r="F224">
            <v>1.3</v>
          </cell>
          <cell r="G224">
            <v>58890</v>
          </cell>
        </row>
        <row r="225">
          <cell r="A225" t="str">
            <v>17-3026</v>
          </cell>
          <cell r="B225" t="str">
            <v>Industrial Engineering Technologists and Technicians</v>
          </cell>
          <cell r="C225">
            <v>73410</v>
          </cell>
          <cell r="D225">
            <v>1.1000000000000001</v>
          </cell>
          <cell r="E225">
            <v>69780</v>
          </cell>
          <cell r="F225">
            <v>0.6</v>
          </cell>
          <cell r="G225">
            <v>64790</v>
          </cell>
        </row>
        <row r="226">
          <cell r="A226" t="str">
            <v>17-3027</v>
          </cell>
          <cell r="B226" t="str">
            <v>Mechanical Engineering Technologists and Technicians</v>
          </cell>
          <cell r="C226">
            <v>37450</v>
          </cell>
          <cell r="D226">
            <v>2.4</v>
          </cell>
          <cell r="E226">
            <v>72450</v>
          </cell>
          <cell r="F226">
            <v>0.7</v>
          </cell>
          <cell r="G226">
            <v>68730</v>
          </cell>
        </row>
        <row r="227">
          <cell r="A227" t="str">
            <v>17-3028</v>
          </cell>
          <cell r="B227" t="str">
            <v>Calibration Technologists and Technicians</v>
          </cell>
          <cell r="C227">
            <v>15320</v>
          </cell>
          <cell r="D227">
            <v>4.5</v>
          </cell>
          <cell r="E227">
            <v>71080</v>
          </cell>
          <cell r="F227">
            <v>1.5</v>
          </cell>
          <cell r="G227">
            <v>65040</v>
          </cell>
        </row>
        <row r="228">
          <cell r="A228" t="str">
            <v>17-3029</v>
          </cell>
          <cell r="B228" t="str">
            <v>Engineering Technologists and Technicians, Except Drafters, All Other</v>
          </cell>
          <cell r="C228">
            <v>64410</v>
          </cell>
          <cell r="D228">
            <v>2.2999999999999998</v>
          </cell>
          <cell r="E228">
            <v>79740</v>
          </cell>
          <cell r="F228">
            <v>0.8</v>
          </cell>
          <cell r="G228">
            <v>77390</v>
          </cell>
        </row>
        <row r="229">
          <cell r="A229" t="str">
            <v>17-3030</v>
          </cell>
          <cell r="B229" t="str">
            <v>Surveying and Mapping Technicians</v>
          </cell>
          <cell r="C229">
            <v>56720</v>
          </cell>
          <cell r="D229">
            <v>2.6</v>
          </cell>
          <cell r="E229">
            <v>56890</v>
          </cell>
          <cell r="F229">
            <v>0.7</v>
          </cell>
          <cell r="G229">
            <v>51940</v>
          </cell>
        </row>
        <row r="230">
          <cell r="A230" t="str">
            <v>17-3031</v>
          </cell>
          <cell r="B230" t="str">
            <v>Surveying and Mapping Technicians</v>
          </cell>
          <cell r="C230">
            <v>56720</v>
          </cell>
          <cell r="D230">
            <v>2.6</v>
          </cell>
          <cell r="E230">
            <v>56890</v>
          </cell>
          <cell r="F230">
            <v>0.7</v>
          </cell>
          <cell r="G230">
            <v>51940</v>
          </cell>
        </row>
        <row r="231">
          <cell r="A231" t="str">
            <v>19-0000</v>
          </cell>
          <cell r="B231" t="str">
            <v>Life, Physical, and Social Science Occupations</v>
          </cell>
          <cell r="C231">
            <v>1446770</v>
          </cell>
          <cell r="D231">
            <v>0.4</v>
          </cell>
          <cell r="E231">
            <v>89690</v>
          </cell>
          <cell r="F231">
            <v>0.4</v>
          </cell>
          <cell r="G231">
            <v>78980</v>
          </cell>
        </row>
        <row r="232">
          <cell r="A232" t="str">
            <v>19-1000</v>
          </cell>
          <cell r="B232" t="str">
            <v>Life Scientists</v>
          </cell>
          <cell r="C232">
            <v>374670</v>
          </cell>
          <cell r="D232">
            <v>0.8</v>
          </cell>
          <cell r="E232">
            <v>101980</v>
          </cell>
          <cell r="F232">
            <v>0.6</v>
          </cell>
          <cell r="G232">
            <v>90500</v>
          </cell>
        </row>
        <row r="233">
          <cell r="A233" t="str">
            <v>19-1010</v>
          </cell>
          <cell r="B233" t="str">
            <v>Agricultural and Food Scientists</v>
          </cell>
          <cell r="C233">
            <v>33440</v>
          </cell>
          <cell r="D233">
            <v>3.5</v>
          </cell>
          <cell r="E233">
            <v>88590</v>
          </cell>
          <cell r="F233">
            <v>2.1</v>
          </cell>
          <cell r="G233">
            <v>78770</v>
          </cell>
        </row>
        <row r="234">
          <cell r="A234" t="str">
            <v>19-1011</v>
          </cell>
          <cell r="B234" t="str">
            <v>Animal Scientists</v>
          </cell>
          <cell r="C234">
            <v>2470</v>
          </cell>
          <cell r="D234">
            <v>10.199999999999999</v>
          </cell>
          <cell r="E234">
            <v>104970</v>
          </cell>
          <cell r="F234">
            <v>10.9</v>
          </cell>
          <cell r="G234">
            <v>79120</v>
          </cell>
        </row>
        <row r="235">
          <cell r="A235" t="str">
            <v>19-1012</v>
          </cell>
          <cell r="B235" t="str">
            <v>Food Scientists and Technologists</v>
          </cell>
          <cell r="C235">
            <v>14370</v>
          </cell>
          <cell r="D235">
            <v>5.9</v>
          </cell>
          <cell r="E235">
            <v>92190</v>
          </cell>
          <cell r="F235">
            <v>1.7</v>
          </cell>
          <cell r="G235">
            <v>85310</v>
          </cell>
        </row>
        <row r="236">
          <cell r="A236" t="str">
            <v>19-1013</v>
          </cell>
          <cell r="B236" t="str">
            <v>Soil and Plant Scientists</v>
          </cell>
          <cell r="C236">
            <v>16600</v>
          </cell>
          <cell r="D236">
            <v>4.9000000000000004</v>
          </cell>
          <cell r="E236">
            <v>83040</v>
          </cell>
          <cell r="F236">
            <v>2.9</v>
          </cell>
          <cell r="G236">
            <v>71410</v>
          </cell>
        </row>
        <row r="237">
          <cell r="A237" t="str">
            <v>19-1020</v>
          </cell>
          <cell r="B237" t="str">
            <v>Biological Scientists</v>
          </cell>
          <cell r="C237">
            <v>130910</v>
          </cell>
          <cell r="D237">
            <v>1.5</v>
          </cell>
          <cell r="E237">
            <v>100730</v>
          </cell>
          <cell r="F237">
            <v>0.6</v>
          </cell>
          <cell r="G237">
            <v>93340</v>
          </cell>
        </row>
        <row r="238">
          <cell r="A238" t="str">
            <v>19-1021</v>
          </cell>
          <cell r="B238" t="str">
            <v>Biochemists and Biophysicists</v>
          </cell>
          <cell r="C238">
            <v>34520</v>
          </cell>
          <cell r="D238">
            <v>3.6</v>
          </cell>
          <cell r="E238">
            <v>115570</v>
          </cell>
          <cell r="F238">
            <v>1.4</v>
          </cell>
          <cell r="G238">
            <v>103650</v>
          </cell>
        </row>
        <row r="239">
          <cell r="A239" t="str">
            <v>19-1022</v>
          </cell>
          <cell r="B239" t="str">
            <v>Microbiologists</v>
          </cell>
          <cell r="C239">
            <v>19760</v>
          </cell>
          <cell r="D239">
            <v>4</v>
          </cell>
          <cell r="E239">
            <v>95200</v>
          </cell>
          <cell r="F239">
            <v>0.9</v>
          </cell>
          <cell r="G239">
            <v>87330</v>
          </cell>
        </row>
        <row r="240">
          <cell r="A240" t="str">
            <v>19-1023</v>
          </cell>
          <cell r="B240" t="str">
            <v>Zoologists and Wildlife Biologists</v>
          </cell>
          <cell r="C240">
            <v>16920</v>
          </cell>
          <cell r="D240">
            <v>2.2999999999999998</v>
          </cell>
          <cell r="E240">
            <v>77920</v>
          </cell>
          <cell r="F240">
            <v>0.6</v>
          </cell>
          <cell r="G240">
            <v>72860</v>
          </cell>
        </row>
        <row r="241">
          <cell r="A241" t="str">
            <v>19-1029</v>
          </cell>
          <cell r="B241" t="str">
            <v>Biological Scientists, All Other</v>
          </cell>
          <cell r="C241">
            <v>59710</v>
          </cell>
          <cell r="D241">
            <v>1.9</v>
          </cell>
          <cell r="E241">
            <v>100440</v>
          </cell>
          <cell r="F241">
            <v>0.8</v>
          </cell>
          <cell r="G241">
            <v>93330</v>
          </cell>
        </row>
        <row r="242">
          <cell r="A242" t="str">
            <v>19-1030</v>
          </cell>
          <cell r="B242" t="str">
            <v>Conservation Scientists and Foresters</v>
          </cell>
          <cell r="C242">
            <v>35250</v>
          </cell>
          <cell r="D242">
            <v>2</v>
          </cell>
          <cell r="E242">
            <v>74410</v>
          </cell>
          <cell r="F242">
            <v>0.7</v>
          </cell>
          <cell r="G242">
            <v>69060</v>
          </cell>
        </row>
        <row r="243">
          <cell r="A243" t="str">
            <v>19-1031</v>
          </cell>
          <cell r="B243" t="str">
            <v>Conservation Scientists</v>
          </cell>
          <cell r="C243">
            <v>25590</v>
          </cell>
          <cell r="D243">
            <v>2.2000000000000002</v>
          </cell>
          <cell r="E243">
            <v>74310</v>
          </cell>
          <cell r="F243">
            <v>0.7</v>
          </cell>
          <cell r="G243">
            <v>67950</v>
          </cell>
        </row>
        <row r="244">
          <cell r="A244" t="str">
            <v>19-1032</v>
          </cell>
          <cell r="B244" t="str">
            <v>Foresters</v>
          </cell>
          <cell r="C244">
            <v>9650</v>
          </cell>
          <cell r="D244">
            <v>4.3</v>
          </cell>
          <cell r="E244">
            <v>74670</v>
          </cell>
          <cell r="F244">
            <v>1.5</v>
          </cell>
          <cell r="G244">
            <v>70660</v>
          </cell>
        </row>
        <row r="245">
          <cell r="A245" t="str">
            <v>19-1040</v>
          </cell>
          <cell r="B245" t="str">
            <v>Medical Scientists</v>
          </cell>
          <cell r="C245">
            <v>167760</v>
          </cell>
          <cell r="D245">
            <v>1.3</v>
          </cell>
          <cell r="E245">
            <v>111430</v>
          </cell>
          <cell r="F245">
            <v>0.9</v>
          </cell>
          <cell r="G245">
            <v>99770</v>
          </cell>
        </row>
        <row r="246">
          <cell r="A246" t="str">
            <v>19-1041</v>
          </cell>
          <cell r="B246" t="str">
            <v>Epidemiologists</v>
          </cell>
          <cell r="C246">
            <v>11460</v>
          </cell>
          <cell r="D246">
            <v>2.6</v>
          </cell>
          <cell r="E246">
            <v>94160</v>
          </cell>
          <cell r="F246">
            <v>1.6</v>
          </cell>
          <cell r="G246">
            <v>83980</v>
          </cell>
        </row>
        <row r="247">
          <cell r="A247" t="str">
            <v>19-1042</v>
          </cell>
          <cell r="B247" t="str">
            <v>Medical Scientists, Except Epidemiologists</v>
          </cell>
          <cell r="C247">
            <v>156300</v>
          </cell>
          <cell r="D247">
            <v>1.3</v>
          </cell>
          <cell r="E247">
            <v>112690</v>
          </cell>
          <cell r="F247">
            <v>0.9</v>
          </cell>
          <cell r="G247">
            <v>100590</v>
          </cell>
        </row>
        <row r="248">
          <cell r="A248" t="str">
            <v>19-1090</v>
          </cell>
          <cell r="B248" t="str">
            <v>Miscellaneous Life Scientists</v>
          </cell>
          <cell r="C248">
            <v>7320</v>
          </cell>
          <cell r="D248">
            <v>5.2</v>
          </cell>
          <cell r="E248">
            <v>101940</v>
          </cell>
          <cell r="F248">
            <v>2.7</v>
          </cell>
          <cell r="G248">
            <v>87800</v>
          </cell>
        </row>
        <row r="249">
          <cell r="A249" t="str">
            <v>19-1099</v>
          </cell>
          <cell r="B249" t="str">
            <v>Life Scientists, All Other</v>
          </cell>
          <cell r="C249">
            <v>7320</v>
          </cell>
          <cell r="D249">
            <v>5.2</v>
          </cell>
          <cell r="E249">
            <v>101940</v>
          </cell>
          <cell r="F249">
            <v>2.7</v>
          </cell>
          <cell r="G249">
            <v>87800</v>
          </cell>
        </row>
        <row r="250">
          <cell r="A250" t="str">
            <v>19-2000</v>
          </cell>
          <cell r="B250" t="str">
            <v>Physical Scientists</v>
          </cell>
          <cell r="C250">
            <v>259000</v>
          </cell>
          <cell r="D250">
            <v>1.1000000000000001</v>
          </cell>
          <cell r="E250">
            <v>104070</v>
          </cell>
          <cell r="F250">
            <v>0.5</v>
          </cell>
          <cell r="G250">
            <v>92750</v>
          </cell>
        </row>
        <row r="251">
          <cell r="A251" t="str">
            <v>19-2010</v>
          </cell>
          <cell r="B251" t="str">
            <v>Astronomers and Physicists</v>
          </cell>
          <cell r="C251">
            <v>22900</v>
          </cell>
          <cell r="D251">
            <v>2.1</v>
          </cell>
          <cell r="E251">
            <v>163850</v>
          </cell>
          <cell r="F251">
            <v>0.8</v>
          </cell>
          <cell r="G251">
            <v>166290</v>
          </cell>
        </row>
        <row r="252">
          <cell r="A252" t="str">
            <v>19-2011</v>
          </cell>
          <cell r="B252" t="str">
            <v>Astronomers</v>
          </cell>
          <cell r="C252">
            <v>1560</v>
          </cell>
          <cell r="D252">
            <v>8.4</v>
          </cell>
          <cell r="E252">
            <v>134430</v>
          </cell>
          <cell r="F252">
            <v>3.2</v>
          </cell>
          <cell r="G252">
            <v>132170</v>
          </cell>
        </row>
        <row r="253">
          <cell r="A253" t="str">
            <v>19-2012</v>
          </cell>
          <cell r="B253" t="str">
            <v>Physicists</v>
          </cell>
          <cell r="C253">
            <v>21340</v>
          </cell>
          <cell r="D253">
            <v>2.2000000000000002</v>
          </cell>
          <cell r="E253">
            <v>166000</v>
          </cell>
          <cell r="F253">
            <v>0.8</v>
          </cell>
          <cell r="G253">
            <v>166290</v>
          </cell>
        </row>
        <row r="254">
          <cell r="A254" t="str">
            <v>19-2020</v>
          </cell>
          <cell r="B254" t="str">
            <v>Atmospheric and Space Scientists</v>
          </cell>
          <cell r="C254">
            <v>8780</v>
          </cell>
          <cell r="D254">
            <v>2.7</v>
          </cell>
          <cell r="E254">
            <v>103980</v>
          </cell>
          <cell r="F254">
            <v>1.3</v>
          </cell>
          <cell r="G254">
            <v>97450</v>
          </cell>
        </row>
        <row r="255">
          <cell r="A255" t="str">
            <v>19-2021</v>
          </cell>
          <cell r="B255" t="str">
            <v>Atmospheric and Space Scientists</v>
          </cell>
          <cell r="C255">
            <v>8780</v>
          </cell>
          <cell r="D255">
            <v>2.7</v>
          </cell>
          <cell r="E255">
            <v>103980</v>
          </cell>
          <cell r="F255">
            <v>1.3</v>
          </cell>
          <cell r="G255">
            <v>97450</v>
          </cell>
        </row>
        <row r="256">
          <cell r="A256" t="str">
            <v>19-2030</v>
          </cell>
          <cell r="B256" t="str">
            <v>Chemists and Materials Scientists</v>
          </cell>
          <cell r="C256">
            <v>91580</v>
          </cell>
          <cell r="D256">
            <v>2.2999999999999998</v>
          </cell>
          <cell r="E256">
            <v>97350</v>
          </cell>
          <cell r="F256">
            <v>1</v>
          </cell>
          <cell r="G256">
            <v>86620</v>
          </cell>
        </row>
        <row r="257">
          <cell r="A257" t="str">
            <v>19-2031</v>
          </cell>
          <cell r="B257" t="str">
            <v>Chemists</v>
          </cell>
          <cell r="C257">
            <v>83250</v>
          </cell>
          <cell r="D257">
            <v>2.5</v>
          </cell>
          <cell r="E257">
            <v>95940</v>
          </cell>
          <cell r="F257">
            <v>1</v>
          </cell>
          <cell r="G257">
            <v>84150</v>
          </cell>
        </row>
        <row r="258">
          <cell r="A258" t="str">
            <v>19-2032</v>
          </cell>
          <cell r="B258" t="str">
            <v>Materials Scientists</v>
          </cell>
          <cell r="C258">
            <v>8330</v>
          </cell>
          <cell r="D258">
            <v>5.9</v>
          </cell>
          <cell r="E258">
            <v>111410</v>
          </cell>
          <cell r="F258">
            <v>1.4</v>
          </cell>
          <cell r="G258">
            <v>104160</v>
          </cell>
        </row>
        <row r="259">
          <cell r="A259" t="str">
            <v>19-2040</v>
          </cell>
          <cell r="B259" t="str">
            <v>Environmental Scientists and Geoscientists</v>
          </cell>
          <cell r="C259">
            <v>113160</v>
          </cell>
          <cell r="D259">
            <v>1.4</v>
          </cell>
          <cell r="E259">
            <v>93630</v>
          </cell>
          <cell r="F259">
            <v>0.8</v>
          </cell>
          <cell r="G259">
            <v>82660</v>
          </cell>
        </row>
        <row r="260">
          <cell r="A260" t="str">
            <v>19-2041</v>
          </cell>
          <cell r="B260" t="str">
            <v>Environmental Scientists and Specialists, Including Health</v>
          </cell>
          <cell r="C260">
            <v>84930</v>
          </cell>
          <cell r="D260">
            <v>1.5</v>
          </cell>
          <cell r="E260">
            <v>88640</v>
          </cell>
          <cell r="F260">
            <v>0.7</v>
          </cell>
          <cell r="G260">
            <v>80060</v>
          </cell>
        </row>
        <row r="261">
          <cell r="A261" t="str">
            <v>19-2042</v>
          </cell>
          <cell r="B261" t="str">
            <v>Geoscientists, Except Hydrologists and Geographers</v>
          </cell>
          <cell r="C261">
            <v>22510</v>
          </cell>
          <cell r="D261">
            <v>3.6</v>
          </cell>
          <cell r="E261">
            <v>111310</v>
          </cell>
          <cell r="F261">
            <v>1.9</v>
          </cell>
          <cell r="G261">
            <v>99240</v>
          </cell>
        </row>
        <row r="262">
          <cell r="A262" t="str">
            <v>19-2043</v>
          </cell>
          <cell r="B262" t="str">
            <v>Hydrologists</v>
          </cell>
          <cell r="C262">
            <v>5720</v>
          </cell>
          <cell r="D262">
            <v>3.9</v>
          </cell>
          <cell r="E262">
            <v>98130</v>
          </cell>
          <cell r="F262">
            <v>1.2</v>
          </cell>
          <cell r="G262">
            <v>92060</v>
          </cell>
        </row>
        <row r="263">
          <cell r="A263" t="str">
            <v>19-2090</v>
          </cell>
          <cell r="B263" t="str">
            <v>Miscellaneous Physical Scientists</v>
          </cell>
          <cell r="C263">
            <v>22580</v>
          </cell>
          <cell r="D263">
            <v>2.4</v>
          </cell>
          <cell r="E263">
            <v>123070</v>
          </cell>
          <cell r="F263">
            <v>1</v>
          </cell>
          <cell r="G263">
            <v>117960</v>
          </cell>
        </row>
        <row r="264">
          <cell r="A264" t="str">
            <v>19-2099</v>
          </cell>
          <cell r="B264" t="str">
            <v>Physical Scientists, All Other</v>
          </cell>
          <cell r="C264">
            <v>22580</v>
          </cell>
          <cell r="D264">
            <v>2.4</v>
          </cell>
          <cell r="E264">
            <v>123070</v>
          </cell>
          <cell r="F264">
            <v>1</v>
          </cell>
          <cell r="G264">
            <v>117960</v>
          </cell>
        </row>
        <row r="265">
          <cell r="A265" t="str">
            <v>19-3000</v>
          </cell>
          <cell r="B265" t="str">
            <v>Social Scientists and Related Workers</v>
          </cell>
          <cell r="C265">
            <v>279960</v>
          </cell>
          <cell r="D265">
            <v>1.1000000000000001</v>
          </cell>
          <cell r="E265">
            <v>101290</v>
          </cell>
          <cell r="F265">
            <v>0.6</v>
          </cell>
          <cell r="G265">
            <v>92900</v>
          </cell>
        </row>
        <row r="266">
          <cell r="A266" t="str">
            <v>19-3010</v>
          </cell>
          <cell r="B266" t="str">
            <v>Economists</v>
          </cell>
          <cell r="C266">
            <v>15880</v>
          </cell>
          <cell r="D266">
            <v>2.8</v>
          </cell>
          <cell r="E266">
            <v>130910</v>
          </cell>
          <cell r="F266">
            <v>1.4</v>
          </cell>
          <cell r="G266">
            <v>115440</v>
          </cell>
        </row>
        <row r="267">
          <cell r="A267" t="str">
            <v>19-3011</v>
          </cell>
          <cell r="B267" t="str">
            <v>Economists</v>
          </cell>
          <cell r="C267">
            <v>15880</v>
          </cell>
          <cell r="D267">
            <v>2.8</v>
          </cell>
          <cell r="E267">
            <v>130910</v>
          </cell>
          <cell r="F267">
            <v>1.4</v>
          </cell>
          <cell r="G267">
            <v>115440</v>
          </cell>
        </row>
        <row r="268">
          <cell r="A268" t="str">
            <v>19-3020</v>
          </cell>
          <cell r="B268" t="str">
            <v>Survey Researchers</v>
          </cell>
          <cell r="C268">
            <v>7720</v>
          </cell>
          <cell r="D268">
            <v>8.1999999999999993</v>
          </cell>
          <cell r="E268">
            <v>73470</v>
          </cell>
          <cell r="F268">
            <v>3.5</v>
          </cell>
          <cell r="G268">
            <v>63380</v>
          </cell>
        </row>
        <row r="269">
          <cell r="A269" t="str">
            <v>19-3022</v>
          </cell>
          <cell r="B269" t="str">
            <v>Survey Researchers</v>
          </cell>
          <cell r="C269">
            <v>7720</v>
          </cell>
          <cell r="D269">
            <v>8.1999999999999993</v>
          </cell>
          <cell r="E269">
            <v>73470</v>
          </cell>
          <cell r="F269">
            <v>3.5</v>
          </cell>
          <cell r="G269">
            <v>63380</v>
          </cell>
        </row>
        <row r="270">
          <cell r="A270" t="str">
            <v>19-3030</v>
          </cell>
          <cell r="B270" t="str">
            <v>Psychologists</v>
          </cell>
          <cell r="C270">
            <v>154860</v>
          </cell>
          <cell r="D270">
            <v>1.7</v>
          </cell>
          <cell r="E270">
            <v>102100</v>
          </cell>
          <cell r="F270">
            <v>0.9</v>
          </cell>
          <cell r="G270">
            <v>94310</v>
          </cell>
        </row>
        <row r="271">
          <cell r="A271" t="str">
            <v>19-3032</v>
          </cell>
          <cell r="B271" t="str">
            <v>Industrial-Organizational Psychologists</v>
          </cell>
          <cell r="C271">
            <v>1050</v>
          </cell>
          <cell r="D271">
            <v>24.7</v>
          </cell>
          <cell r="E271">
            <v>134400</v>
          </cell>
          <cell r="F271">
            <v>11.6</v>
          </cell>
          <cell r="G271">
            <v>109840</v>
          </cell>
        </row>
        <row r="272">
          <cell r="A272" t="str">
            <v>19-3033</v>
          </cell>
          <cell r="B272" t="str">
            <v>Clinical and Counseling Psychologists</v>
          </cell>
          <cell r="C272">
            <v>72190</v>
          </cell>
          <cell r="D272">
            <v>2.8</v>
          </cell>
          <cell r="E272">
            <v>106850</v>
          </cell>
          <cell r="F272">
            <v>1.7</v>
          </cell>
          <cell r="G272">
            <v>95830</v>
          </cell>
        </row>
        <row r="273">
          <cell r="A273" t="str">
            <v>19-3034</v>
          </cell>
          <cell r="B273" t="str">
            <v>School Psychologists</v>
          </cell>
          <cell r="C273">
            <v>63830</v>
          </cell>
          <cell r="D273">
            <v>2.4</v>
          </cell>
          <cell r="E273">
            <v>93610</v>
          </cell>
          <cell r="F273">
            <v>0.7</v>
          </cell>
          <cell r="G273">
            <v>86930</v>
          </cell>
        </row>
        <row r="274">
          <cell r="A274" t="str">
            <v>19-3039</v>
          </cell>
          <cell r="B274" t="str">
            <v>Psychologists, All Other</v>
          </cell>
          <cell r="C274">
            <v>17790</v>
          </cell>
          <cell r="D274">
            <v>4</v>
          </cell>
          <cell r="E274">
            <v>111340</v>
          </cell>
          <cell r="F274">
            <v>1.1000000000000001</v>
          </cell>
          <cell r="G274">
            <v>117580</v>
          </cell>
        </row>
        <row r="275">
          <cell r="A275" t="str">
            <v>19-3040</v>
          </cell>
          <cell r="B275" t="str">
            <v>Sociologists</v>
          </cell>
          <cell r="C275">
            <v>2950</v>
          </cell>
          <cell r="D275">
            <v>7.2</v>
          </cell>
          <cell r="E275">
            <v>111670</v>
          </cell>
          <cell r="F275">
            <v>2.2000000000000002</v>
          </cell>
          <cell r="G275">
            <v>101690</v>
          </cell>
        </row>
        <row r="276">
          <cell r="A276" t="str">
            <v>19-3041</v>
          </cell>
          <cell r="B276" t="str">
            <v>Sociologists</v>
          </cell>
          <cell r="C276">
            <v>2950</v>
          </cell>
          <cell r="D276">
            <v>7.2</v>
          </cell>
          <cell r="E276">
            <v>111670</v>
          </cell>
          <cell r="F276">
            <v>2.2000000000000002</v>
          </cell>
          <cell r="G276">
            <v>101690</v>
          </cell>
        </row>
        <row r="277">
          <cell r="A277" t="str">
            <v>19-3050</v>
          </cell>
          <cell r="B277" t="str">
            <v>Urban and Regional Planners</v>
          </cell>
          <cell r="C277">
            <v>43040</v>
          </cell>
          <cell r="D277">
            <v>1.4</v>
          </cell>
          <cell r="E277">
            <v>89730</v>
          </cell>
          <cell r="F277">
            <v>0.5</v>
          </cell>
          <cell r="G277">
            <v>83720</v>
          </cell>
        </row>
        <row r="278">
          <cell r="A278" t="str">
            <v>19-3051</v>
          </cell>
          <cell r="B278" t="str">
            <v>Urban and Regional Planners</v>
          </cell>
          <cell r="C278">
            <v>43040</v>
          </cell>
          <cell r="D278">
            <v>1.4</v>
          </cell>
          <cell r="E278">
            <v>89730</v>
          </cell>
          <cell r="F278">
            <v>0.5</v>
          </cell>
          <cell r="G278">
            <v>83720</v>
          </cell>
        </row>
        <row r="279">
          <cell r="A279" t="str">
            <v>19-3090</v>
          </cell>
          <cell r="B279" t="str">
            <v>Miscellaneous Social Scientists and Related Workers</v>
          </cell>
          <cell r="C279">
            <v>55510</v>
          </cell>
          <cell r="D279">
            <v>1.5</v>
          </cell>
          <cell r="E279">
            <v>102840</v>
          </cell>
          <cell r="F279">
            <v>0.6</v>
          </cell>
          <cell r="G279">
            <v>96660</v>
          </cell>
        </row>
        <row r="280">
          <cell r="A280" t="str">
            <v>19-3091</v>
          </cell>
          <cell r="B280" t="str">
            <v>Anthropologists and Archeologists</v>
          </cell>
          <cell r="C280">
            <v>8070</v>
          </cell>
          <cell r="D280">
            <v>6.2</v>
          </cell>
          <cell r="E280">
            <v>71070</v>
          </cell>
          <cell r="F280">
            <v>1.4</v>
          </cell>
          <cell r="G280">
            <v>64910</v>
          </cell>
        </row>
        <row r="281">
          <cell r="A281" t="str">
            <v>19-3092</v>
          </cell>
          <cell r="B281" t="str">
            <v>Geographers</v>
          </cell>
          <cell r="C281">
            <v>1380</v>
          </cell>
          <cell r="D281">
            <v>3.2</v>
          </cell>
          <cell r="E281">
            <v>98160</v>
          </cell>
          <cell r="F281">
            <v>0.8</v>
          </cell>
          <cell r="G281">
            <v>97200</v>
          </cell>
        </row>
        <row r="282">
          <cell r="A282" t="str">
            <v>19-3093</v>
          </cell>
          <cell r="B282" t="str">
            <v>Historians</v>
          </cell>
          <cell r="C282">
            <v>3140</v>
          </cell>
          <cell r="D282">
            <v>8.8000000000000007</v>
          </cell>
          <cell r="E282">
            <v>78470</v>
          </cell>
          <cell r="F282">
            <v>1.2</v>
          </cell>
          <cell r="G282">
            <v>74050</v>
          </cell>
        </row>
        <row r="283">
          <cell r="A283" t="str">
            <v>19-3094</v>
          </cell>
          <cell r="B283" t="str">
            <v>Political Scientists</v>
          </cell>
          <cell r="C283">
            <v>5950</v>
          </cell>
          <cell r="D283">
            <v>3.7</v>
          </cell>
          <cell r="E283">
            <v>137600</v>
          </cell>
          <cell r="F283">
            <v>1.1000000000000001</v>
          </cell>
          <cell r="G283">
            <v>139380</v>
          </cell>
        </row>
        <row r="284">
          <cell r="A284" t="str">
            <v>19-3099</v>
          </cell>
          <cell r="B284" t="str">
            <v>Social Scientists and Related Workers, All Other</v>
          </cell>
          <cell r="C284">
            <v>36970</v>
          </cell>
          <cell r="D284">
            <v>1.8</v>
          </cell>
          <cell r="E284">
            <v>106440</v>
          </cell>
          <cell r="F284">
            <v>0.6</v>
          </cell>
          <cell r="G284">
            <v>100340</v>
          </cell>
        </row>
        <row r="285">
          <cell r="A285" t="str">
            <v>19-4000</v>
          </cell>
          <cell r="B285" t="str">
            <v>Life, Physical, and Social Science Technicians</v>
          </cell>
          <cell r="C285">
            <v>373260</v>
          </cell>
          <cell r="D285">
            <v>0.8</v>
          </cell>
          <cell r="E285">
            <v>61200</v>
          </cell>
          <cell r="F285">
            <v>0.4</v>
          </cell>
          <cell r="G285">
            <v>55810</v>
          </cell>
        </row>
        <row r="286">
          <cell r="A286" t="str">
            <v>19-4010</v>
          </cell>
          <cell r="B286" t="str">
            <v>Agricultural and Food Science Technicians</v>
          </cell>
          <cell r="C286">
            <v>28550</v>
          </cell>
          <cell r="D286">
            <v>3</v>
          </cell>
          <cell r="E286">
            <v>52030</v>
          </cell>
          <cell r="F286">
            <v>0.8</v>
          </cell>
          <cell r="G286">
            <v>48480</v>
          </cell>
        </row>
        <row r="287">
          <cell r="A287" t="str">
            <v>19-4012</v>
          </cell>
          <cell r="B287" t="str">
            <v>Agricultural Technicians</v>
          </cell>
          <cell r="C287">
            <v>14340</v>
          </cell>
          <cell r="D287">
            <v>4.9000000000000004</v>
          </cell>
          <cell r="E287">
            <v>49680</v>
          </cell>
          <cell r="F287">
            <v>1.2</v>
          </cell>
          <cell r="G287">
            <v>46790</v>
          </cell>
        </row>
        <row r="288">
          <cell r="A288" t="str">
            <v>19-4013</v>
          </cell>
          <cell r="B288" t="str">
            <v>Food Science Technicians</v>
          </cell>
          <cell r="C288">
            <v>14200</v>
          </cell>
          <cell r="D288">
            <v>3</v>
          </cell>
          <cell r="E288">
            <v>54400</v>
          </cell>
          <cell r="F288">
            <v>0.8</v>
          </cell>
          <cell r="G288">
            <v>49430</v>
          </cell>
        </row>
        <row r="289">
          <cell r="A289" t="str">
            <v>19-4020</v>
          </cell>
          <cell r="B289" t="str">
            <v>Biological Technicians</v>
          </cell>
          <cell r="C289">
            <v>76190</v>
          </cell>
          <cell r="D289">
            <v>1.7</v>
          </cell>
          <cell r="E289">
            <v>58020</v>
          </cell>
          <cell r="F289">
            <v>0.6</v>
          </cell>
          <cell r="G289">
            <v>52000</v>
          </cell>
        </row>
        <row r="290">
          <cell r="A290" t="str">
            <v>19-4021</v>
          </cell>
          <cell r="B290" t="str">
            <v>Biological Technicians</v>
          </cell>
          <cell r="C290">
            <v>76190</v>
          </cell>
          <cell r="D290">
            <v>1.7</v>
          </cell>
          <cell r="E290">
            <v>58020</v>
          </cell>
          <cell r="F290">
            <v>0.6</v>
          </cell>
          <cell r="G290">
            <v>52000</v>
          </cell>
        </row>
        <row r="291">
          <cell r="A291" t="str">
            <v>19-4030</v>
          </cell>
          <cell r="B291" t="str">
            <v>Chemical Technicians</v>
          </cell>
          <cell r="C291">
            <v>55640</v>
          </cell>
          <cell r="D291">
            <v>2.1</v>
          </cell>
          <cell r="E291">
            <v>61300</v>
          </cell>
          <cell r="F291">
            <v>0.8</v>
          </cell>
          <cell r="G291">
            <v>57790</v>
          </cell>
        </row>
        <row r="292">
          <cell r="A292" t="str">
            <v>19-4031</v>
          </cell>
          <cell r="B292" t="str">
            <v>Chemical Technicians</v>
          </cell>
          <cell r="C292">
            <v>55640</v>
          </cell>
          <cell r="D292">
            <v>2.1</v>
          </cell>
          <cell r="E292">
            <v>61300</v>
          </cell>
          <cell r="F292">
            <v>0.8</v>
          </cell>
          <cell r="G292">
            <v>57790</v>
          </cell>
        </row>
        <row r="293">
          <cell r="A293" t="str">
            <v>19-4040</v>
          </cell>
          <cell r="B293" t="str">
            <v>Environmental Science and Geoscience Technicians</v>
          </cell>
          <cell r="C293">
            <v>52030</v>
          </cell>
          <cell r="D293">
            <v>2.5</v>
          </cell>
          <cell r="E293">
            <v>57470</v>
          </cell>
          <cell r="F293">
            <v>1.1000000000000001</v>
          </cell>
          <cell r="G293">
            <v>49690</v>
          </cell>
        </row>
        <row r="294">
          <cell r="A294" t="str">
            <v>19-4042</v>
          </cell>
          <cell r="B294" t="str">
            <v>Environmental Science and Protection Technicians, Including Health</v>
          </cell>
          <cell r="C294">
            <v>39390</v>
          </cell>
          <cell r="D294">
            <v>2.5</v>
          </cell>
          <cell r="E294">
            <v>56770</v>
          </cell>
          <cell r="F294">
            <v>1.3</v>
          </cell>
          <cell r="G294">
            <v>49490</v>
          </cell>
        </row>
        <row r="295">
          <cell r="A295" t="str">
            <v>19-4043</v>
          </cell>
          <cell r="B295" t="str">
            <v>Geological Technicians, Except Hydrologic Technicians</v>
          </cell>
          <cell r="C295">
            <v>9710</v>
          </cell>
          <cell r="D295">
            <v>8.6</v>
          </cell>
          <cell r="E295">
            <v>58220</v>
          </cell>
          <cell r="F295">
            <v>3.1</v>
          </cell>
          <cell r="G295">
            <v>48390</v>
          </cell>
        </row>
        <row r="296">
          <cell r="A296" t="str">
            <v>19-4044</v>
          </cell>
          <cell r="B296" t="str">
            <v>Hydrologic Technicians</v>
          </cell>
          <cell r="C296">
            <v>2940</v>
          </cell>
          <cell r="D296">
            <v>7.9</v>
          </cell>
          <cell r="E296">
            <v>64410</v>
          </cell>
          <cell r="F296">
            <v>1.5</v>
          </cell>
          <cell r="G296">
            <v>58570</v>
          </cell>
        </row>
        <row r="297">
          <cell r="A297" t="str">
            <v>19-4050</v>
          </cell>
          <cell r="B297" t="str">
            <v>Nuclear Technicians</v>
          </cell>
          <cell r="C297">
            <v>5990</v>
          </cell>
          <cell r="D297">
            <v>2.6</v>
          </cell>
          <cell r="E297">
            <v>100730</v>
          </cell>
          <cell r="F297">
            <v>1</v>
          </cell>
          <cell r="G297">
            <v>104240</v>
          </cell>
        </row>
        <row r="298">
          <cell r="A298" t="str">
            <v>19-4051</v>
          </cell>
          <cell r="B298" t="str">
            <v>Nuclear Technicians</v>
          </cell>
          <cell r="C298">
            <v>5990</v>
          </cell>
          <cell r="D298">
            <v>2.6</v>
          </cell>
          <cell r="E298">
            <v>100730</v>
          </cell>
          <cell r="F298">
            <v>1</v>
          </cell>
          <cell r="G298">
            <v>104240</v>
          </cell>
        </row>
        <row r="299">
          <cell r="A299" t="str">
            <v>19-4060</v>
          </cell>
          <cell r="B299" t="str">
            <v>Social Science Research Assistants</v>
          </cell>
          <cell r="C299">
            <v>32940</v>
          </cell>
          <cell r="D299">
            <v>3.2</v>
          </cell>
          <cell r="E299">
            <v>63560</v>
          </cell>
          <cell r="F299">
            <v>1.3</v>
          </cell>
          <cell r="G299">
            <v>58040</v>
          </cell>
        </row>
        <row r="300">
          <cell r="A300" t="str">
            <v>19-4061</v>
          </cell>
          <cell r="B300" t="str">
            <v>Social Science Research Assistants</v>
          </cell>
          <cell r="C300">
            <v>32940</v>
          </cell>
          <cell r="D300">
            <v>3.2</v>
          </cell>
          <cell r="E300">
            <v>63560</v>
          </cell>
          <cell r="F300">
            <v>1.3</v>
          </cell>
          <cell r="G300">
            <v>58040</v>
          </cell>
        </row>
        <row r="301">
          <cell r="A301" t="str">
            <v>19-4070</v>
          </cell>
          <cell r="B301" t="str">
            <v>Forest and Conservation Technicians</v>
          </cell>
          <cell r="C301">
            <v>31080</v>
          </cell>
          <cell r="D301">
            <v>1.3</v>
          </cell>
          <cell r="E301">
            <v>56660</v>
          </cell>
          <cell r="F301">
            <v>0.3</v>
          </cell>
          <cell r="G301">
            <v>54310</v>
          </cell>
        </row>
        <row r="302">
          <cell r="A302" t="str">
            <v>19-4071</v>
          </cell>
          <cell r="B302" t="str">
            <v>Forest and Conservation Technicians</v>
          </cell>
          <cell r="C302">
            <v>31080</v>
          </cell>
          <cell r="D302">
            <v>1.3</v>
          </cell>
          <cell r="E302">
            <v>56660</v>
          </cell>
          <cell r="F302">
            <v>0.3</v>
          </cell>
          <cell r="G302">
            <v>54310</v>
          </cell>
        </row>
        <row r="303">
          <cell r="A303" t="str">
            <v>19-4090</v>
          </cell>
          <cell r="B303" t="str">
            <v>Miscellaneous Life, Physical, and Social Science Technicians</v>
          </cell>
          <cell r="C303">
            <v>90840</v>
          </cell>
          <cell r="D303">
            <v>1.5</v>
          </cell>
          <cell r="E303">
            <v>66910</v>
          </cell>
          <cell r="F303">
            <v>0.6</v>
          </cell>
          <cell r="G303">
            <v>61570</v>
          </cell>
        </row>
        <row r="304">
          <cell r="A304" t="str">
            <v>19-4092</v>
          </cell>
          <cell r="B304" t="str">
            <v>Forensic Science Technicians</v>
          </cell>
          <cell r="C304">
            <v>19450</v>
          </cell>
          <cell r="D304">
            <v>1.8</v>
          </cell>
          <cell r="E304">
            <v>75260</v>
          </cell>
          <cell r="F304">
            <v>0.9</v>
          </cell>
          <cell r="G304">
            <v>67440</v>
          </cell>
        </row>
        <row r="305">
          <cell r="A305" t="str">
            <v>19-4099</v>
          </cell>
          <cell r="B305" t="str">
            <v>Life, Physical, and Social Science Technicians, All Other</v>
          </cell>
          <cell r="C305">
            <v>71400</v>
          </cell>
          <cell r="D305">
            <v>1.9</v>
          </cell>
          <cell r="E305">
            <v>64640</v>
          </cell>
          <cell r="F305">
            <v>0.7</v>
          </cell>
          <cell r="G305">
            <v>60130</v>
          </cell>
        </row>
        <row r="306">
          <cell r="A306" t="str">
            <v>19-5000</v>
          </cell>
          <cell r="B306" t="str">
            <v>Occupational Health and Safety Specialists and Technicians</v>
          </cell>
          <cell r="C306">
            <v>159880</v>
          </cell>
          <cell r="D306">
            <v>1.5</v>
          </cell>
          <cell r="E306">
            <v>83770</v>
          </cell>
          <cell r="F306">
            <v>0.6</v>
          </cell>
          <cell r="G306">
            <v>78900</v>
          </cell>
        </row>
        <row r="307">
          <cell r="A307" t="str">
            <v>19-5010</v>
          </cell>
          <cell r="B307" t="str">
            <v>Occupational Health and Safety Specialists and Technicians</v>
          </cell>
          <cell r="C307">
            <v>159880</v>
          </cell>
          <cell r="D307">
            <v>1.5</v>
          </cell>
          <cell r="E307">
            <v>83770</v>
          </cell>
          <cell r="F307">
            <v>0.6</v>
          </cell>
          <cell r="G307">
            <v>78900</v>
          </cell>
        </row>
        <row r="308">
          <cell r="A308" t="str">
            <v>19-5011</v>
          </cell>
          <cell r="B308" t="str">
            <v>Occupational Health and Safety Specialists</v>
          </cell>
          <cell r="C308">
            <v>128430</v>
          </cell>
          <cell r="D308">
            <v>1.7</v>
          </cell>
          <cell r="E308">
            <v>88660</v>
          </cell>
          <cell r="F308">
            <v>0.6</v>
          </cell>
          <cell r="G308">
            <v>83910</v>
          </cell>
        </row>
        <row r="309">
          <cell r="A309" t="str">
            <v>19-5012</v>
          </cell>
          <cell r="B309" t="str">
            <v>Occupational Health and Safety Technicians</v>
          </cell>
          <cell r="C309">
            <v>31450</v>
          </cell>
          <cell r="D309">
            <v>3.3</v>
          </cell>
          <cell r="E309">
            <v>63800</v>
          </cell>
          <cell r="F309">
            <v>1.2</v>
          </cell>
          <cell r="G309">
            <v>58440</v>
          </cell>
        </row>
        <row r="310">
          <cell r="A310" t="str">
            <v>21-0000</v>
          </cell>
          <cell r="B310" t="str">
            <v>Community and Social Service Occupations</v>
          </cell>
          <cell r="C310">
            <v>2569630</v>
          </cell>
          <cell r="D310">
            <v>0.3</v>
          </cell>
          <cell r="E310">
            <v>63030</v>
          </cell>
          <cell r="F310">
            <v>0.3</v>
          </cell>
          <cell r="G310">
            <v>57530</v>
          </cell>
        </row>
        <row r="311">
          <cell r="A311" t="str">
            <v>21-1000</v>
          </cell>
          <cell r="B311" t="str">
            <v>Counselors, Social Workers, and Other Community and Social Service Specialists</v>
          </cell>
          <cell r="C311">
            <v>2477920</v>
          </cell>
          <cell r="D311">
            <v>0.3</v>
          </cell>
          <cell r="E311">
            <v>62980</v>
          </cell>
          <cell r="F311">
            <v>0.3</v>
          </cell>
          <cell r="G311">
            <v>57480</v>
          </cell>
        </row>
        <row r="312">
          <cell r="A312" t="str">
            <v>21-1010</v>
          </cell>
          <cell r="B312" t="str">
            <v>Counselors</v>
          </cell>
          <cell r="C312">
            <v>970870</v>
          </cell>
          <cell r="D312">
            <v>0.6</v>
          </cell>
          <cell r="E312">
            <v>66370</v>
          </cell>
          <cell r="F312">
            <v>0.4</v>
          </cell>
          <cell r="G312">
            <v>60200</v>
          </cell>
        </row>
        <row r="313">
          <cell r="A313" t="str">
            <v>21-1012</v>
          </cell>
          <cell r="B313" t="str">
            <v>Educational, Guidance, and Career Counselors and Advisors</v>
          </cell>
          <cell r="C313">
            <v>342350</v>
          </cell>
          <cell r="D313">
            <v>0.6</v>
          </cell>
          <cell r="E313">
            <v>71520</v>
          </cell>
          <cell r="F313">
            <v>0.4</v>
          </cell>
          <cell r="G313">
            <v>65140</v>
          </cell>
        </row>
        <row r="314">
          <cell r="A314" t="str">
            <v>21-1013</v>
          </cell>
          <cell r="B314" t="str">
            <v>Marriage and Family Therapists</v>
          </cell>
          <cell r="C314">
            <v>65870</v>
          </cell>
          <cell r="D314">
            <v>4</v>
          </cell>
          <cell r="E314">
            <v>72720</v>
          </cell>
          <cell r="F314">
            <v>2.6</v>
          </cell>
          <cell r="G314">
            <v>63780</v>
          </cell>
        </row>
        <row r="315">
          <cell r="A315" t="str">
            <v>21-1015</v>
          </cell>
          <cell r="B315" t="str">
            <v>Rehabilitation Counselors</v>
          </cell>
          <cell r="C315">
            <v>88930</v>
          </cell>
          <cell r="D315">
            <v>1.8</v>
          </cell>
          <cell r="E315">
            <v>51260</v>
          </cell>
          <cell r="F315">
            <v>0.6</v>
          </cell>
          <cell r="G315">
            <v>46110</v>
          </cell>
        </row>
        <row r="316">
          <cell r="A316" t="str">
            <v>21-1018</v>
          </cell>
          <cell r="B316" t="str">
            <v>Substance Abuse, Behavioral Disorder, and Mental Health Counselors</v>
          </cell>
          <cell r="C316">
            <v>440380</v>
          </cell>
          <cell r="D316">
            <v>1</v>
          </cell>
          <cell r="E316">
            <v>65100</v>
          </cell>
          <cell r="F316">
            <v>0.6</v>
          </cell>
          <cell r="G316">
            <v>59190</v>
          </cell>
        </row>
        <row r="317">
          <cell r="A317" t="str">
            <v>21-1019</v>
          </cell>
          <cell r="B317" t="str">
            <v>Counselors, All Other</v>
          </cell>
          <cell r="C317">
            <v>33340</v>
          </cell>
          <cell r="D317">
            <v>4.9000000000000004</v>
          </cell>
          <cell r="E317">
            <v>58070</v>
          </cell>
          <cell r="F317">
            <v>2</v>
          </cell>
          <cell r="G317">
            <v>49830</v>
          </cell>
        </row>
        <row r="318">
          <cell r="A318" t="str">
            <v>21-1020</v>
          </cell>
          <cell r="B318" t="str">
            <v>Social Workers</v>
          </cell>
          <cell r="C318">
            <v>759740</v>
          </cell>
          <cell r="D318">
            <v>0.7</v>
          </cell>
          <cell r="E318">
            <v>67050</v>
          </cell>
          <cell r="F318">
            <v>0.4</v>
          </cell>
          <cell r="G318">
            <v>61330</v>
          </cell>
        </row>
        <row r="319">
          <cell r="A319" t="str">
            <v>21-1021</v>
          </cell>
          <cell r="B319" t="str">
            <v>Child, Family, and School Social Workers</v>
          </cell>
          <cell r="C319">
            <v>382960</v>
          </cell>
          <cell r="D319">
            <v>0.8</v>
          </cell>
          <cell r="E319">
            <v>62920</v>
          </cell>
          <cell r="F319">
            <v>0.4</v>
          </cell>
          <cell r="G319">
            <v>58570</v>
          </cell>
        </row>
        <row r="320">
          <cell r="A320" t="str">
            <v>21-1022</v>
          </cell>
          <cell r="B320" t="str">
            <v>Healthcare Social Workers</v>
          </cell>
          <cell r="C320">
            <v>185940</v>
          </cell>
          <cell r="D320">
            <v>1.1000000000000001</v>
          </cell>
          <cell r="E320">
            <v>72030</v>
          </cell>
          <cell r="F320">
            <v>0.6</v>
          </cell>
          <cell r="G320">
            <v>68090</v>
          </cell>
        </row>
        <row r="321">
          <cell r="A321" t="str">
            <v>21-1023</v>
          </cell>
          <cell r="B321" t="str">
            <v>Mental Health and Substance Abuse Social Workers</v>
          </cell>
          <cell r="C321">
            <v>125910</v>
          </cell>
          <cell r="D321">
            <v>2.5</v>
          </cell>
          <cell r="E321">
            <v>68290</v>
          </cell>
          <cell r="F321">
            <v>1.9</v>
          </cell>
          <cell r="G321">
            <v>60060</v>
          </cell>
        </row>
        <row r="322">
          <cell r="A322" t="str">
            <v>21-1029</v>
          </cell>
          <cell r="B322" t="str">
            <v>Social Workers, All Other</v>
          </cell>
          <cell r="C322">
            <v>64940</v>
          </cell>
          <cell r="D322">
            <v>1.9</v>
          </cell>
          <cell r="E322">
            <v>74680</v>
          </cell>
          <cell r="F322">
            <v>0.4</v>
          </cell>
          <cell r="G322">
            <v>69480</v>
          </cell>
        </row>
        <row r="323">
          <cell r="A323" t="str">
            <v>21-1090</v>
          </cell>
          <cell r="B323" t="str">
            <v>Miscellaneous Community and Social Service Specialists</v>
          </cell>
          <cell r="C323">
            <v>747300</v>
          </cell>
          <cell r="D323">
            <v>0.6</v>
          </cell>
          <cell r="E323">
            <v>54460</v>
          </cell>
          <cell r="F323">
            <v>0.3</v>
          </cell>
          <cell r="G323">
            <v>48790</v>
          </cell>
        </row>
        <row r="324">
          <cell r="A324" t="str">
            <v>21-1091</v>
          </cell>
          <cell r="B324" t="str">
            <v>Health Education Specialists</v>
          </cell>
          <cell r="C324">
            <v>65150</v>
          </cell>
          <cell r="D324">
            <v>1.9</v>
          </cell>
          <cell r="E324">
            <v>71700</v>
          </cell>
          <cell r="F324">
            <v>0.6</v>
          </cell>
          <cell r="G324">
            <v>63000</v>
          </cell>
        </row>
        <row r="325">
          <cell r="A325" t="str">
            <v>21-1092</v>
          </cell>
          <cell r="B325" t="str">
            <v>Probation Officers and Correctional Treatment Specialists</v>
          </cell>
          <cell r="C325">
            <v>86820</v>
          </cell>
          <cell r="D325">
            <v>0.4</v>
          </cell>
          <cell r="E325">
            <v>71530</v>
          </cell>
          <cell r="F325">
            <v>0.2</v>
          </cell>
          <cell r="G325">
            <v>64520</v>
          </cell>
        </row>
        <row r="326">
          <cell r="A326" t="str">
            <v>21-1093</v>
          </cell>
          <cell r="B326" t="str">
            <v>Social and Human Service Assistants</v>
          </cell>
          <cell r="C326">
            <v>424220</v>
          </cell>
          <cell r="D326">
            <v>0.9</v>
          </cell>
          <cell r="E326">
            <v>47090</v>
          </cell>
          <cell r="F326">
            <v>0.4</v>
          </cell>
          <cell r="G326">
            <v>45120</v>
          </cell>
        </row>
        <row r="327">
          <cell r="A327" t="str">
            <v>21-1094</v>
          </cell>
          <cell r="B327" t="str">
            <v>Community Health Workers</v>
          </cell>
          <cell r="C327">
            <v>60730</v>
          </cell>
          <cell r="D327">
            <v>2.2000000000000002</v>
          </cell>
          <cell r="E327">
            <v>55970</v>
          </cell>
          <cell r="F327">
            <v>0.6</v>
          </cell>
          <cell r="G327">
            <v>51030</v>
          </cell>
        </row>
        <row r="328">
          <cell r="A328" t="str">
            <v>21-1099</v>
          </cell>
          <cell r="B328" t="str">
            <v>Community and Social Service Specialists, All Other</v>
          </cell>
          <cell r="C328">
            <v>110390</v>
          </cell>
          <cell r="D328">
            <v>2</v>
          </cell>
          <cell r="E328">
            <v>58360</v>
          </cell>
          <cell r="F328">
            <v>0.5</v>
          </cell>
          <cell r="G328">
            <v>54940</v>
          </cell>
        </row>
        <row r="329">
          <cell r="A329" t="str">
            <v>21-2000</v>
          </cell>
          <cell r="B329" t="str">
            <v>Religious Workers</v>
          </cell>
          <cell r="C329">
            <v>91710</v>
          </cell>
          <cell r="D329">
            <v>1.8</v>
          </cell>
          <cell r="E329">
            <v>64360</v>
          </cell>
          <cell r="F329">
            <v>1.2</v>
          </cell>
          <cell r="G329">
            <v>58570</v>
          </cell>
        </row>
        <row r="330">
          <cell r="A330" t="str">
            <v>21-2010</v>
          </cell>
          <cell r="B330" t="str">
            <v>Clergy</v>
          </cell>
          <cell r="C330">
            <v>58080</v>
          </cell>
          <cell r="D330">
            <v>2.4</v>
          </cell>
          <cell r="E330">
            <v>67160</v>
          </cell>
          <cell r="F330">
            <v>1.3</v>
          </cell>
          <cell r="G330">
            <v>60820</v>
          </cell>
        </row>
        <row r="331">
          <cell r="A331" t="str">
            <v>21-2011</v>
          </cell>
          <cell r="B331" t="str">
            <v>Clergy</v>
          </cell>
          <cell r="C331">
            <v>58080</v>
          </cell>
          <cell r="D331">
            <v>2.4</v>
          </cell>
          <cell r="E331">
            <v>67160</v>
          </cell>
          <cell r="F331">
            <v>1.3</v>
          </cell>
          <cell r="G331">
            <v>60820</v>
          </cell>
        </row>
        <row r="332">
          <cell r="A332" t="str">
            <v>21-2020</v>
          </cell>
          <cell r="B332" t="str">
            <v>Directors, Religious Activities and Education</v>
          </cell>
          <cell r="C332">
            <v>21460</v>
          </cell>
          <cell r="D332">
            <v>4.2</v>
          </cell>
          <cell r="E332">
            <v>65040</v>
          </cell>
          <cell r="F332">
            <v>2.4</v>
          </cell>
          <cell r="G332">
            <v>54840</v>
          </cell>
        </row>
        <row r="333">
          <cell r="A333" t="str">
            <v>21-2021</v>
          </cell>
          <cell r="B333" t="str">
            <v>Directors, Religious Activities and Education</v>
          </cell>
          <cell r="C333">
            <v>21460</v>
          </cell>
          <cell r="D333">
            <v>4.2</v>
          </cell>
          <cell r="E333">
            <v>65040</v>
          </cell>
          <cell r="F333">
            <v>2.4</v>
          </cell>
          <cell r="G333">
            <v>54840</v>
          </cell>
        </row>
        <row r="334">
          <cell r="A334" t="str">
            <v>21-2090</v>
          </cell>
          <cell r="B334" t="str">
            <v>Miscellaneous Religious Workers</v>
          </cell>
          <cell r="C334">
            <v>12170</v>
          </cell>
          <cell r="D334">
            <v>9</v>
          </cell>
          <cell r="E334">
            <v>49830</v>
          </cell>
          <cell r="F334">
            <v>3.2</v>
          </cell>
          <cell r="G334">
            <v>45120</v>
          </cell>
        </row>
        <row r="335">
          <cell r="A335" t="str">
            <v>21-2099</v>
          </cell>
          <cell r="B335" t="str">
            <v>Religious Workers, All Other</v>
          </cell>
          <cell r="C335">
            <v>12170</v>
          </cell>
          <cell r="D335">
            <v>9</v>
          </cell>
          <cell r="E335">
            <v>49830</v>
          </cell>
          <cell r="F335">
            <v>3.2</v>
          </cell>
          <cell r="G335">
            <v>45120</v>
          </cell>
        </row>
        <row r="336">
          <cell r="A336" t="str">
            <v>23-0000</v>
          </cell>
          <cell r="B336" t="str">
            <v>Legal Occupations</v>
          </cell>
          <cell r="C336">
            <v>1273410</v>
          </cell>
          <cell r="D336">
            <v>0.5</v>
          </cell>
          <cell r="E336">
            <v>137680</v>
          </cell>
          <cell r="F336">
            <v>1.8</v>
          </cell>
          <cell r="G336">
            <v>99990</v>
          </cell>
        </row>
        <row r="337">
          <cell r="A337" t="str">
            <v>23-1000</v>
          </cell>
          <cell r="B337" t="str">
            <v>Lawyers, Judges, and Related Workers</v>
          </cell>
          <cell r="C337">
            <v>810640</v>
          </cell>
          <cell r="D337">
            <v>0.7</v>
          </cell>
          <cell r="E337">
            <v>177570</v>
          </cell>
          <cell r="F337">
            <v>2.1</v>
          </cell>
          <cell r="G337">
            <v>144040</v>
          </cell>
        </row>
        <row r="338">
          <cell r="A338" t="str">
            <v>23-1010</v>
          </cell>
          <cell r="B338" t="str">
            <v>Lawyers and Judicial Law Clerks</v>
          </cell>
          <cell r="C338">
            <v>760970</v>
          </cell>
          <cell r="D338">
            <v>0.7</v>
          </cell>
          <cell r="E338">
            <v>180790</v>
          </cell>
          <cell r="F338">
            <v>2.2000000000000002</v>
          </cell>
          <cell r="G338">
            <v>148600</v>
          </cell>
        </row>
        <row r="339">
          <cell r="A339" t="str">
            <v>23-1011</v>
          </cell>
          <cell r="B339" t="str">
            <v>Lawyers</v>
          </cell>
          <cell r="C339">
            <v>747750</v>
          </cell>
          <cell r="D339">
            <v>0.8</v>
          </cell>
          <cell r="E339">
            <v>182760</v>
          </cell>
          <cell r="F339">
            <v>2.2000000000000002</v>
          </cell>
          <cell r="G339">
            <v>151160</v>
          </cell>
        </row>
        <row r="340">
          <cell r="A340" t="str">
            <v>23-1012</v>
          </cell>
          <cell r="B340" t="str">
            <v>Judicial Law Clerks</v>
          </cell>
          <cell r="C340">
            <v>13220</v>
          </cell>
          <cell r="D340">
            <v>1.6</v>
          </cell>
          <cell r="E340">
            <v>69850</v>
          </cell>
          <cell r="F340">
            <v>0.5</v>
          </cell>
          <cell r="G340">
            <v>60400</v>
          </cell>
        </row>
        <row r="341">
          <cell r="A341" t="str">
            <v>23-1020</v>
          </cell>
          <cell r="B341" t="str">
            <v>Judges, Magistrates, and Other Judicial Workers</v>
          </cell>
          <cell r="C341">
            <v>49670</v>
          </cell>
          <cell r="D341">
            <v>1.2</v>
          </cell>
          <cell r="E341">
            <v>128190</v>
          </cell>
          <cell r="F341">
            <v>1.2</v>
          </cell>
          <cell r="G341">
            <v>123220</v>
          </cell>
        </row>
        <row r="342">
          <cell r="A342" t="str">
            <v>23-1021</v>
          </cell>
          <cell r="B342" t="str">
            <v>Administrative Law Judges, Adjudicators, and Hearing Officers</v>
          </cell>
          <cell r="C342">
            <v>16230</v>
          </cell>
          <cell r="D342">
            <v>0.4</v>
          </cell>
          <cell r="E342">
            <v>122620</v>
          </cell>
          <cell r="F342">
            <v>0.3</v>
          </cell>
          <cell r="G342">
            <v>115230</v>
          </cell>
        </row>
        <row r="343">
          <cell r="A343" t="str">
            <v>23-1022</v>
          </cell>
          <cell r="B343" t="str">
            <v>Arbitrators, Mediators, and Conciliators</v>
          </cell>
          <cell r="C343">
            <v>7860</v>
          </cell>
          <cell r="D343">
            <v>8.3000000000000007</v>
          </cell>
          <cell r="E343">
            <v>91170</v>
          </cell>
          <cell r="F343">
            <v>11.7</v>
          </cell>
          <cell r="G343">
            <v>67710</v>
          </cell>
        </row>
        <row r="344">
          <cell r="A344" t="str">
            <v>23-1023</v>
          </cell>
          <cell r="B344" t="str">
            <v>Judges, Magistrate Judges, and Magistrates</v>
          </cell>
          <cell r="C344">
            <v>25580</v>
          </cell>
          <cell r="D344">
            <v>0.8</v>
          </cell>
          <cell r="E344">
            <v>143110</v>
          </cell>
          <cell r="F344">
            <v>0.8</v>
          </cell>
          <cell r="G344">
            <v>156210</v>
          </cell>
        </row>
        <row r="345">
          <cell r="A345" t="str">
            <v>23-2000</v>
          </cell>
          <cell r="B345" t="str">
            <v>Legal Support Workers</v>
          </cell>
          <cell r="C345">
            <v>462770</v>
          </cell>
          <cell r="D345">
            <v>1.1000000000000001</v>
          </cell>
          <cell r="E345">
            <v>67810</v>
          </cell>
          <cell r="F345">
            <v>0.9</v>
          </cell>
          <cell r="G345">
            <v>60930</v>
          </cell>
        </row>
        <row r="346">
          <cell r="A346" t="str">
            <v>23-2010</v>
          </cell>
          <cell r="B346" t="str">
            <v>Paralegals and Legal Assistants</v>
          </cell>
          <cell r="C346">
            <v>367220</v>
          </cell>
          <cell r="D346">
            <v>1.3</v>
          </cell>
          <cell r="E346">
            <v>66510</v>
          </cell>
          <cell r="F346">
            <v>1</v>
          </cell>
          <cell r="G346">
            <v>61010</v>
          </cell>
        </row>
        <row r="347">
          <cell r="A347" t="str">
            <v>23-2011</v>
          </cell>
          <cell r="B347" t="str">
            <v>Paralegals and Legal Assistants</v>
          </cell>
          <cell r="C347">
            <v>367220</v>
          </cell>
          <cell r="D347">
            <v>1.3</v>
          </cell>
          <cell r="E347">
            <v>66510</v>
          </cell>
          <cell r="F347">
            <v>1</v>
          </cell>
          <cell r="G347">
            <v>61010</v>
          </cell>
        </row>
        <row r="348">
          <cell r="A348" t="str">
            <v>23-2090</v>
          </cell>
          <cell r="B348" t="str">
            <v>Miscellaneous Legal Support Workers</v>
          </cell>
          <cell r="C348">
            <v>95550</v>
          </cell>
          <cell r="D348">
            <v>1.7</v>
          </cell>
          <cell r="E348">
            <v>72800</v>
          </cell>
          <cell r="F348">
            <v>1</v>
          </cell>
          <cell r="G348">
            <v>60550</v>
          </cell>
        </row>
        <row r="349">
          <cell r="A349" t="str">
            <v>23-2093</v>
          </cell>
          <cell r="B349" t="str">
            <v>Title Examiners, Abstractors, and Searchers</v>
          </cell>
          <cell r="C349">
            <v>48170</v>
          </cell>
          <cell r="D349">
            <v>2.9</v>
          </cell>
          <cell r="E349">
            <v>59600</v>
          </cell>
          <cell r="F349">
            <v>1.4</v>
          </cell>
          <cell r="G349">
            <v>54980</v>
          </cell>
        </row>
        <row r="350">
          <cell r="A350" t="str">
            <v>23-2099</v>
          </cell>
          <cell r="B350" t="str">
            <v>Legal Support Workers, All Other</v>
          </cell>
          <cell r="C350">
            <v>47380</v>
          </cell>
          <cell r="D350">
            <v>2.6</v>
          </cell>
          <cell r="E350">
            <v>86220</v>
          </cell>
          <cell r="F350">
            <v>1.1000000000000001</v>
          </cell>
          <cell r="G350">
            <v>68760</v>
          </cell>
        </row>
        <row r="351">
          <cell r="A351" t="str">
            <v>25-0000</v>
          </cell>
          <cell r="B351" t="str">
            <v>Educational Instruction and Library Occupations</v>
          </cell>
          <cell r="C351">
            <v>8947710</v>
          </cell>
          <cell r="D351">
            <v>0.1</v>
          </cell>
          <cell r="E351">
            <v>65900</v>
          </cell>
          <cell r="F351">
            <v>0.5</v>
          </cell>
          <cell r="G351">
            <v>59220</v>
          </cell>
        </row>
        <row r="352">
          <cell r="A352" t="str">
            <v>25-1000</v>
          </cell>
          <cell r="B352" t="str">
            <v>Postsecondary Teachers</v>
          </cell>
          <cell r="C352">
            <v>1396300</v>
          </cell>
          <cell r="D352">
            <v>0.2</v>
          </cell>
          <cell r="E352">
            <v>102410</v>
          </cell>
          <cell r="F352">
            <v>0.5</v>
          </cell>
          <cell r="G352">
            <v>81600</v>
          </cell>
        </row>
        <row r="353">
          <cell r="A353" t="str">
            <v>25-1010</v>
          </cell>
          <cell r="B353" t="str">
            <v>Business Teachers, Postsecondary</v>
          </cell>
          <cell r="C353">
            <v>81780</v>
          </cell>
          <cell r="D353">
            <v>0.7</v>
          </cell>
          <cell r="E353">
            <v>113840</v>
          </cell>
          <cell r="F353">
            <v>0.6</v>
          </cell>
          <cell r="G353">
            <v>97270</v>
          </cell>
        </row>
        <row r="354">
          <cell r="A354" t="str">
            <v>25-1011</v>
          </cell>
          <cell r="B354" t="str">
            <v>Business Teachers, Postsecondary</v>
          </cell>
          <cell r="C354">
            <v>81780</v>
          </cell>
          <cell r="D354">
            <v>0.7</v>
          </cell>
          <cell r="E354">
            <v>113840</v>
          </cell>
          <cell r="F354">
            <v>0.6</v>
          </cell>
          <cell r="G354">
            <v>97270</v>
          </cell>
        </row>
        <row r="355">
          <cell r="A355" t="str">
            <v>25-1020</v>
          </cell>
          <cell r="B355" t="str">
            <v>Math and Computer Science Teachers, Postsecondary</v>
          </cell>
          <cell r="C355">
            <v>85060</v>
          </cell>
          <cell r="D355">
            <v>0.3</v>
          </cell>
          <cell r="E355">
            <v>98400</v>
          </cell>
          <cell r="F355">
            <v>0.6</v>
          </cell>
          <cell r="G355">
            <v>82390</v>
          </cell>
        </row>
        <row r="356">
          <cell r="A356" t="str">
            <v>25-1021</v>
          </cell>
          <cell r="B356" t="str">
            <v>Computer Science Teachers, Postsecondary</v>
          </cell>
          <cell r="C356">
            <v>36240</v>
          </cell>
          <cell r="D356">
            <v>0.6</v>
          </cell>
          <cell r="E356">
            <v>105830</v>
          </cell>
          <cell r="F356">
            <v>0.7</v>
          </cell>
          <cell r="G356">
            <v>96690</v>
          </cell>
        </row>
        <row r="357">
          <cell r="A357" t="str">
            <v>25-1022</v>
          </cell>
          <cell r="B357" t="str">
            <v>Mathematical Science Teachers, Postsecondary</v>
          </cell>
          <cell r="C357">
            <v>48820</v>
          </cell>
          <cell r="D357">
            <v>0.3</v>
          </cell>
          <cell r="E357">
            <v>92880</v>
          </cell>
          <cell r="F357">
            <v>0.6</v>
          </cell>
          <cell r="G357">
            <v>79350</v>
          </cell>
        </row>
        <row r="358">
          <cell r="A358" t="str">
            <v>25-1030</v>
          </cell>
          <cell r="B358" t="str">
            <v>Engineering and Architecture Teachers, Postsecondary</v>
          </cell>
          <cell r="C358">
            <v>49030</v>
          </cell>
          <cell r="D358">
            <v>0.5</v>
          </cell>
          <cell r="E358">
            <v>117670</v>
          </cell>
          <cell r="F358">
            <v>0.6</v>
          </cell>
          <cell r="G358">
            <v>105690</v>
          </cell>
        </row>
        <row r="359">
          <cell r="A359" t="str">
            <v>25-1031</v>
          </cell>
          <cell r="B359" t="str">
            <v>Architecture Teachers, Postsecondary</v>
          </cell>
          <cell r="C359">
            <v>9120</v>
          </cell>
          <cell r="D359">
            <v>1.2</v>
          </cell>
          <cell r="E359">
            <v>110360</v>
          </cell>
          <cell r="F359">
            <v>0.9</v>
          </cell>
          <cell r="G359">
            <v>101480</v>
          </cell>
        </row>
        <row r="360">
          <cell r="A360" t="str">
            <v>25-1032</v>
          </cell>
          <cell r="B360" t="str">
            <v>Engineering Teachers, Postsecondary</v>
          </cell>
          <cell r="C360">
            <v>39910</v>
          </cell>
          <cell r="D360">
            <v>0.5</v>
          </cell>
          <cell r="E360">
            <v>119340</v>
          </cell>
          <cell r="F360">
            <v>0.6</v>
          </cell>
          <cell r="G360">
            <v>106120</v>
          </cell>
        </row>
        <row r="361">
          <cell r="A361" t="str">
            <v>25-1040</v>
          </cell>
          <cell r="B361" t="str">
            <v>Life Sciences Teachers, Postsecondary</v>
          </cell>
          <cell r="C361">
            <v>63270</v>
          </cell>
          <cell r="D361">
            <v>0.5</v>
          </cell>
          <cell r="E361">
            <v>100900</v>
          </cell>
          <cell r="F361">
            <v>0.6</v>
          </cell>
          <cell r="G361">
            <v>83920</v>
          </cell>
        </row>
        <row r="362">
          <cell r="A362" t="str">
            <v>25-1041</v>
          </cell>
          <cell r="B362" t="str">
            <v>Agricultural Sciences Teachers, Postsecondary</v>
          </cell>
          <cell r="C362">
            <v>8700</v>
          </cell>
          <cell r="D362">
            <v>1.8</v>
          </cell>
          <cell r="E362">
            <v>97790</v>
          </cell>
          <cell r="F362">
            <v>0.7</v>
          </cell>
          <cell r="G362">
            <v>86350</v>
          </cell>
        </row>
        <row r="363">
          <cell r="A363" t="str">
            <v>25-1042</v>
          </cell>
          <cell r="B363" t="str">
            <v>Biological Science Teachers, Postsecondary</v>
          </cell>
          <cell r="C363">
            <v>53250</v>
          </cell>
          <cell r="D363">
            <v>0.4</v>
          </cell>
          <cell r="E363">
            <v>101340</v>
          </cell>
          <cell r="F363">
            <v>0.6</v>
          </cell>
          <cell r="G363">
            <v>83460</v>
          </cell>
        </row>
        <row r="364">
          <cell r="A364" t="str">
            <v>25-1043</v>
          </cell>
          <cell r="B364" t="str">
            <v>Forestry and Conservation Science Teachers, Postsecondary</v>
          </cell>
          <cell r="C364">
            <v>1310</v>
          </cell>
          <cell r="D364">
            <v>2.9</v>
          </cell>
          <cell r="E364">
            <v>103780</v>
          </cell>
          <cell r="F364">
            <v>0.8</v>
          </cell>
          <cell r="G364">
            <v>100830</v>
          </cell>
        </row>
        <row r="365">
          <cell r="A365" t="str">
            <v>25-1050</v>
          </cell>
          <cell r="B365" t="str">
            <v>Physical Sciences Teachers, Postsecondary</v>
          </cell>
          <cell r="C365">
            <v>52580</v>
          </cell>
          <cell r="D365">
            <v>0.4</v>
          </cell>
          <cell r="E365">
            <v>105460</v>
          </cell>
          <cell r="F365">
            <v>0.5</v>
          </cell>
          <cell r="G365">
            <v>95520</v>
          </cell>
        </row>
        <row r="366">
          <cell r="A366" t="str">
            <v>25-1051</v>
          </cell>
          <cell r="B366" t="str">
            <v>Atmospheric, Earth, Marine, and Space Sciences Teachers, Postsecondary</v>
          </cell>
          <cell r="C366">
            <v>11480</v>
          </cell>
          <cell r="D366">
            <v>1.3</v>
          </cell>
          <cell r="E366">
            <v>112950</v>
          </cell>
          <cell r="F366">
            <v>0.5</v>
          </cell>
          <cell r="G366">
            <v>101390</v>
          </cell>
        </row>
        <row r="367">
          <cell r="A367" t="str">
            <v>25-1052</v>
          </cell>
          <cell r="B367" t="str">
            <v>Chemistry Teachers, Postsecondary</v>
          </cell>
          <cell r="C367">
            <v>20390</v>
          </cell>
          <cell r="D367">
            <v>0.3</v>
          </cell>
          <cell r="E367">
            <v>103030</v>
          </cell>
          <cell r="F367">
            <v>0.5</v>
          </cell>
          <cell r="G367">
            <v>86220</v>
          </cell>
        </row>
        <row r="368">
          <cell r="A368" t="str">
            <v>25-1053</v>
          </cell>
          <cell r="B368" t="str">
            <v>Environmental Science Teachers, Postsecondary</v>
          </cell>
          <cell r="C368">
            <v>7130</v>
          </cell>
          <cell r="D368">
            <v>1.8</v>
          </cell>
          <cell r="E368">
            <v>100360</v>
          </cell>
          <cell r="F368">
            <v>0.6</v>
          </cell>
          <cell r="G368">
            <v>87710</v>
          </cell>
        </row>
        <row r="369">
          <cell r="A369" t="str">
            <v>25-1054</v>
          </cell>
          <cell r="B369" t="str">
            <v>Physics Teachers, Postsecondary</v>
          </cell>
          <cell r="C369">
            <v>13590</v>
          </cell>
          <cell r="D369">
            <v>0.5</v>
          </cell>
          <cell r="E369">
            <v>105460</v>
          </cell>
          <cell r="F369">
            <v>0.7</v>
          </cell>
          <cell r="G369">
            <v>97360</v>
          </cell>
        </row>
        <row r="370">
          <cell r="A370" t="str">
            <v>25-1060</v>
          </cell>
          <cell r="B370" t="str">
            <v>Social Sciences Teachers, Postsecondary</v>
          </cell>
          <cell r="C370">
            <v>121090</v>
          </cell>
          <cell r="D370">
            <v>1</v>
          </cell>
          <cell r="E370">
            <v>100440</v>
          </cell>
          <cell r="F370">
            <v>0.5</v>
          </cell>
          <cell r="G370">
            <v>83360</v>
          </cell>
        </row>
        <row r="371">
          <cell r="A371" t="str">
            <v>25-1061</v>
          </cell>
          <cell r="B371" t="str">
            <v>Anthropology and Archeology Teachers, Postsecondary</v>
          </cell>
          <cell r="C371">
            <v>5260</v>
          </cell>
          <cell r="D371">
            <v>1.2</v>
          </cell>
          <cell r="E371">
            <v>102530</v>
          </cell>
          <cell r="F371">
            <v>0.6</v>
          </cell>
          <cell r="G371">
            <v>95770</v>
          </cell>
        </row>
        <row r="372">
          <cell r="A372" t="str">
            <v>25-1062</v>
          </cell>
          <cell r="B372" t="str">
            <v>Area, Ethnic, and Cultural Studies Teachers, Postsecondary</v>
          </cell>
          <cell r="C372">
            <v>11430</v>
          </cell>
          <cell r="D372">
            <v>0.7</v>
          </cell>
          <cell r="E372">
            <v>97350</v>
          </cell>
          <cell r="F372">
            <v>0.6</v>
          </cell>
          <cell r="G372">
            <v>84290</v>
          </cell>
        </row>
        <row r="373">
          <cell r="A373" t="str">
            <v>25-1063</v>
          </cell>
          <cell r="B373" t="str">
            <v>Economics Teachers, Postsecondary</v>
          </cell>
          <cell r="C373">
            <v>12420</v>
          </cell>
          <cell r="D373">
            <v>0.4</v>
          </cell>
          <cell r="E373">
            <v>133140</v>
          </cell>
          <cell r="F373">
            <v>0.6</v>
          </cell>
          <cell r="G373">
            <v>119980</v>
          </cell>
        </row>
        <row r="374">
          <cell r="A374" t="str">
            <v>25-1064</v>
          </cell>
          <cell r="B374" t="str">
            <v>Geography Teachers, Postsecondary</v>
          </cell>
          <cell r="C374">
            <v>3290</v>
          </cell>
          <cell r="D374">
            <v>0.6</v>
          </cell>
          <cell r="E374">
            <v>99020</v>
          </cell>
          <cell r="F374">
            <v>0.7</v>
          </cell>
          <cell r="G374">
            <v>86730</v>
          </cell>
        </row>
        <row r="375">
          <cell r="A375" t="str">
            <v>25-1065</v>
          </cell>
          <cell r="B375" t="str">
            <v>Political Science Teachers, Postsecondary</v>
          </cell>
          <cell r="C375">
            <v>17170</v>
          </cell>
          <cell r="D375">
            <v>0.5</v>
          </cell>
          <cell r="E375">
            <v>105160</v>
          </cell>
          <cell r="F375">
            <v>0.5</v>
          </cell>
          <cell r="G375">
            <v>94680</v>
          </cell>
        </row>
        <row r="376">
          <cell r="A376" t="str">
            <v>25-1066</v>
          </cell>
          <cell r="B376" t="str">
            <v>Psychology Teachers, Postsecondary</v>
          </cell>
          <cell r="C376">
            <v>41610</v>
          </cell>
          <cell r="D376">
            <v>2.8</v>
          </cell>
          <cell r="E376">
            <v>93530</v>
          </cell>
          <cell r="F376">
            <v>0.7</v>
          </cell>
          <cell r="G376">
            <v>80330</v>
          </cell>
        </row>
        <row r="377">
          <cell r="A377" t="str">
            <v>25-1067</v>
          </cell>
          <cell r="B377" t="str">
            <v>Sociology Teachers, Postsecondary</v>
          </cell>
          <cell r="C377">
            <v>12380</v>
          </cell>
          <cell r="D377">
            <v>0.8</v>
          </cell>
          <cell r="E377">
            <v>97270</v>
          </cell>
          <cell r="F377">
            <v>0.6</v>
          </cell>
          <cell r="G377">
            <v>82540</v>
          </cell>
        </row>
        <row r="378">
          <cell r="A378" t="str">
            <v>25-1069</v>
          </cell>
          <cell r="B378" t="str">
            <v>Social Sciences Teachers, Postsecondary, All Other</v>
          </cell>
          <cell r="C378">
            <v>17540</v>
          </cell>
          <cell r="D378">
            <v>0.9</v>
          </cell>
          <cell r="E378">
            <v>92950</v>
          </cell>
          <cell r="F378">
            <v>0.6</v>
          </cell>
          <cell r="G378">
            <v>75040</v>
          </cell>
        </row>
        <row r="379">
          <cell r="A379" t="str">
            <v>25-1070</v>
          </cell>
          <cell r="B379" t="str">
            <v>Health Teachers, Postsecondary</v>
          </cell>
          <cell r="C379">
            <v>303970</v>
          </cell>
          <cell r="D379">
            <v>0.6</v>
          </cell>
          <cell r="E379">
            <v>125490</v>
          </cell>
          <cell r="F379">
            <v>0.7</v>
          </cell>
          <cell r="G379">
            <v>100370</v>
          </cell>
        </row>
        <row r="380">
          <cell r="A380" t="str">
            <v>25-1071</v>
          </cell>
          <cell r="B380" t="str">
            <v>Health Specialties Teachers, Postsecondary</v>
          </cell>
          <cell r="C380">
            <v>229720</v>
          </cell>
          <cell r="D380">
            <v>0.9</v>
          </cell>
          <cell r="E380">
            <v>137900</v>
          </cell>
          <cell r="F380">
            <v>0.7</v>
          </cell>
          <cell r="G380">
            <v>105620</v>
          </cell>
        </row>
        <row r="381">
          <cell r="A381" t="str">
            <v>25-1072</v>
          </cell>
          <cell r="B381" t="str">
            <v>Nursing Instructors and Teachers, Postsecondary</v>
          </cell>
          <cell r="C381">
            <v>74250</v>
          </cell>
          <cell r="D381">
            <v>1</v>
          </cell>
          <cell r="E381">
            <v>87090</v>
          </cell>
          <cell r="F381">
            <v>0.7</v>
          </cell>
          <cell r="G381">
            <v>79940</v>
          </cell>
        </row>
        <row r="382">
          <cell r="A382" t="str">
            <v>25-1080</v>
          </cell>
          <cell r="B382" t="str">
            <v>Education and Library Science Teachers, Postsecondary</v>
          </cell>
          <cell r="C382">
            <v>63190</v>
          </cell>
          <cell r="D382">
            <v>0.8</v>
          </cell>
          <cell r="E382">
            <v>78870</v>
          </cell>
          <cell r="F382">
            <v>0.6</v>
          </cell>
          <cell r="G382">
            <v>73050</v>
          </cell>
        </row>
        <row r="383">
          <cell r="A383" t="str">
            <v>25-1081</v>
          </cell>
          <cell r="B383" t="str">
            <v>Education Teachers, Postsecondary</v>
          </cell>
          <cell r="C383">
            <v>59090</v>
          </cell>
          <cell r="D383">
            <v>0.8</v>
          </cell>
          <cell r="E383">
            <v>78500</v>
          </cell>
          <cell r="F383">
            <v>0.6</v>
          </cell>
          <cell r="G383">
            <v>72090</v>
          </cell>
        </row>
        <row r="384">
          <cell r="A384" t="str">
            <v>25-1082</v>
          </cell>
          <cell r="B384" t="str">
            <v>Library Science Teachers, Postsecondary</v>
          </cell>
          <cell r="C384">
            <v>4100</v>
          </cell>
          <cell r="D384">
            <v>1.2</v>
          </cell>
          <cell r="E384">
            <v>84320</v>
          </cell>
          <cell r="F384">
            <v>0.6</v>
          </cell>
          <cell r="G384">
            <v>78630</v>
          </cell>
        </row>
        <row r="385">
          <cell r="A385" t="str">
            <v>25-1110</v>
          </cell>
          <cell r="B385" t="str">
            <v>Law, Criminal Justice, and Social Work Teachers, Postsecondary</v>
          </cell>
          <cell r="C385">
            <v>49710</v>
          </cell>
          <cell r="D385">
            <v>1</v>
          </cell>
          <cell r="E385">
            <v>109320</v>
          </cell>
          <cell r="F385">
            <v>0.7</v>
          </cell>
          <cell r="G385">
            <v>87870</v>
          </cell>
        </row>
        <row r="386">
          <cell r="A386" t="str">
            <v>25-1111</v>
          </cell>
          <cell r="B386" t="str">
            <v>Criminal Justice and Law Enforcement Teachers, Postsecondary</v>
          </cell>
          <cell r="C386">
            <v>13560</v>
          </cell>
          <cell r="D386">
            <v>1.2</v>
          </cell>
          <cell r="E386">
            <v>84820</v>
          </cell>
          <cell r="F386">
            <v>0.9</v>
          </cell>
          <cell r="G386">
            <v>71470</v>
          </cell>
        </row>
        <row r="387">
          <cell r="A387" t="str">
            <v>25-1112</v>
          </cell>
          <cell r="B387" t="str">
            <v>Law Teachers, Postsecondary</v>
          </cell>
          <cell r="C387">
            <v>22800</v>
          </cell>
          <cell r="D387">
            <v>1.9</v>
          </cell>
          <cell r="E387">
            <v>139950</v>
          </cell>
          <cell r="F387">
            <v>0.7</v>
          </cell>
          <cell r="G387">
            <v>126650</v>
          </cell>
        </row>
        <row r="388">
          <cell r="A388" t="str">
            <v>25-1113</v>
          </cell>
          <cell r="B388" t="str">
            <v>Social Work Teachers, Postsecondary</v>
          </cell>
          <cell r="C388">
            <v>13350</v>
          </cell>
          <cell r="D388">
            <v>1.5</v>
          </cell>
          <cell r="E388">
            <v>81880</v>
          </cell>
          <cell r="F388">
            <v>0.9</v>
          </cell>
          <cell r="G388">
            <v>76210</v>
          </cell>
        </row>
        <row r="389">
          <cell r="A389" t="str">
            <v>25-1120</v>
          </cell>
          <cell r="B389" t="str">
            <v>Arts, Communications, History, and Humanities Teachers, Postsecondary</v>
          </cell>
          <cell r="C389">
            <v>248620</v>
          </cell>
          <cell r="D389">
            <v>0.4</v>
          </cell>
          <cell r="E389">
            <v>94900</v>
          </cell>
          <cell r="F389">
            <v>0.5</v>
          </cell>
          <cell r="G389">
            <v>79060</v>
          </cell>
        </row>
        <row r="390">
          <cell r="A390" t="str">
            <v>25-1121</v>
          </cell>
          <cell r="B390" t="str">
            <v>Art, Drama, and Music Teachers, Postsecondary</v>
          </cell>
          <cell r="C390">
            <v>97890</v>
          </cell>
          <cell r="D390">
            <v>0.8</v>
          </cell>
          <cell r="E390">
            <v>102240</v>
          </cell>
          <cell r="F390">
            <v>0.7</v>
          </cell>
          <cell r="G390">
            <v>80190</v>
          </cell>
        </row>
        <row r="391">
          <cell r="A391" t="str">
            <v>25-1122</v>
          </cell>
          <cell r="B391" t="str">
            <v>Communications Teachers, Postsecondary</v>
          </cell>
          <cell r="C391">
            <v>29260</v>
          </cell>
          <cell r="D391">
            <v>0.5</v>
          </cell>
          <cell r="E391">
            <v>90340</v>
          </cell>
          <cell r="F391">
            <v>0.6</v>
          </cell>
          <cell r="G391">
            <v>77800</v>
          </cell>
        </row>
        <row r="392">
          <cell r="A392" t="str">
            <v>25-1123</v>
          </cell>
          <cell r="B392" t="str">
            <v>English Language and Literature Teachers, Postsecondary</v>
          </cell>
          <cell r="C392">
            <v>59590</v>
          </cell>
          <cell r="D392">
            <v>0.4</v>
          </cell>
          <cell r="E392">
            <v>90400</v>
          </cell>
          <cell r="F392">
            <v>0.5</v>
          </cell>
          <cell r="G392">
            <v>78270</v>
          </cell>
        </row>
        <row r="393">
          <cell r="A393" t="str">
            <v>25-1124</v>
          </cell>
          <cell r="B393" t="str">
            <v>Foreign Language and Literature Teachers, Postsecondary</v>
          </cell>
          <cell r="C393">
            <v>21170</v>
          </cell>
          <cell r="D393">
            <v>0.6</v>
          </cell>
          <cell r="E393">
            <v>87670</v>
          </cell>
          <cell r="F393">
            <v>0.6</v>
          </cell>
          <cell r="G393">
            <v>77010</v>
          </cell>
        </row>
        <row r="394">
          <cell r="A394" t="str">
            <v>25-1125</v>
          </cell>
          <cell r="B394" t="str">
            <v>History Teachers, Postsecondary</v>
          </cell>
          <cell r="C394">
            <v>19860</v>
          </cell>
          <cell r="D394">
            <v>0.4</v>
          </cell>
          <cell r="E394">
            <v>93710</v>
          </cell>
          <cell r="F394">
            <v>0.7</v>
          </cell>
          <cell r="G394">
            <v>81500</v>
          </cell>
        </row>
        <row r="395">
          <cell r="A395" t="str">
            <v>25-1126</v>
          </cell>
          <cell r="B395" t="str">
            <v>Philosophy and Religion Teachers, Postsecondary</v>
          </cell>
          <cell r="C395">
            <v>20840</v>
          </cell>
          <cell r="D395">
            <v>2</v>
          </cell>
          <cell r="E395">
            <v>88210</v>
          </cell>
          <cell r="F395">
            <v>0.8</v>
          </cell>
          <cell r="G395">
            <v>78050</v>
          </cell>
        </row>
        <row r="396">
          <cell r="A396" t="str">
            <v>25-1190</v>
          </cell>
          <cell r="B396" t="str">
            <v>Miscellaneous Postsecondary Teachers</v>
          </cell>
          <cell r="C396">
            <v>278000</v>
          </cell>
          <cell r="D396">
            <v>0.7</v>
          </cell>
          <cell r="E396">
            <v>83780</v>
          </cell>
          <cell r="F396">
            <v>0.6</v>
          </cell>
          <cell r="G396">
            <v>68800</v>
          </cell>
        </row>
        <row r="397">
          <cell r="A397" t="str">
            <v>25-1192</v>
          </cell>
          <cell r="B397" t="str">
            <v>Family and Consumer Sciences Teachers, Postsecondary</v>
          </cell>
          <cell r="C397">
            <v>2630</v>
          </cell>
          <cell r="D397">
            <v>1.7</v>
          </cell>
          <cell r="E397">
            <v>84450</v>
          </cell>
          <cell r="F397">
            <v>0.7</v>
          </cell>
          <cell r="G397">
            <v>77280</v>
          </cell>
        </row>
        <row r="398">
          <cell r="A398" t="str">
            <v>25-1193</v>
          </cell>
          <cell r="B398" t="str">
            <v>Recreation and Fitness Studies Teachers, Postsecondary</v>
          </cell>
          <cell r="C398">
            <v>12680</v>
          </cell>
          <cell r="D398">
            <v>1.1000000000000001</v>
          </cell>
          <cell r="E398">
            <v>87980</v>
          </cell>
          <cell r="F398">
            <v>0.5</v>
          </cell>
          <cell r="G398">
            <v>75890</v>
          </cell>
        </row>
        <row r="399">
          <cell r="A399" t="str">
            <v>25-1194</v>
          </cell>
          <cell r="B399" t="str">
            <v>Career/Technical Education Teachers, Postsecondary</v>
          </cell>
          <cell r="C399">
            <v>111150</v>
          </cell>
          <cell r="D399">
            <v>1.6</v>
          </cell>
          <cell r="E399">
            <v>68710</v>
          </cell>
          <cell r="F399">
            <v>0.7</v>
          </cell>
          <cell r="G399">
            <v>61490</v>
          </cell>
        </row>
        <row r="400">
          <cell r="A400" t="str">
            <v>25-1199</v>
          </cell>
          <cell r="B400" t="str">
            <v>Postsecondary Teachers, All Other</v>
          </cell>
          <cell r="C400">
            <v>151530</v>
          </cell>
          <cell r="D400">
            <v>0.8</v>
          </cell>
          <cell r="E400">
            <v>94470</v>
          </cell>
          <cell r="F400">
            <v>0.6</v>
          </cell>
          <cell r="G400">
            <v>78490</v>
          </cell>
        </row>
        <row r="401">
          <cell r="A401" t="str">
            <v>25-2000</v>
          </cell>
          <cell r="B401" t="str">
            <v>Preschool, Elementary, Middle, Secondary, and Special Education Teachers</v>
          </cell>
          <cell r="C401">
            <v>4321590</v>
          </cell>
          <cell r="D401">
            <v>0.3</v>
          </cell>
          <cell r="E401">
            <v>68130</v>
          </cell>
          <cell r="F401">
            <v>0.5</v>
          </cell>
          <cell r="G401">
            <v>61960</v>
          </cell>
        </row>
        <row r="402">
          <cell r="A402" t="str">
            <v>25-2010</v>
          </cell>
          <cell r="B402" t="str">
            <v>Preschool and Kindergarten Teachers</v>
          </cell>
          <cell r="C402">
            <v>559490</v>
          </cell>
          <cell r="D402">
            <v>1.1000000000000001</v>
          </cell>
          <cell r="E402">
            <v>46680</v>
          </cell>
          <cell r="F402">
            <v>0.7</v>
          </cell>
          <cell r="G402">
            <v>40090</v>
          </cell>
        </row>
        <row r="403">
          <cell r="A403" t="str">
            <v>25-2011</v>
          </cell>
          <cell r="B403" t="str">
            <v>Preschool Teachers, Except Special Education</v>
          </cell>
          <cell r="C403">
            <v>445080</v>
          </cell>
          <cell r="D403">
            <v>1.4</v>
          </cell>
          <cell r="E403">
            <v>41450</v>
          </cell>
          <cell r="F403">
            <v>0.7</v>
          </cell>
          <cell r="G403">
            <v>37120</v>
          </cell>
        </row>
        <row r="404">
          <cell r="A404" t="str">
            <v>25-2012</v>
          </cell>
          <cell r="B404" t="str">
            <v>Kindergarten Teachers, Except Special Education</v>
          </cell>
          <cell r="C404">
            <v>114410</v>
          </cell>
          <cell r="D404">
            <v>1.4</v>
          </cell>
          <cell r="E404">
            <v>67020</v>
          </cell>
          <cell r="F404">
            <v>0.7</v>
          </cell>
          <cell r="G404">
            <v>61430</v>
          </cell>
        </row>
        <row r="405">
          <cell r="A405" t="str">
            <v>25-2020</v>
          </cell>
          <cell r="B405" t="str">
            <v>Elementary and Middle School Teachers</v>
          </cell>
          <cell r="C405">
            <v>2027880</v>
          </cell>
          <cell r="D405">
            <v>0.5</v>
          </cell>
          <cell r="E405">
            <v>69860</v>
          </cell>
          <cell r="F405">
            <v>0.6</v>
          </cell>
          <cell r="G405">
            <v>62500</v>
          </cell>
        </row>
        <row r="406">
          <cell r="A406" t="str">
            <v>25-2021</v>
          </cell>
          <cell r="B406" t="str">
            <v>Elementary School Teachers, Except Special Education</v>
          </cell>
          <cell r="C406">
            <v>1393310</v>
          </cell>
          <cell r="D406">
            <v>0.8</v>
          </cell>
          <cell r="E406">
            <v>69790</v>
          </cell>
          <cell r="F406">
            <v>0.6</v>
          </cell>
          <cell r="G406">
            <v>62340</v>
          </cell>
        </row>
        <row r="407">
          <cell r="A407" t="str">
            <v>25-2022</v>
          </cell>
          <cell r="B407" t="str">
            <v>Middle School Teachers, Except Special and Career/Technical Education</v>
          </cell>
          <cell r="C407">
            <v>620370</v>
          </cell>
          <cell r="D407">
            <v>1.5</v>
          </cell>
          <cell r="E407">
            <v>70040</v>
          </cell>
          <cell r="F407">
            <v>0.8</v>
          </cell>
          <cell r="G407">
            <v>62970</v>
          </cell>
        </row>
        <row r="408">
          <cell r="A408" t="str">
            <v>25-2023</v>
          </cell>
          <cell r="B408" t="str">
            <v>Career/Technical Education Teachers, Middle School</v>
          </cell>
          <cell r="C408">
            <v>14200</v>
          </cell>
          <cell r="D408">
            <v>3.6</v>
          </cell>
          <cell r="E408">
            <v>68690</v>
          </cell>
          <cell r="F408">
            <v>1.3</v>
          </cell>
          <cell r="G408">
            <v>63620</v>
          </cell>
        </row>
        <row r="409">
          <cell r="A409" t="str">
            <v>25-2030</v>
          </cell>
          <cell r="B409" t="str">
            <v>Secondary School Teachers</v>
          </cell>
          <cell r="C409">
            <v>1176990</v>
          </cell>
          <cell r="D409">
            <v>0.9</v>
          </cell>
          <cell r="E409">
            <v>73420</v>
          </cell>
          <cell r="F409">
            <v>0.6</v>
          </cell>
          <cell r="G409">
            <v>64530</v>
          </cell>
        </row>
        <row r="410">
          <cell r="A410" t="str">
            <v>25-2031</v>
          </cell>
          <cell r="B410" t="str">
            <v>Secondary School Teachers, Except Special and Career/Technical Education</v>
          </cell>
          <cell r="C410">
            <v>1072540</v>
          </cell>
          <cell r="D410">
            <v>1</v>
          </cell>
          <cell r="E410">
            <v>73700</v>
          </cell>
          <cell r="F410">
            <v>0.6</v>
          </cell>
          <cell r="G410">
            <v>64580</v>
          </cell>
        </row>
        <row r="411">
          <cell r="A411" t="str">
            <v>25-2032</v>
          </cell>
          <cell r="B411" t="str">
            <v>Career/Technical Education Teachers, Secondary School</v>
          </cell>
          <cell r="C411">
            <v>104450</v>
          </cell>
          <cell r="D411">
            <v>2</v>
          </cell>
          <cell r="E411">
            <v>70550</v>
          </cell>
          <cell r="F411">
            <v>0.8</v>
          </cell>
          <cell r="G411">
            <v>63910</v>
          </cell>
        </row>
        <row r="412">
          <cell r="A412" t="str">
            <v>25-2050</v>
          </cell>
          <cell r="B412" t="str">
            <v>Special Education Teachers</v>
          </cell>
          <cell r="C412">
            <v>557240</v>
          </cell>
          <cell r="D412">
            <v>0.8</v>
          </cell>
          <cell r="E412">
            <v>72230</v>
          </cell>
          <cell r="F412">
            <v>0.5</v>
          </cell>
          <cell r="G412">
            <v>64270</v>
          </cell>
        </row>
        <row r="413">
          <cell r="A413" t="str">
            <v>25-2051</v>
          </cell>
          <cell r="B413" t="str">
            <v>Special Education Teachers, Preschool</v>
          </cell>
          <cell r="C413">
            <v>28200</v>
          </cell>
          <cell r="D413">
            <v>6.2</v>
          </cell>
          <cell r="E413">
            <v>72610</v>
          </cell>
          <cell r="F413">
            <v>2.9</v>
          </cell>
          <cell r="G413">
            <v>62190</v>
          </cell>
        </row>
        <row r="414">
          <cell r="A414" t="str">
            <v>25-2052</v>
          </cell>
          <cell r="B414" t="str">
            <v>Special Education Teachers, Kindergarten and Elementary School</v>
          </cell>
          <cell r="C414">
            <v>231570</v>
          </cell>
          <cell r="D414">
            <v>1.2</v>
          </cell>
          <cell r="E414">
            <v>70150</v>
          </cell>
          <cell r="F414">
            <v>0.6</v>
          </cell>
          <cell r="G414">
            <v>63000</v>
          </cell>
        </row>
        <row r="415">
          <cell r="A415" t="str">
            <v>25-2057</v>
          </cell>
          <cell r="B415" t="str">
            <v>Special Education Teachers, Middle School</v>
          </cell>
          <cell r="C415">
            <v>95330</v>
          </cell>
          <cell r="D415">
            <v>2.4</v>
          </cell>
          <cell r="E415">
            <v>72310</v>
          </cell>
          <cell r="F415">
            <v>1</v>
          </cell>
          <cell r="G415">
            <v>64880</v>
          </cell>
        </row>
        <row r="416">
          <cell r="A416" t="str">
            <v>25-2058</v>
          </cell>
          <cell r="B416" t="str">
            <v>Special Education Teachers, Secondary School</v>
          </cell>
          <cell r="C416">
            <v>162780</v>
          </cell>
          <cell r="D416">
            <v>1.5</v>
          </cell>
          <cell r="E416">
            <v>74610</v>
          </cell>
          <cell r="F416">
            <v>0.7</v>
          </cell>
          <cell r="G416">
            <v>69590</v>
          </cell>
        </row>
        <row r="417">
          <cell r="A417" t="str">
            <v>25-2059</v>
          </cell>
          <cell r="B417" t="str">
            <v>Special Education Teachers, All Other</v>
          </cell>
          <cell r="C417">
            <v>39350</v>
          </cell>
          <cell r="D417">
            <v>4.4000000000000004</v>
          </cell>
          <cell r="E417">
            <v>74180</v>
          </cell>
          <cell r="F417">
            <v>1.5</v>
          </cell>
          <cell r="G417">
            <v>67430</v>
          </cell>
        </row>
        <row r="418">
          <cell r="A418" t="str">
            <v>25-3000</v>
          </cell>
          <cell r="B418" t="str">
            <v>Other Teachers and Instructors</v>
          </cell>
          <cell r="C418">
            <v>1125750</v>
          </cell>
          <cell r="D418">
            <v>0.9</v>
          </cell>
          <cell r="E418">
            <v>51270</v>
          </cell>
          <cell r="F418">
            <v>0.7</v>
          </cell>
          <cell r="G418">
            <v>44220</v>
          </cell>
        </row>
        <row r="419">
          <cell r="A419" t="str">
            <v>25-3010</v>
          </cell>
          <cell r="B419" t="str">
            <v>Adult Basic Education, Adult Secondary Education, and English as a Second Language Instructors</v>
          </cell>
          <cell r="C419">
            <v>36260</v>
          </cell>
          <cell r="D419">
            <v>2.5</v>
          </cell>
          <cell r="E419">
            <v>64660</v>
          </cell>
          <cell r="F419">
            <v>0.9</v>
          </cell>
          <cell r="G419">
            <v>59950</v>
          </cell>
        </row>
        <row r="420">
          <cell r="A420" t="str">
            <v>25-3011</v>
          </cell>
          <cell r="B420" t="str">
            <v>Adult Basic Education, Adult Secondary Education, and English as a Second Language Instructors</v>
          </cell>
          <cell r="C420">
            <v>36260</v>
          </cell>
          <cell r="D420">
            <v>2.5</v>
          </cell>
          <cell r="E420">
            <v>64660</v>
          </cell>
          <cell r="F420">
            <v>0.9</v>
          </cell>
          <cell r="G420">
            <v>59950</v>
          </cell>
        </row>
        <row r="421">
          <cell r="A421" t="str">
            <v>25-3020</v>
          </cell>
          <cell r="B421" t="str">
            <v>Self-Enrichment Teachers</v>
          </cell>
          <cell r="C421">
            <v>308520</v>
          </cell>
          <cell r="D421">
            <v>1.3</v>
          </cell>
          <cell r="E421">
            <v>53330</v>
          </cell>
          <cell r="F421">
            <v>0.9</v>
          </cell>
          <cell r="G421">
            <v>45590</v>
          </cell>
        </row>
        <row r="422">
          <cell r="A422" t="str">
            <v>25-3021</v>
          </cell>
          <cell r="B422" t="str">
            <v>Self-Enrichment Teachers</v>
          </cell>
          <cell r="C422">
            <v>308520</v>
          </cell>
          <cell r="D422">
            <v>1.3</v>
          </cell>
          <cell r="E422">
            <v>53330</v>
          </cell>
          <cell r="F422">
            <v>0.9</v>
          </cell>
          <cell r="G422">
            <v>45590</v>
          </cell>
        </row>
        <row r="423">
          <cell r="A423" t="str">
            <v>25-3030</v>
          </cell>
          <cell r="B423" t="str">
            <v>Substitute Teachers, Short-Term</v>
          </cell>
          <cell r="C423">
            <v>481300</v>
          </cell>
          <cell r="D423">
            <v>1.6</v>
          </cell>
          <cell r="E423">
            <v>44930</v>
          </cell>
          <cell r="F423">
            <v>1</v>
          </cell>
          <cell r="G423">
            <v>38470</v>
          </cell>
        </row>
        <row r="424">
          <cell r="A424" t="str">
            <v>25-3031</v>
          </cell>
          <cell r="B424" t="str">
            <v>Substitute Teachers, Short-Term</v>
          </cell>
          <cell r="C424">
            <v>481300</v>
          </cell>
          <cell r="D424">
            <v>1.6</v>
          </cell>
          <cell r="E424">
            <v>44930</v>
          </cell>
          <cell r="F424">
            <v>1</v>
          </cell>
          <cell r="G424">
            <v>38470</v>
          </cell>
        </row>
        <row r="425">
          <cell r="A425" t="str">
            <v>25-3040</v>
          </cell>
          <cell r="B425" t="str">
            <v>Tutors</v>
          </cell>
          <cell r="C425">
            <v>174660</v>
          </cell>
          <cell r="D425">
            <v>1.8</v>
          </cell>
          <cell r="E425">
            <v>47780</v>
          </cell>
          <cell r="F425">
            <v>1.2</v>
          </cell>
          <cell r="G425">
            <v>40090</v>
          </cell>
        </row>
        <row r="426">
          <cell r="A426" t="str">
            <v>25-3041</v>
          </cell>
          <cell r="B426" t="str">
            <v>Tutors</v>
          </cell>
          <cell r="C426">
            <v>174660</v>
          </cell>
          <cell r="D426">
            <v>1.8</v>
          </cell>
          <cell r="E426">
            <v>47780</v>
          </cell>
          <cell r="F426">
            <v>1.2</v>
          </cell>
          <cell r="G426">
            <v>40090</v>
          </cell>
        </row>
        <row r="427">
          <cell r="A427" t="str">
            <v>25-3090</v>
          </cell>
          <cell r="B427" t="str">
            <v>Miscellaneous Teachers and Instructors</v>
          </cell>
          <cell r="C427">
            <v>125010</v>
          </cell>
          <cell r="D427">
            <v>4.0999999999999996</v>
          </cell>
          <cell r="E427">
            <v>71610</v>
          </cell>
          <cell r="F427">
            <v>1.9</v>
          </cell>
          <cell r="G427">
            <v>64690</v>
          </cell>
        </row>
        <row r="428">
          <cell r="A428" t="str">
            <v>25-3099</v>
          </cell>
          <cell r="B428" t="str">
            <v>Teachers and Instructors, All Other</v>
          </cell>
          <cell r="C428">
            <v>125010</v>
          </cell>
          <cell r="D428">
            <v>4.0999999999999996</v>
          </cell>
          <cell r="E428">
            <v>71610</v>
          </cell>
          <cell r="F428">
            <v>1.9</v>
          </cell>
          <cell r="G428">
            <v>64690</v>
          </cell>
        </row>
        <row r="429">
          <cell r="A429" t="str">
            <v>25-4000</v>
          </cell>
          <cell r="B429" t="str">
            <v>Librarians, Curators, and Archivists</v>
          </cell>
          <cell r="C429">
            <v>238010</v>
          </cell>
          <cell r="D429">
            <v>0.9</v>
          </cell>
          <cell r="E429">
            <v>60220</v>
          </cell>
          <cell r="F429">
            <v>0.5</v>
          </cell>
          <cell r="G429">
            <v>57100</v>
          </cell>
        </row>
        <row r="430">
          <cell r="A430" t="str">
            <v>25-4010</v>
          </cell>
          <cell r="B430" t="str">
            <v>Archivists, Curators, and Museum Technicians</v>
          </cell>
          <cell r="C430">
            <v>32400</v>
          </cell>
          <cell r="D430">
            <v>1.7</v>
          </cell>
          <cell r="E430">
            <v>62900</v>
          </cell>
          <cell r="F430">
            <v>2.1</v>
          </cell>
          <cell r="G430">
            <v>57100</v>
          </cell>
        </row>
        <row r="431">
          <cell r="A431" t="str">
            <v>25-4011</v>
          </cell>
          <cell r="B431" t="str">
            <v>Archivists</v>
          </cell>
          <cell r="C431">
            <v>7050</v>
          </cell>
          <cell r="D431">
            <v>4.2</v>
          </cell>
          <cell r="E431">
            <v>67620</v>
          </cell>
          <cell r="F431">
            <v>1.2</v>
          </cell>
          <cell r="G431">
            <v>61570</v>
          </cell>
        </row>
        <row r="432">
          <cell r="A432" t="str">
            <v>25-4012</v>
          </cell>
          <cell r="B432" t="str">
            <v>Curators</v>
          </cell>
          <cell r="C432">
            <v>12280</v>
          </cell>
          <cell r="D432">
            <v>2.2000000000000002</v>
          </cell>
          <cell r="E432">
            <v>70060</v>
          </cell>
          <cell r="F432">
            <v>4.0999999999999996</v>
          </cell>
          <cell r="G432">
            <v>61770</v>
          </cell>
        </row>
        <row r="433">
          <cell r="A433" t="str">
            <v>25-4013</v>
          </cell>
          <cell r="B433" t="str">
            <v>Museum Technicians and Conservators</v>
          </cell>
          <cell r="C433">
            <v>13070</v>
          </cell>
          <cell r="D433">
            <v>2.6</v>
          </cell>
          <cell r="E433">
            <v>53630</v>
          </cell>
          <cell r="F433">
            <v>1</v>
          </cell>
          <cell r="G433">
            <v>47460</v>
          </cell>
        </row>
        <row r="434">
          <cell r="A434" t="str">
            <v>25-4020</v>
          </cell>
          <cell r="B434" t="str">
            <v>Librarians and Media Collections Specialists</v>
          </cell>
          <cell r="C434">
            <v>131830</v>
          </cell>
          <cell r="D434">
            <v>1</v>
          </cell>
          <cell r="E434">
            <v>69180</v>
          </cell>
          <cell r="F434">
            <v>0.6</v>
          </cell>
          <cell r="G434">
            <v>64320</v>
          </cell>
        </row>
        <row r="435">
          <cell r="A435" t="str">
            <v>25-4022</v>
          </cell>
          <cell r="B435" t="str">
            <v>Librarians and Media Collections Specialists</v>
          </cell>
          <cell r="C435">
            <v>131830</v>
          </cell>
          <cell r="D435">
            <v>1</v>
          </cell>
          <cell r="E435">
            <v>69180</v>
          </cell>
          <cell r="F435">
            <v>0.6</v>
          </cell>
          <cell r="G435">
            <v>64320</v>
          </cell>
        </row>
        <row r="436">
          <cell r="A436" t="str">
            <v>25-4030</v>
          </cell>
          <cell r="B436" t="str">
            <v>Library Technicians</v>
          </cell>
          <cell r="C436">
            <v>73770</v>
          </cell>
          <cell r="D436">
            <v>1.7</v>
          </cell>
          <cell r="E436">
            <v>43050</v>
          </cell>
          <cell r="F436">
            <v>0.7</v>
          </cell>
          <cell r="G436">
            <v>39970</v>
          </cell>
        </row>
        <row r="437">
          <cell r="A437" t="str">
            <v>25-4031</v>
          </cell>
          <cell r="B437" t="str">
            <v>Library Technicians</v>
          </cell>
          <cell r="C437">
            <v>73770</v>
          </cell>
          <cell r="D437">
            <v>1.7</v>
          </cell>
          <cell r="E437">
            <v>43050</v>
          </cell>
          <cell r="F437">
            <v>0.7</v>
          </cell>
          <cell r="G437">
            <v>39970</v>
          </cell>
        </row>
        <row r="438">
          <cell r="A438" t="str">
            <v>25-9000</v>
          </cell>
          <cell r="B438" t="str">
            <v>Other Educational Instruction and Library Occupations</v>
          </cell>
          <cell r="C438">
            <v>1866060</v>
          </cell>
          <cell r="D438">
            <v>0.4</v>
          </cell>
          <cell r="E438">
            <v>42980</v>
          </cell>
          <cell r="F438">
            <v>0.5</v>
          </cell>
          <cell r="G438">
            <v>36690</v>
          </cell>
        </row>
        <row r="439">
          <cell r="A439" t="str">
            <v>25-9020</v>
          </cell>
          <cell r="B439" t="str">
            <v>Farm and Home Management Educators</v>
          </cell>
          <cell r="C439">
            <v>10260</v>
          </cell>
          <cell r="D439">
            <v>5.0999999999999996</v>
          </cell>
          <cell r="E439">
            <v>60470</v>
          </cell>
          <cell r="F439">
            <v>1.5</v>
          </cell>
          <cell r="G439">
            <v>58120</v>
          </cell>
        </row>
        <row r="440">
          <cell r="A440" t="str">
            <v>25-9021</v>
          </cell>
          <cell r="B440" t="str">
            <v>Farm and Home Management Educators</v>
          </cell>
          <cell r="C440">
            <v>10260</v>
          </cell>
          <cell r="D440">
            <v>5.0999999999999996</v>
          </cell>
          <cell r="E440">
            <v>60470</v>
          </cell>
          <cell r="F440">
            <v>1.5</v>
          </cell>
          <cell r="G440">
            <v>58120</v>
          </cell>
        </row>
        <row r="441">
          <cell r="A441" t="str">
            <v>25-9030</v>
          </cell>
          <cell r="B441" t="str">
            <v>Instructional Coordinators</v>
          </cell>
          <cell r="C441">
            <v>210850</v>
          </cell>
          <cell r="D441">
            <v>1</v>
          </cell>
          <cell r="E441">
            <v>77600</v>
          </cell>
          <cell r="F441">
            <v>0.6</v>
          </cell>
          <cell r="G441">
            <v>74720</v>
          </cell>
        </row>
        <row r="442">
          <cell r="A442" t="str">
            <v>25-9031</v>
          </cell>
          <cell r="B442" t="str">
            <v>Instructional Coordinators</v>
          </cell>
          <cell r="C442">
            <v>210850</v>
          </cell>
          <cell r="D442">
            <v>1</v>
          </cell>
          <cell r="E442">
            <v>77600</v>
          </cell>
          <cell r="F442">
            <v>0.6</v>
          </cell>
          <cell r="G442">
            <v>74720</v>
          </cell>
        </row>
        <row r="443">
          <cell r="A443" t="str">
            <v>25-9040</v>
          </cell>
          <cell r="B443" t="str">
            <v>Teaching Assistants</v>
          </cell>
          <cell r="C443">
            <v>1530310</v>
          </cell>
          <cell r="D443">
            <v>0.5</v>
          </cell>
          <cell r="E443">
            <v>37140</v>
          </cell>
          <cell r="F443">
            <v>0.5</v>
          </cell>
          <cell r="G443">
            <v>35550</v>
          </cell>
        </row>
        <row r="444">
          <cell r="A444" t="str">
            <v>25-9044</v>
          </cell>
          <cell r="B444" t="str">
            <v>Teaching Assistants, Postsecondary</v>
          </cell>
          <cell r="C444">
            <v>155010</v>
          </cell>
          <cell r="D444">
            <v>0.4</v>
          </cell>
          <cell r="E444">
            <v>47560</v>
          </cell>
          <cell r="F444">
            <v>0.5</v>
          </cell>
          <cell r="G444">
            <v>44930</v>
          </cell>
        </row>
        <row r="445">
          <cell r="A445" t="str">
            <v>25-9045</v>
          </cell>
          <cell r="B445" t="str">
            <v>Teaching Assistants, Except Postsecondary</v>
          </cell>
          <cell r="C445">
            <v>1375300</v>
          </cell>
          <cell r="D445">
            <v>0.5</v>
          </cell>
          <cell r="E445">
            <v>35960</v>
          </cell>
          <cell r="F445">
            <v>0.5</v>
          </cell>
          <cell r="G445">
            <v>35240</v>
          </cell>
        </row>
        <row r="446">
          <cell r="A446" t="str">
            <v>25-9090</v>
          </cell>
          <cell r="B446" t="str">
            <v>Miscellaneous Educational Instruction and Library Workers</v>
          </cell>
          <cell r="C446">
            <v>114640</v>
          </cell>
          <cell r="D446">
            <v>1.1000000000000001</v>
          </cell>
          <cell r="E446">
            <v>55700</v>
          </cell>
          <cell r="F446">
            <v>0.9</v>
          </cell>
          <cell r="G446">
            <v>48400</v>
          </cell>
        </row>
        <row r="447">
          <cell r="A447" t="str">
            <v>25-9099</v>
          </cell>
          <cell r="B447" t="str">
            <v>Educational Instruction and Library Workers, All Other</v>
          </cell>
          <cell r="C447">
            <v>114640</v>
          </cell>
          <cell r="D447">
            <v>1.1000000000000001</v>
          </cell>
          <cell r="E447">
            <v>55700</v>
          </cell>
          <cell r="F447">
            <v>0.9</v>
          </cell>
          <cell r="G447">
            <v>48400</v>
          </cell>
        </row>
        <row r="448">
          <cell r="A448" t="str">
            <v>27-0000</v>
          </cell>
          <cell r="B448" t="str">
            <v>Arts, Design, Entertainment, Sports, and Media Occupations</v>
          </cell>
          <cell r="C448">
            <v>2098690</v>
          </cell>
          <cell r="D448">
            <v>0.5</v>
          </cell>
          <cell r="E448">
            <v>77040</v>
          </cell>
          <cell r="F448">
            <v>0.8</v>
          </cell>
          <cell r="G448">
            <v>60140</v>
          </cell>
        </row>
        <row r="449">
          <cell r="A449" t="str">
            <v>27-1000</v>
          </cell>
          <cell r="B449" t="str">
            <v>Art and Design Workers</v>
          </cell>
          <cell r="C449">
            <v>681550</v>
          </cell>
          <cell r="D449">
            <v>0.9</v>
          </cell>
          <cell r="E449">
            <v>67730</v>
          </cell>
          <cell r="F449">
            <v>1.3</v>
          </cell>
          <cell r="G449">
            <v>53180</v>
          </cell>
        </row>
        <row r="450">
          <cell r="A450" t="str">
            <v>27-1010</v>
          </cell>
          <cell r="B450" t="str">
            <v>Artists and Related Workers</v>
          </cell>
          <cell r="C450">
            <v>93390</v>
          </cell>
          <cell r="D450">
            <v>2.2000000000000002</v>
          </cell>
          <cell r="E450">
            <v>110770</v>
          </cell>
          <cell r="F450">
            <v>1.2</v>
          </cell>
          <cell r="G450">
            <v>99060</v>
          </cell>
        </row>
        <row r="451">
          <cell r="A451" t="str">
            <v>27-1011</v>
          </cell>
          <cell r="B451" t="str">
            <v>Art Directors</v>
          </cell>
          <cell r="C451">
            <v>50370</v>
          </cell>
          <cell r="D451">
            <v>2.9</v>
          </cell>
          <cell r="E451">
            <v>128100</v>
          </cell>
          <cell r="F451">
            <v>1.2</v>
          </cell>
          <cell r="G451">
            <v>111040</v>
          </cell>
        </row>
        <row r="452">
          <cell r="A452" t="str">
            <v>27-1012</v>
          </cell>
          <cell r="B452" t="str">
            <v>Craft Artists</v>
          </cell>
          <cell r="C452">
            <v>4370</v>
          </cell>
          <cell r="D452">
            <v>8.6999999999999993</v>
          </cell>
          <cell r="E452">
            <v>45340</v>
          </cell>
          <cell r="F452">
            <v>2.8</v>
          </cell>
          <cell r="G452">
            <v>38480</v>
          </cell>
        </row>
        <row r="453">
          <cell r="A453" t="str">
            <v>27-1013</v>
          </cell>
          <cell r="B453" t="str">
            <v>Fine Artists, Including Painters, Sculptors, and Illustrators</v>
          </cell>
          <cell r="C453">
            <v>10000</v>
          </cell>
          <cell r="D453">
            <v>7.7</v>
          </cell>
          <cell r="E453">
            <v>76450</v>
          </cell>
          <cell r="F453">
            <v>5.4</v>
          </cell>
          <cell r="G453">
            <v>60560</v>
          </cell>
        </row>
        <row r="454">
          <cell r="A454" t="str">
            <v>27-1014</v>
          </cell>
          <cell r="B454" t="str">
            <v>Special Effects Artists and Animators</v>
          </cell>
          <cell r="C454">
            <v>21280</v>
          </cell>
          <cell r="D454">
            <v>7.2</v>
          </cell>
          <cell r="E454">
            <v>110110</v>
          </cell>
          <cell r="F454">
            <v>2.1</v>
          </cell>
          <cell r="G454">
            <v>99800</v>
          </cell>
        </row>
        <row r="455">
          <cell r="A455" t="str">
            <v>27-1019</v>
          </cell>
          <cell r="B455" t="str">
            <v>Artists and Related Workers, All Other</v>
          </cell>
          <cell r="C455">
            <v>7370</v>
          </cell>
          <cell r="D455">
            <v>7.9</v>
          </cell>
          <cell r="E455">
            <v>79490</v>
          </cell>
          <cell r="F455">
            <v>3.3</v>
          </cell>
          <cell r="G455">
            <v>72760</v>
          </cell>
        </row>
        <row r="456">
          <cell r="A456" t="str">
            <v>27-1020</v>
          </cell>
          <cell r="B456" t="str">
            <v>Designers</v>
          </cell>
          <cell r="C456">
            <v>588160</v>
          </cell>
          <cell r="D456">
            <v>1</v>
          </cell>
          <cell r="E456">
            <v>60890</v>
          </cell>
          <cell r="F456">
            <v>1.6</v>
          </cell>
          <cell r="G456">
            <v>49020</v>
          </cell>
        </row>
        <row r="457">
          <cell r="A457" t="str">
            <v>27-1021</v>
          </cell>
          <cell r="B457" t="str">
            <v>Commercial and Industrial Designers</v>
          </cell>
          <cell r="C457">
            <v>30250</v>
          </cell>
          <cell r="D457">
            <v>2.6</v>
          </cell>
          <cell r="E457">
            <v>88000</v>
          </cell>
          <cell r="F457">
            <v>1</v>
          </cell>
          <cell r="G457">
            <v>79450</v>
          </cell>
        </row>
        <row r="458">
          <cell r="A458" t="str">
            <v>27-1022</v>
          </cell>
          <cell r="B458" t="str">
            <v>Fashion Designers</v>
          </cell>
          <cell r="C458">
            <v>20910</v>
          </cell>
          <cell r="D458">
            <v>7</v>
          </cell>
          <cell r="E458">
            <v>122430</v>
          </cell>
          <cell r="F458">
            <v>13.2</v>
          </cell>
          <cell r="G458">
            <v>80690</v>
          </cell>
        </row>
        <row r="459">
          <cell r="A459" t="str">
            <v>27-1023</v>
          </cell>
          <cell r="B459" t="str">
            <v>Floral Designers</v>
          </cell>
          <cell r="C459">
            <v>40160</v>
          </cell>
          <cell r="D459">
            <v>1.8</v>
          </cell>
          <cell r="E459">
            <v>37700</v>
          </cell>
          <cell r="F459">
            <v>0.8</v>
          </cell>
          <cell r="G459">
            <v>36120</v>
          </cell>
        </row>
        <row r="460">
          <cell r="A460" t="str">
            <v>27-1024</v>
          </cell>
          <cell r="B460" t="str">
            <v>Graphic Designers</v>
          </cell>
          <cell r="C460">
            <v>214260</v>
          </cell>
          <cell r="D460">
            <v>1.8</v>
          </cell>
          <cell r="E460">
            <v>68610</v>
          </cell>
          <cell r="F460">
            <v>2.1</v>
          </cell>
          <cell r="G460">
            <v>61300</v>
          </cell>
        </row>
        <row r="461">
          <cell r="A461" t="str">
            <v>27-1025</v>
          </cell>
          <cell r="B461" t="str">
            <v>Interior Designers</v>
          </cell>
          <cell r="C461">
            <v>69580</v>
          </cell>
          <cell r="D461">
            <v>2.4</v>
          </cell>
          <cell r="E461">
            <v>71430</v>
          </cell>
          <cell r="F461">
            <v>1.3</v>
          </cell>
          <cell r="G461">
            <v>63490</v>
          </cell>
        </row>
        <row r="462">
          <cell r="A462" t="str">
            <v>27-1026</v>
          </cell>
          <cell r="B462" t="str">
            <v>Merchandise Displayers and Window Trimmers</v>
          </cell>
          <cell r="C462">
            <v>192480</v>
          </cell>
          <cell r="D462">
            <v>1.5</v>
          </cell>
          <cell r="E462">
            <v>40540</v>
          </cell>
          <cell r="F462">
            <v>0.6</v>
          </cell>
          <cell r="G462">
            <v>37350</v>
          </cell>
        </row>
        <row r="463">
          <cell r="A463" t="str">
            <v>27-1027</v>
          </cell>
          <cell r="B463" t="str">
            <v>Set and Exhibit Designers</v>
          </cell>
          <cell r="C463">
            <v>10850</v>
          </cell>
          <cell r="D463">
            <v>5.8</v>
          </cell>
          <cell r="E463">
            <v>78450</v>
          </cell>
          <cell r="F463">
            <v>2.8</v>
          </cell>
          <cell r="G463">
            <v>66280</v>
          </cell>
        </row>
        <row r="464">
          <cell r="A464" t="str">
            <v>27-1029</v>
          </cell>
          <cell r="B464" t="str">
            <v>Designers, All Other</v>
          </cell>
          <cell r="C464">
            <v>9680</v>
          </cell>
          <cell r="D464">
            <v>9.6999999999999993</v>
          </cell>
          <cell r="E464">
            <v>78000</v>
          </cell>
          <cell r="F464">
            <v>2.8</v>
          </cell>
          <cell r="G464">
            <v>66220</v>
          </cell>
        </row>
        <row r="465">
          <cell r="A465" t="str">
            <v>27-2000</v>
          </cell>
          <cell r="B465" t="str">
            <v>Entertainers and Performers, Sports and Related Workers</v>
          </cell>
          <cell r="C465">
            <v>550830</v>
          </cell>
          <cell r="D465">
            <v>1.6</v>
          </cell>
          <cell r="E465">
            <v>85710</v>
          </cell>
          <cell r="F465">
            <v>1.9</v>
          </cell>
          <cell r="G465">
            <v>54870</v>
          </cell>
        </row>
        <row r="466">
          <cell r="A466" t="str">
            <v>27-2010</v>
          </cell>
          <cell r="B466" t="str">
            <v>Actors, Producers, and Directors</v>
          </cell>
          <cell r="C466">
            <v>184070</v>
          </cell>
          <cell r="D466">
            <v>1.6</v>
          </cell>
          <cell r="E466">
            <v>109660</v>
          </cell>
          <cell r="F466">
            <v>2.5</v>
          </cell>
          <cell r="G466">
            <v>78000</v>
          </cell>
        </row>
        <row r="467">
          <cell r="A467" t="str">
            <v>27-2011</v>
          </cell>
          <cell r="B467" t="str">
            <v>Actors</v>
          </cell>
          <cell r="C467">
            <v>38800</v>
          </cell>
          <cell r="D467">
            <v>6</v>
          </cell>
          <cell r="E467" t="str">
            <v>*</v>
          </cell>
          <cell r="F467">
            <v>15.9</v>
          </cell>
          <cell r="G467" t="str">
            <v>*</v>
          </cell>
        </row>
        <row r="468">
          <cell r="A468" t="str">
            <v>27-2012</v>
          </cell>
          <cell r="B468" t="str">
            <v>Producers and Directors</v>
          </cell>
          <cell r="C468">
            <v>145270</v>
          </cell>
          <cell r="D468">
            <v>1.6</v>
          </cell>
          <cell r="E468">
            <v>114280</v>
          </cell>
          <cell r="F468">
            <v>2</v>
          </cell>
          <cell r="G468">
            <v>83480</v>
          </cell>
        </row>
        <row r="469">
          <cell r="A469" t="str">
            <v>27-2020</v>
          </cell>
          <cell r="B469" t="str">
            <v>Athletes, Coaches, Umpires, and Related Workers</v>
          </cell>
          <cell r="C469">
            <v>280390</v>
          </cell>
          <cell r="D469">
            <v>1.4</v>
          </cell>
          <cell r="E469">
            <v>68880</v>
          </cell>
          <cell r="F469">
            <v>2.8</v>
          </cell>
          <cell r="G469">
            <v>45920</v>
          </cell>
        </row>
        <row r="470">
          <cell r="A470" t="str">
            <v>27-2021</v>
          </cell>
          <cell r="B470" t="str">
            <v>Athletes and Sports Competitors</v>
          </cell>
          <cell r="C470">
            <v>14370</v>
          </cell>
          <cell r="D470">
            <v>7.3</v>
          </cell>
          <cell r="E470">
            <v>259750</v>
          </cell>
          <cell r="F470">
            <v>12.9</v>
          </cell>
          <cell r="G470">
            <v>62360</v>
          </cell>
        </row>
        <row r="471">
          <cell r="A471" t="str">
            <v>27-2022</v>
          </cell>
          <cell r="B471" t="str">
            <v>Coaches and Scouts</v>
          </cell>
          <cell r="C471">
            <v>250940</v>
          </cell>
          <cell r="D471">
            <v>1.4</v>
          </cell>
          <cell r="E471">
            <v>58910</v>
          </cell>
          <cell r="F471">
            <v>0.9</v>
          </cell>
          <cell r="G471">
            <v>45920</v>
          </cell>
        </row>
        <row r="472">
          <cell r="A472" t="str">
            <v>27-2023</v>
          </cell>
          <cell r="B472" t="str">
            <v>Umpires, Referees, and Other Sports Officials</v>
          </cell>
          <cell r="C472">
            <v>15080</v>
          </cell>
          <cell r="D472">
            <v>5.6</v>
          </cell>
          <cell r="E472">
            <v>52800</v>
          </cell>
          <cell r="F472">
            <v>10.199999999999999</v>
          </cell>
          <cell r="G472">
            <v>38820</v>
          </cell>
        </row>
        <row r="473">
          <cell r="A473" t="str">
            <v>27-2030</v>
          </cell>
          <cell r="B473" t="str">
            <v>Dancers and Choreographers</v>
          </cell>
          <cell r="C473">
            <v>12490</v>
          </cell>
          <cell r="D473">
            <v>7.6</v>
          </cell>
          <cell r="E473">
            <v>62740</v>
          </cell>
          <cell r="F473">
            <v>3.7</v>
          </cell>
          <cell r="G473">
            <v>51020</v>
          </cell>
        </row>
        <row r="474">
          <cell r="A474" t="str">
            <v>27-2031</v>
          </cell>
          <cell r="B474" t="str">
            <v>Dancers</v>
          </cell>
          <cell r="C474">
            <v>9060</v>
          </cell>
          <cell r="D474">
            <v>9.6</v>
          </cell>
          <cell r="E474" t="str">
            <v>*</v>
          </cell>
          <cell r="F474">
            <v>4.9000000000000004</v>
          </cell>
          <cell r="G474" t="str">
            <v>*</v>
          </cell>
        </row>
        <row r="475">
          <cell r="A475" t="str">
            <v>27-2032</v>
          </cell>
          <cell r="B475" t="str">
            <v>Choreographers</v>
          </cell>
          <cell r="C475">
            <v>3430</v>
          </cell>
          <cell r="D475">
            <v>9.4</v>
          </cell>
          <cell r="E475">
            <v>62020</v>
          </cell>
          <cell r="F475">
            <v>3.3</v>
          </cell>
          <cell r="G475">
            <v>55600</v>
          </cell>
        </row>
        <row r="476">
          <cell r="A476" t="str">
            <v>27-2040</v>
          </cell>
          <cell r="B476" t="str">
            <v>Musicians, Singers, and Related Workers</v>
          </cell>
          <cell r="C476">
            <v>50680</v>
          </cell>
          <cell r="D476">
            <v>14.5</v>
          </cell>
          <cell r="E476" t="str">
            <v>*</v>
          </cell>
          <cell r="F476">
            <v>6.9</v>
          </cell>
          <cell r="G476" t="str">
            <v>*</v>
          </cell>
        </row>
        <row r="477">
          <cell r="A477" t="str">
            <v>27-2041</v>
          </cell>
          <cell r="B477" t="str">
            <v>Music Directors and Composers</v>
          </cell>
          <cell r="C477">
            <v>12330</v>
          </cell>
          <cell r="D477">
            <v>6</v>
          </cell>
          <cell r="E477">
            <v>84230</v>
          </cell>
          <cell r="F477">
            <v>3.3</v>
          </cell>
          <cell r="G477">
            <v>63670</v>
          </cell>
        </row>
        <row r="478">
          <cell r="A478" t="str">
            <v>27-2042</v>
          </cell>
          <cell r="B478" t="str">
            <v>Musicians and Singers</v>
          </cell>
          <cell r="C478">
            <v>38350</v>
          </cell>
          <cell r="D478">
            <v>20.3</v>
          </cell>
          <cell r="E478" t="str">
            <v>*</v>
          </cell>
          <cell r="F478">
            <v>9.1</v>
          </cell>
          <cell r="G478" t="str">
            <v>*</v>
          </cell>
        </row>
        <row r="479">
          <cell r="A479" t="str">
            <v>27-2090</v>
          </cell>
          <cell r="B479" t="str">
            <v>Miscellaneous Entertainers and Performers, Sports and Related Workers</v>
          </cell>
          <cell r="C479">
            <v>23210</v>
          </cell>
          <cell r="D479">
            <v>4.9000000000000004</v>
          </cell>
          <cell r="E479" t="str">
            <v>*</v>
          </cell>
          <cell r="F479">
            <v>5.8</v>
          </cell>
          <cell r="G479" t="str">
            <v>*</v>
          </cell>
        </row>
        <row r="480">
          <cell r="A480" t="str">
            <v>27-2091</v>
          </cell>
          <cell r="B480" t="str">
            <v>Disc Jockeys, Except Radio</v>
          </cell>
          <cell r="C480">
            <v>8170</v>
          </cell>
          <cell r="D480">
            <v>10</v>
          </cell>
          <cell r="E480" t="str">
            <v>*</v>
          </cell>
          <cell r="F480">
            <v>11.6</v>
          </cell>
          <cell r="G480" t="str">
            <v>*</v>
          </cell>
        </row>
        <row r="481">
          <cell r="A481" t="str">
            <v>27-2099</v>
          </cell>
          <cell r="B481" t="str">
            <v>Entertainers and Performers, Sports and Related Workers, All Other</v>
          </cell>
          <cell r="C481">
            <v>15040</v>
          </cell>
          <cell r="D481">
            <v>5.7</v>
          </cell>
          <cell r="E481" t="str">
            <v>*</v>
          </cell>
          <cell r="F481">
            <v>5.3</v>
          </cell>
          <cell r="G481" t="str">
            <v>*</v>
          </cell>
        </row>
        <row r="482">
          <cell r="A482" t="str">
            <v>27-3000</v>
          </cell>
          <cell r="B482" t="str">
            <v>Media and Communication Workers</v>
          </cell>
          <cell r="C482">
            <v>634400</v>
          </cell>
          <cell r="D482">
            <v>0.7</v>
          </cell>
          <cell r="E482">
            <v>83030</v>
          </cell>
          <cell r="F482">
            <v>0.9</v>
          </cell>
          <cell r="G482">
            <v>70300</v>
          </cell>
        </row>
        <row r="483">
          <cell r="A483" t="str">
            <v>27-3010</v>
          </cell>
          <cell r="B483" t="str">
            <v>Broadcast Announcers and Radio Disc Jockeys</v>
          </cell>
          <cell r="C483">
            <v>23880</v>
          </cell>
          <cell r="D483">
            <v>2.7</v>
          </cell>
          <cell r="E483">
            <v>80110</v>
          </cell>
          <cell r="F483">
            <v>2</v>
          </cell>
          <cell r="G483">
            <v>45680</v>
          </cell>
        </row>
        <row r="484">
          <cell r="A484" t="str">
            <v>27-3011</v>
          </cell>
          <cell r="B484" t="str">
            <v>Broadcast Announcers and Radio Disc Jockeys</v>
          </cell>
          <cell r="C484">
            <v>23880</v>
          </cell>
          <cell r="D484">
            <v>2.7</v>
          </cell>
          <cell r="E484">
            <v>80110</v>
          </cell>
          <cell r="F484">
            <v>2</v>
          </cell>
          <cell r="G484">
            <v>45680</v>
          </cell>
        </row>
        <row r="485">
          <cell r="A485" t="str">
            <v>27-3020</v>
          </cell>
          <cell r="B485" t="str">
            <v>News Analysts, Reporters and Journalists</v>
          </cell>
          <cell r="C485">
            <v>41550</v>
          </cell>
          <cell r="D485">
            <v>2.2000000000000002</v>
          </cell>
          <cell r="E485">
            <v>106030</v>
          </cell>
          <cell r="F485">
            <v>1.9</v>
          </cell>
          <cell r="G485">
            <v>60280</v>
          </cell>
        </row>
        <row r="486">
          <cell r="A486" t="str">
            <v>27-3023</v>
          </cell>
          <cell r="B486" t="str">
            <v>News Analysts, Reporters, and Journalists</v>
          </cell>
          <cell r="C486">
            <v>41550</v>
          </cell>
          <cell r="D486">
            <v>2.2000000000000002</v>
          </cell>
          <cell r="E486">
            <v>106030</v>
          </cell>
          <cell r="F486">
            <v>1.9</v>
          </cell>
          <cell r="G486">
            <v>60280</v>
          </cell>
        </row>
        <row r="487">
          <cell r="A487" t="str">
            <v>27-3030</v>
          </cell>
          <cell r="B487" t="str">
            <v>Public Relations Specialists</v>
          </cell>
          <cell r="C487">
            <v>280590</v>
          </cell>
          <cell r="D487">
            <v>0.8</v>
          </cell>
          <cell r="E487">
            <v>80310</v>
          </cell>
          <cell r="F487">
            <v>0.9</v>
          </cell>
          <cell r="G487">
            <v>69780</v>
          </cell>
        </row>
        <row r="488">
          <cell r="A488" t="str">
            <v>27-3031</v>
          </cell>
          <cell r="B488" t="str">
            <v>Public Relations Specialists</v>
          </cell>
          <cell r="C488">
            <v>280590</v>
          </cell>
          <cell r="D488">
            <v>0.8</v>
          </cell>
          <cell r="E488">
            <v>80310</v>
          </cell>
          <cell r="F488">
            <v>0.9</v>
          </cell>
          <cell r="G488">
            <v>69780</v>
          </cell>
        </row>
        <row r="489">
          <cell r="A489" t="str">
            <v>27-3040</v>
          </cell>
          <cell r="B489" t="str">
            <v>Writers and Editors</v>
          </cell>
          <cell r="C489">
            <v>198810</v>
          </cell>
          <cell r="D489">
            <v>2.1</v>
          </cell>
          <cell r="E489">
            <v>87570</v>
          </cell>
          <cell r="F489">
            <v>2</v>
          </cell>
          <cell r="G489">
            <v>78100</v>
          </cell>
        </row>
        <row r="490">
          <cell r="A490" t="str">
            <v>27-3041</v>
          </cell>
          <cell r="B490" t="str">
            <v>Editors</v>
          </cell>
          <cell r="C490">
            <v>95480</v>
          </cell>
          <cell r="D490">
            <v>2.1</v>
          </cell>
          <cell r="E490">
            <v>85700</v>
          </cell>
          <cell r="F490">
            <v>1.1000000000000001</v>
          </cell>
          <cell r="G490">
            <v>75260</v>
          </cell>
        </row>
        <row r="491">
          <cell r="A491" t="str">
            <v>27-3042</v>
          </cell>
          <cell r="B491" t="str">
            <v>Technical Writers</v>
          </cell>
          <cell r="C491">
            <v>55530</v>
          </cell>
          <cell r="D491">
            <v>2.2000000000000002</v>
          </cell>
          <cell r="E491">
            <v>92330</v>
          </cell>
          <cell r="F491">
            <v>0.9</v>
          </cell>
          <cell r="G491">
            <v>91670</v>
          </cell>
        </row>
        <row r="492">
          <cell r="A492" t="str">
            <v>27-3043</v>
          </cell>
          <cell r="B492" t="str">
            <v>Writers and Authors</v>
          </cell>
          <cell r="C492">
            <v>47800</v>
          </cell>
          <cell r="D492">
            <v>5.3</v>
          </cell>
          <cell r="E492">
            <v>85780</v>
          </cell>
          <cell r="F492">
            <v>7.7</v>
          </cell>
          <cell r="G492">
            <v>72270</v>
          </cell>
        </row>
        <row r="493">
          <cell r="A493" t="str">
            <v>27-3090</v>
          </cell>
          <cell r="B493" t="str">
            <v>Miscellaneous Media and Communication Workers</v>
          </cell>
          <cell r="C493">
            <v>89580</v>
          </cell>
          <cell r="D493">
            <v>2.8</v>
          </cell>
          <cell r="E493">
            <v>71560</v>
          </cell>
          <cell r="F493">
            <v>1.1000000000000001</v>
          </cell>
          <cell r="G493">
            <v>62500</v>
          </cell>
        </row>
        <row r="494">
          <cell r="A494" t="str">
            <v>27-3091</v>
          </cell>
          <cell r="B494" t="str">
            <v>Interpreters and Translators</v>
          </cell>
          <cell r="C494">
            <v>53360</v>
          </cell>
          <cell r="D494">
            <v>3.1</v>
          </cell>
          <cell r="E494">
            <v>64950</v>
          </cell>
          <cell r="F494">
            <v>1.6</v>
          </cell>
          <cell r="G494">
            <v>59440</v>
          </cell>
        </row>
        <row r="495">
          <cell r="A495" t="str">
            <v>27-3092</v>
          </cell>
          <cell r="B495" t="str">
            <v>Court Reporters and Simultaneous Captioners</v>
          </cell>
          <cell r="C495">
            <v>12630</v>
          </cell>
          <cell r="D495">
            <v>3.1</v>
          </cell>
          <cell r="E495">
            <v>74630</v>
          </cell>
          <cell r="F495">
            <v>1.3</v>
          </cell>
          <cell r="G495">
            <v>67310</v>
          </cell>
        </row>
        <row r="496">
          <cell r="A496" t="str">
            <v>27-3099</v>
          </cell>
          <cell r="B496" t="str">
            <v>Media and Communication Workers, All Other</v>
          </cell>
          <cell r="C496">
            <v>23590</v>
          </cell>
          <cell r="D496">
            <v>7.7</v>
          </cell>
          <cell r="E496">
            <v>84870</v>
          </cell>
          <cell r="F496">
            <v>2.2999999999999998</v>
          </cell>
          <cell r="G496">
            <v>71770</v>
          </cell>
        </row>
        <row r="497">
          <cell r="A497" t="str">
            <v>27-4000</v>
          </cell>
          <cell r="B497" t="str">
            <v>Media and Communication Equipment Workers</v>
          </cell>
          <cell r="C497">
            <v>231910</v>
          </cell>
          <cell r="D497">
            <v>1.6</v>
          </cell>
          <cell r="E497">
            <v>67410</v>
          </cell>
          <cell r="F497">
            <v>0.9</v>
          </cell>
          <cell r="G497">
            <v>56480</v>
          </cell>
        </row>
        <row r="498">
          <cell r="A498" t="str">
            <v>27-4010</v>
          </cell>
          <cell r="B498" t="str">
            <v>Broadcast, Sound, and Lighting Technicians</v>
          </cell>
          <cell r="C498">
            <v>114340</v>
          </cell>
          <cell r="D498">
            <v>1.9</v>
          </cell>
          <cell r="E498">
            <v>64710</v>
          </cell>
          <cell r="F498">
            <v>1.3</v>
          </cell>
          <cell r="G498">
            <v>56600</v>
          </cell>
        </row>
        <row r="499">
          <cell r="A499" t="str">
            <v>27-4011</v>
          </cell>
          <cell r="B499" t="str">
            <v>Audio and Video Technicians</v>
          </cell>
          <cell r="C499">
            <v>70080</v>
          </cell>
          <cell r="D499">
            <v>2.7</v>
          </cell>
          <cell r="E499">
            <v>61370</v>
          </cell>
          <cell r="F499">
            <v>1.3</v>
          </cell>
          <cell r="G499">
            <v>54830</v>
          </cell>
        </row>
        <row r="500">
          <cell r="A500" t="str">
            <v>27-4012</v>
          </cell>
          <cell r="B500" t="str">
            <v>Broadcast Technicians</v>
          </cell>
          <cell r="C500">
            <v>21080</v>
          </cell>
          <cell r="D500">
            <v>2.2000000000000002</v>
          </cell>
          <cell r="E500">
            <v>64220</v>
          </cell>
          <cell r="F500">
            <v>1.2</v>
          </cell>
          <cell r="G500">
            <v>53920</v>
          </cell>
        </row>
        <row r="501">
          <cell r="A501" t="str">
            <v>27-4014</v>
          </cell>
          <cell r="B501" t="str">
            <v>Sound Engineering Technicians</v>
          </cell>
          <cell r="C501">
            <v>13050</v>
          </cell>
          <cell r="D501">
            <v>7.2</v>
          </cell>
          <cell r="E501">
            <v>79280</v>
          </cell>
          <cell r="F501">
            <v>3.9</v>
          </cell>
          <cell r="G501">
            <v>66430</v>
          </cell>
        </row>
        <row r="502">
          <cell r="A502" t="str">
            <v>27-4015</v>
          </cell>
          <cell r="B502" t="str">
            <v>Lighting Technicians</v>
          </cell>
          <cell r="C502">
            <v>10130</v>
          </cell>
          <cell r="D502">
            <v>6.6</v>
          </cell>
          <cell r="E502">
            <v>70000</v>
          </cell>
          <cell r="F502">
            <v>2.7</v>
          </cell>
          <cell r="G502">
            <v>60560</v>
          </cell>
        </row>
        <row r="503">
          <cell r="A503" t="str">
            <v>27-4020</v>
          </cell>
          <cell r="B503" t="str">
            <v>Photographers</v>
          </cell>
          <cell r="C503">
            <v>51230</v>
          </cell>
          <cell r="D503">
            <v>2</v>
          </cell>
          <cell r="E503">
            <v>55650</v>
          </cell>
          <cell r="F503">
            <v>2.5</v>
          </cell>
          <cell r="G503">
            <v>42520</v>
          </cell>
        </row>
        <row r="504">
          <cell r="A504" t="str">
            <v>27-4021</v>
          </cell>
          <cell r="B504" t="str">
            <v>Photographers</v>
          </cell>
          <cell r="C504">
            <v>51230</v>
          </cell>
          <cell r="D504">
            <v>2</v>
          </cell>
          <cell r="E504">
            <v>55650</v>
          </cell>
          <cell r="F504">
            <v>2.5</v>
          </cell>
          <cell r="G504">
            <v>42520</v>
          </cell>
        </row>
        <row r="505">
          <cell r="A505" t="str">
            <v>27-4030</v>
          </cell>
          <cell r="B505" t="str">
            <v>Television, Video, and Film Camera Operators and Editors</v>
          </cell>
          <cell r="C505">
            <v>53330</v>
          </cell>
          <cell r="D505">
            <v>3.8</v>
          </cell>
          <cell r="E505">
            <v>81850</v>
          </cell>
          <cell r="F505">
            <v>1.2</v>
          </cell>
          <cell r="G505">
            <v>70570</v>
          </cell>
        </row>
        <row r="506">
          <cell r="A506" t="str">
            <v>27-4031</v>
          </cell>
          <cell r="B506" t="str">
            <v>Camera Operators, Television, Video, and Film</v>
          </cell>
          <cell r="C506">
            <v>24460</v>
          </cell>
          <cell r="D506">
            <v>4</v>
          </cell>
          <cell r="E506">
            <v>79870</v>
          </cell>
          <cell r="F506">
            <v>1.6</v>
          </cell>
          <cell r="G506">
            <v>68810</v>
          </cell>
        </row>
        <row r="507">
          <cell r="A507" t="str">
            <v>27-4032</v>
          </cell>
          <cell r="B507" t="str">
            <v>Film and Video Editors</v>
          </cell>
          <cell r="C507">
            <v>28860</v>
          </cell>
          <cell r="D507">
            <v>4.9000000000000004</v>
          </cell>
          <cell r="E507">
            <v>83530</v>
          </cell>
          <cell r="F507">
            <v>1.7</v>
          </cell>
          <cell r="G507">
            <v>70980</v>
          </cell>
        </row>
        <row r="508">
          <cell r="A508" t="str">
            <v>27-4090</v>
          </cell>
          <cell r="B508" t="str">
            <v>Miscellaneous Media and Communication Equipment Workers</v>
          </cell>
          <cell r="C508">
            <v>13020</v>
          </cell>
          <cell r="D508">
            <v>9.9</v>
          </cell>
          <cell r="E508">
            <v>78350</v>
          </cell>
          <cell r="F508">
            <v>2.4</v>
          </cell>
          <cell r="G508">
            <v>67190</v>
          </cell>
        </row>
        <row r="509">
          <cell r="A509" t="str">
            <v>27-4099</v>
          </cell>
          <cell r="B509" t="str">
            <v>Media and Communication Equipment Workers, All Other</v>
          </cell>
          <cell r="C509">
            <v>13020</v>
          </cell>
          <cell r="D509">
            <v>9.9</v>
          </cell>
          <cell r="E509">
            <v>78350</v>
          </cell>
          <cell r="F509">
            <v>2.4</v>
          </cell>
          <cell r="G509">
            <v>67190</v>
          </cell>
        </row>
        <row r="510">
          <cell r="A510" t="str">
            <v>29-0000</v>
          </cell>
          <cell r="B510" t="str">
            <v>Healthcare Practitioners and Technical Occupations</v>
          </cell>
          <cell r="C510">
            <v>9592690</v>
          </cell>
          <cell r="D510">
            <v>0.2</v>
          </cell>
          <cell r="E510">
            <v>105220</v>
          </cell>
          <cell r="F510">
            <v>0.5</v>
          </cell>
          <cell r="G510">
            <v>83090</v>
          </cell>
        </row>
        <row r="511">
          <cell r="A511" t="str">
            <v>29-1000</v>
          </cell>
          <cell r="B511" t="str">
            <v>Healthcare Diagnosing or Treating Practitioners</v>
          </cell>
          <cell r="C511">
            <v>6338160</v>
          </cell>
          <cell r="D511">
            <v>0.2</v>
          </cell>
          <cell r="E511">
            <v>128550</v>
          </cell>
          <cell r="F511">
            <v>0.6</v>
          </cell>
          <cell r="G511">
            <v>101370</v>
          </cell>
        </row>
        <row r="512">
          <cell r="A512" t="str">
            <v>29-1010</v>
          </cell>
          <cell r="B512" t="str">
            <v>Chiropractors</v>
          </cell>
          <cell r="C512">
            <v>37630</v>
          </cell>
          <cell r="D512">
            <v>2.9</v>
          </cell>
          <cell r="E512">
            <v>91830</v>
          </cell>
          <cell r="F512">
            <v>1.8</v>
          </cell>
          <cell r="G512">
            <v>79000</v>
          </cell>
        </row>
        <row r="513">
          <cell r="A513" t="str">
            <v>29-1011</v>
          </cell>
          <cell r="B513" t="str">
            <v>Chiropractors</v>
          </cell>
          <cell r="C513">
            <v>37630</v>
          </cell>
          <cell r="D513">
            <v>2.9</v>
          </cell>
          <cell r="E513">
            <v>91830</v>
          </cell>
          <cell r="F513">
            <v>1.8</v>
          </cell>
          <cell r="G513">
            <v>79000</v>
          </cell>
        </row>
        <row r="514">
          <cell r="A514" t="str">
            <v>29-1020</v>
          </cell>
          <cell r="B514" t="str">
            <v>Dentists</v>
          </cell>
          <cell r="C514">
            <v>130620</v>
          </cell>
          <cell r="D514">
            <v>2.1</v>
          </cell>
          <cell r="E514">
            <v>207750</v>
          </cell>
          <cell r="F514">
            <v>1.6</v>
          </cell>
          <cell r="G514">
            <v>179210</v>
          </cell>
        </row>
        <row r="515">
          <cell r="A515" t="str">
            <v>29-1021</v>
          </cell>
          <cell r="B515" t="str">
            <v>Dentists, General</v>
          </cell>
          <cell r="C515">
            <v>113490</v>
          </cell>
          <cell r="D515">
            <v>2.5</v>
          </cell>
          <cell r="E515">
            <v>196100</v>
          </cell>
          <cell r="F515">
            <v>1.5</v>
          </cell>
          <cell r="G515">
            <v>172790</v>
          </cell>
        </row>
        <row r="516">
          <cell r="A516" t="str">
            <v>29-1022</v>
          </cell>
          <cell r="B516" t="str">
            <v>Oral and Maxillofacial Surgeons</v>
          </cell>
          <cell r="C516">
            <v>5330</v>
          </cell>
          <cell r="D516">
            <v>15.3</v>
          </cell>
          <cell r="E516">
            <v>360240</v>
          </cell>
          <cell r="F516">
            <v>11.7</v>
          </cell>
          <cell r="G516" t="str">
            <v>#</v>
          </cell>
        </row>
        <row r="517">
          <cell r="A517" t="str">
            <v>29-1023</v>
          </cell>
          <cell r="B517" t="str">
            <v>Orthodontists</v>
          </cell>
          <cell r="C517">
            <v>5150</v>
          </cell>
          <cell r="D517">
            <v>18.7</v>
          </cell>
          <cell r="E517">
            <v>254620</v>
          </cell>
          <cell r="F517">
            <v>4.2</v>
          </cell>
          <cell r="G517" t="str">
            <v>#</v>
          </cell>
        </row>
        <row r="518">
          <cell r="A518" t="str">
            <v>29-1024</v>
          </cell>
          <cell r="B518" t="str">
            <v>Prosthodontists</v>
          </cell>
          <cell r="C518">
            <v>760</v>
          </cell>
          <cell r="D518">
            <v>36.299999999999997</v>
          </cell>
          <cell r="E518">
            <v>258660</v>
          </cell>
          <cell r="F518">
            <v>5.7</v>
          </cell>
          <cell r="G518" t="str">
            <v>#</v>
          </cell>
        </row>
        <row r="519">
          <cell r="A519" t="str">
            <v>29-1029</v>
          </cell>
          <cell r="B519" t="str">
            <v>Dentists, All Other Specialists</v>
          </cell>
          <cell r="C519">
            <v>5900</v>
          </cell>
          <cell r="D519">
            <v>10.7</v>
          </cell>
          <cell r="E519">
            <v>246530</v>
          </cell>
          <cell r="F519">
            <v>8.5</v>
          </cell>
          <cell r="G519">
            <v>225770</v>
          </cell>
        </row>
        <row r="520">
          <cell r="A520" t="str">
            <v>29-1030</v>
          </cell>
          <cell r="B520" t="str">
            <v>Dietitians and Nutritionists</v>
          </cell>
          <cell r="C520">
            <v>76570</v>
          </cell>
          <cell r="D520">
            <v>1.9</v>
          </cell>
          <cell r="E520">
            <v>74770</v>
          </cell>
          <cell r="F520">
            <v>0.5</v>
          </cell>
          <cell r="G520">
            <v>73850</v>
          </cell>
        </row>
        <row r="521">
          <cell r="A521" t="str">
            <v>29-1031</v>
          </cell>
          <cell r="B521" t="str">
            <v>Dietitians and Nutritionists</v>
          </cell>
          <cell r="C521">
            <v>76570</v>
          </cell>
          <cell r="D521">
            <v>1.9</v>
          </cell>
          <cell r="E521">
            <v>74770</v>
          </cell>
          <cell r="F521">
            <v>0.5</v>
          </cell>
          <cell r="G521">
            <v>73850</v>
          </cell>
        </row>
        <row r="522">
          <cell r="A522" t="str">
            <v>29-1040</v>
          </cell>
          <cell r="B522" t="str">
            <v>Optometrists</v>
          </cell>
          <cell r="C522">
            <v>41890</v>
          </cell>
          <cell r="D522">
            <v>2.7</v>
          </cell>
          <cell r="E522">
            <v>140940</v>
          </cell>
          <cell r="F522">
            <v>1.3</v>
          </cell>
          <cell r="G522">
            <v>134830</v>
          </cell>
        </row>
        <row r="523">
          <cell r="A523" t="str">
            <v>29-1041</v>
          </cell>
          <cell r="B523" t="str">
            <v>Optometrists</v>
          </cell>
          <cell r="C523">
            <v>41890</v>
          </cell>
          <cell r="D523">
            <v>2.7</v>
          </cell>
          <cell r="E523">
            <v>140940</v>
          </cell>
          <cell r="F523">
            <v>1.3</v>
          </cell>
          <cell r="G523">
            <v>134830</v>
          </cell>
        </row>
        <row r="524">
          <cell r="A524" t="str">
            <v>29-1050</v>
          </cell>
          <cell r="B524" t="str">
            <v>Pharmacists</v>
          </cell>
          <cell r="C524">
            <v>328870</v>
          </cell>
          <cell r="D524">
            <v>0.9</v>
          </cell>
          <cell r="E524">
            <v>137210</v>
          </cell>
          <cell r="F524">
            <v>0.3</v>
          </cell>
          <cell r="G524">
            <v>137480</v>
          </cell>
        </row>
        <row r="525">
          <cell r="A525" t="str">
            <v>29-1051</v>
          </cell>
          <cell r="B525" t="str">
            <v>Pharmacists</v>
          </cell>
          <cell r="C525">
            <v>328870</v>
          </cell>
          <cell r="D525">
            <v>0.9</v>
          </cell>
          <cell r="E525">
            <v>137210</v>
          </cell>
          <cell r="F525">
            <v>0.3</v>
          </cell>
          <cell r="G525">
            <v>137480</v>
          </cell>
        </row>
        <row r="526">
          <cell r="A526" t="str">
            <v>29-1070</v>
          </cell>
          <cell r="B526" t="str">
            <v>Physician Assistants</v>
          </cell>
          <cell r="C526">
            <v>155540</v>
          </cell>
          <cell r="D526">
            <v>2.1</v>
          </cell>
          <cell r="E526">
            <v>136900</v>
          </cell>
          <cell r="F526">
            <v>0.6</v>
          </cell>
          <cell r="G526">
            <v>133260</v>
          </cell>
        </row>
        <row r="527">
          <cell r="A527" t="str">
            <v>29-1071</v>
          </cell>
          <cell r="B527" t="str">
            <v>Physician Assistants</v>
          </cell>
          <cell r="C527">
            <v>155540</v>
          </cell>
          <cell r="D527">
            <v>2.1</v>
          </cell>
          <cell r="E527">
            <v>136900</v>
          </cell>
          <cell r="F527">
            <v>0.6</v>
          </cell>
          <cell r="G527">
            <v>133260</v>
          </cell>
        </row>
        <row r="528">
          <cell r="A528" t="str">
            <v>29-1080</v>
          </cell>
          <cell r="B528" t="str">
            <v>Podiatrists</v>
          </cell>
          <cell r="C528">
            <v>9520</v>
          </cell>
          <cell r="D528">
            <v>7</v>
          </cell>
          <cell r="E528">
            <v>163960</v>
          </cell>
          <cell r="F528">
            <v>3</v>
          </cell>
          <cell r="G528">
            <v>152800</v>
          </cell>
        </row>
        <row r="529">
          <cell r="A529" t="str">
            <v>29-1081</v>
          </cell>
          <cell r="B529" t="str">
            <v>Podiatrists</v>
          </cell>
          <cell r="C529">
            <v>9520</v>
          </cell>
          <cell r="D529">
            <v>7</v>
          </cell>
          <cell r="E529">
            <v>163960</v>
          </cell>
          <cell r="F529">
            <v>3</v>
          </cell>
          <cell r="G529">
            <v>152800</v>
          </cell>
        </row>
        <row r="530">
          <cell r="A530" t="str">
            <v>29-1120</v>
          </cell>
          <cell r="B530" t="str">
            <v>Therapists</v>
          </cell>
          <cell r="C530">
            <v>777300</v>
          </cell>
          <cell r="D530">
            <v>0.6</v>
          </cell>
          <cell r="E530">
            <v>95220</v>
          </cell>
          <cell r="F530">
            <v>0.3</v>
          </cell>
          <cell r="G530">
            <v>95010</v>
          </cell>
        </row>
        <row r="531">
          <cell r="A531" t="str">
            <v>29-1122</v>
          </cell>
          <cell r="B531" t="str">
            <v>Occupational Therapists</v>
          </cell>
          <cell r="C531">
            <v>152280</v>
          </cell>
          <cell r="D531">
            <v>1.1000000000000001</v>
          </cell>
          <cell r="E531">
            <v>98240</v>
          </cell>
          <cell r="F531">
            <v>0.4</v>
          </cell>
          <cell r="G531">
            <v>98340</v>
          </cell>
        </row>
        <row r="532">
          <cell r="A532" t="str">
            <v>29-1123</v>
          </cell>
          <cell r="B532" t="str">
            <v>Physical Therapists</v>
          </cell>
          <cell r="C532">
            <v>248630</v>
          </cell>
          <cell r="D532">
            <v>1.1000000000000001</v>
          </cell>
          <cell r="E532">
            <v>102400</v>
          </cell>
          <cell r="F532">
            <v>0.5</v>
          </cell>
          <cell r="G532">
            <v>101020</v>
          </cell>
        </row>
        <row r="533">
          <cell r="A533" t="str">
            <v>29-1124</v>
          </cell>
          <cell r="B533" t="str">
            <v>Radiation Therapists</v>
          </cell>
          <cell r="C533">
            <v>18700</v>
          </cell>
          <cell r="D533">
            <v>6.7</v>
          </cell>
          <cell r="E533">
            <v>110820</v>
          </cell>
          <cell r="F533">
            <v>1</v>
          </cell>
          <cell r="G533">
            <v>101990</v>
          </cell>
        </row>
        <row r="534">
          <cell r="A534" t="str">
            <v>29-1125</v>
          </cell>
          <cell r="B534" t="str">
            <v>Recreational Therapists</v>
          </cell>
          <cell r="C534">
            <v>15060</v>
          </cell>
          <cell r="D534">
            <v>2</v>
          </cell>
          <cell r="E534">
            <v>65350</v>
          </cell>
          <cell r="F534">
            <v>2.2000000000000002</v>
          </cell>
          <cell r="G534">
            <v>60280</v>
          </cell>
        </row>
        <row r="535">
          <cell r="A535" t="str">
            <v>29-1126</v>
          </cell>
          <cell r="B535" t="str">
            <v>Respiratory Therapists</v>
          </cell>
          <cell r="C535">
            <v>136420</v>
          </cell>
          <cell r="D535">
            <v>1.3</v>
          </cell>
          <cell r="E535">
            <v>84260</v>
          </cell>
          <cell r="F535">
            <v>0.4</v>
          </cell>
          <cell r="G535">
            <v>80450</v>
          </cell>
        </row>
        <row r="536">
          <cell r="A536" t="str">
            <v>29-1127</v>
          </cell>
          <cell r="B536" t="str">
            <v>Speech-Language Pathologists</v>
          </cell>
          <cell r="C536">
            <v>178790</v>
          </cell>
          <cell r="D536">
            <v>1.2</v>
          </cell>
          <cell r="E536">
            <v>95840</v>
          </cell>
          <cell r="F536">
            <v>0.5</v>
          </cell>
          <cell r="G536">
            <v>95410</v>
          </cell>
        </row>
        <row r="537">
          <cell r="A537" t="str">
            <v>29-1128</v>
          </cell>
          <cell r="B537" t="str">
            <v>Exercise Physiologists</v>
          </cell>
          <cell r="C537">
            <v>8110</v>
          </cell>
          <cell r="D537">
            <v>5.7</v>
          </cell>
          <cell r="E537">
            <v>59620</v>
          </cell>
          <cell r="F537">
            <v>1.7</v>
          </cell>
          <cell r="G537">
            <v>58160</v>
          </cell>
        </row>
        <row r="538">
          <cell r="A538" t="str">
            <v>29-1129</v>
          </cell>
          <cell r="B538" t="str">
            <v>Therapists, All Other</v>
          </cell>
          <cell r="C538">
            <v>19320</v>
          </cell>
          <cell r="D538">
            <v>5.2</v>
          </cell>
          <cell r="E538">
            <v>73800</v>
          </cell>
          <cell r="F538">
            <v>1.9</v>
          </cell>
          <cell r="G538">
            <v>65010</v>
          </cell>
        </row>
        <row r="539">
          <cell r="A539" t="str">
            <v>29-1130</v>
          </cell>
          <cell r="B539" t="str">
            <v>Veterinarians</v>
          </cell>
          <cell r="C539">
            <v>80630</v>
          </cell>
          <cell r="D539">
            <v>1.2</v>
          </cell>
          <cell r="E539">
            <v>140270</v>
          </cell>
          <cell r="F539">
            <v>1.5</v>
          </cell>
          <cell r="G539">
            <v>125510</v>
          </cell>
        </row>
        <row r="540">
          <cell r="A540" t="str">
            <v>29-1131</v>
          </cell>
          <cell r="B540" t="str">
            <v>Veterinarians</v>
          </cell>
          <cell r="C540">
            <v>80630</v>
          </cell>
          <cell r="D540">
            <v>1.2</v>
          </cell>
          <cell r="E540">
            <v>140270</v>
          </cell>
          <cell r="F540">
            <v>1.5</v>
          </cell>
          <cell r="G540">
            <v>125510</v>
          </cell>
        </row>
        <row r="541">
          <cell r="A541" t="str">
            <v>29-1140</v>
          </cell>
          <cell r="B541" t="str">
            <v>Registered Nurses</v>
          </cell>
          <cell r="C541">
            <v>3282010</v>
          </cell>
          <cell r="D541">
            <v>0.2</v>
          </cell>
          <cell r="E541">
            <v>98430</v>
          </cell>
          <cell r="F541">
            <v>0.2</v>
          </cell>
          <cell r="G541">
            <v>93600</v>
          </cell>
        </row>
        <row r="542">
          <cell r="A542" t="str">
            <v>29-1141</v>
          </cell>
          <cell r="B542" t="str">
            <v>Registered Nurses</v>
          </cell>
          <cell r="C542">
            <v>3282010</v>
          </cell>
          <cell r="D542">
            <v>0.2</v>
          </cell>
          <cell r="E542">
            <v>98430</v>
          </cell>
          <cell r="F542">
            <v>0.2</v>
          </cell>
          <cell r="G542">
            <v>93600</v>
          </cell>
        </row>
        <row r="543">
          <cell r="A543" t="str">
            <v>29-1150</v>
          </cell>
          <cell r="B543" t="str">
            <v>Nurse Anesthetists</v>
          </cell>
          <cell r="C543">
            <v>50350</v>
          </cell>
          <cell r="D543">
            <v>5.0999999999999996</v>
          </cell>
          <cell r="E543">
            <v>231700</v>
          </cell>
          <cell r="F543">
            <v>1.6</v>
          </cell>
          <cell r="G543">
            <v>223210</v>
          </cell>
        </row>
        <row r="544">
          <cell r="A544" t="str">
            <v>29-1151</v>
          </cell>
          <cell r="B544" t="str">
            <v>Nurse Anesthetists</v>
          </cell>
          <cell r="C544">
            <v>50350</v>
          </cell>
          <cell r="D544">
            <v>5.0999999999999996</v>
          </cell>
          <cell r="E544">
            <v>231700</v>
          </cell>
          <cell r="F544">
            <v>1.6</v>
          </cell>
          <cell r="G544">
            <v>223210</v>
          </cell>
        </row>
        <row r="545">
          <cell r="A545" t="str">
            <v>29-1160</v>
          </cell>
          <cell r="B545" t="str">
            <v>Nurse Midwives</v>
          </cell>
          <cell r="C545">
            <v>8280</v>
          </cell>
          <cell r="D545">
            <v>6.5</v>
          </cell>
          <cell r="E545">
            <v>128110</v>
          </cell>
          <cell r="F545">
            <v>1.6</v>
          </cell>
          <cell r="G545">
            <v>128790</v>
          </cell>
        </row>
        <row r="546">
          <cell r="A546" t="str">
            <v>29-1161</v>
          </cell>
          <cell r="B546" t="str">
            <v>Nurse Midwives</v>
          </cell>
          <cell r="C546">
            <v>8280</v>
          </cell>
          <cell r="D546">
            <v>6.5</v>
          </cell>
          <cell r="E546">
            <v>128110</v>
          </cell>
          <cell r="F546">
            <v>1.6</v>
          </cell>
          <cell r="G546">
            <v>128790</v>
          </cell>
        </row>
        <row r="547">
          <cell r="A547" t="str">
            <v>29-1170</v>
          </cell>
          <cell r="B547" t="str">
            <v>Nurse Practitioners</v>
          </cell>
          <cell r="C547">
            <v>307390</v>
          </cell>
          <cell r="D547">
            <v>1.3</v>
          </cell>
          <cell r="E547">
            <v>132000</v>
          </cell>
          <cell r="F547">
            <v>0.5</v>
          </cell>
          <cell r="G547">
            <v>129210</v>
          </cell>
        </row>
        <row r="548">
          <cell r="A548" t="str">
            <v>29-1171</v>
          </cell>
          <cell r="B548" t="str">
            <v>Nurse Practitioners</v>
          </cell>
          <cell r="C548">
            <v>307390</v>
          </cell>
          <cell r="D548">
            <v>1.3</v>
          </cell>
          <cell r="E548">
            <v>132000</v>
          </cell>
          <cell r="F548">
            <v>0.5</v>
          </cell>
          <cell r="G548">
            <v>129210</v>
          </cell>
        </row>
        <row r="549">
          <cell r="A549" t="str">
            <v>29-1180</v>
          </cell>
          <cell r="B549" t="str">
            <v>Audiologists</v>
          </cell>
          <cell r="C549">
            <v>14730</v>
          </cell>
          <cell r="D549">
            <v>5.8</v>
          </cell>
          <cell r="E549">
            <v>95320</v>
          </cell>
          <cell r="F549">
            <v>1.6</v>
          </cell>
          <cell r="G549">
            <v>92120</v>
          </cell>
        </row>
        <row r="550">
          <cell r="A550" t="str">
            <v>29-1181</v>
          </cell>
          <cell r="B550" t="str">
            <v>Audiologists</v>
          </cell>
          <cell r="C550">
            <v>14730</v>
          </cell>
          <cell r="D550">
            <v>5.8</v>
          </cell>
          <cell r="E550">
            <v>95320</v>
          </cell>
          <cell r="F550">
            <v>1.6</v>
          </cell>
          <cell r="G550">
            <v>92120</v>
          </cell>
        </row>
        <row r="551">
          <cell r="A551" t="str">
            <v>29-1210</v>
          </cell>
          <cell r="B551" t="str">
            <v>Physicians</v>
          </cell>
          <cell r="C551">
            <v>727050</v>
          </cell>
          <cell r="D551">
            <v>1</v>
          </cell>
          <cell r="E551">
            <v>272320</v>
          </cell>
          <cell r="F551">
            <v>2.1</v>
          </cell>
          <cell r="G551" t="str">
            <v>#</v>
          </cell>
        </row>
        <row r="552">
          <cell r="A552" t="str">
            <v>29-1211</v>
          </cell>
          <cell r="B552" t="str">
            <v>Anesthesiologists</v>
          </cell>
          <cell r="C552">
            <v>41890</v>
          </cell>
          <cell r="D552">
            <v>7.9</v>
          </cell>
          <cell r="E552">
            <v>336640</v>
          </cell>
          <cell r="F552">
            <v>22.1</v>
          </cell>
          <cell r="G552" t="str">
            <v>#</v>
          </cell>
        </row>
        <row r="553">
          <cell r="A553" t="str">
            <v>29-1212</v>
          </cell>
          <cell r="B553" t="str">
            <v>Cardiologists</v>
          </cell>
          <cell r="C553">
            <v>18020</v>
          </cell>
          <cell r="D553">
            <v>10.5</v>
          </cell>
          <cell r="E553">
            <v>432490</v>
          </cell>
          <cell r="F553">
            <v>3.2</v>
          </cell>
          <cell r="G553" t="str">
            <v>#</v>
          </cell>
        </row>
        <row r="554">
          <cell r="A554" t="str">
            <v>29-1213</v>
          </cell>
          <cell r="B554" t="str">
            <v>Dermatologists</v>
          </cell>
          <cell r="C554">
            <v>10080</v>
          </cell>
          <cell r="D554">
            <v>11.6</v>
          </cell>
          <cell r="E554">
            <v>347810</v>
          </cell>
          <cell r="F554">
            <v>5.0999999999999996</v>
          </cell>
          <cell r="G554" t="str">
            <v>#</v>
          </cell>
        </row>
        <row r="555">
          <cell r="A555" t="str">
            <v>29-1214</v>
          </cell>
          <cell r="B555" t="str">
            <v>Emergency Medicine Physicians</v>
          </cell>
          <cell r="C555">
            <v>33680</v>
          </cell>
          <cell r="D555">
            <v>6.4</v>
          </cell>
          <cell r="E555">
            <v>320700</v>
          </cell>
          <cell r="F555">
            <v>2.9</v>
          </cell>
          <cell r="G555" t="str">
            <v>#</v>
          </cell>
        </row>
        <row r="556">
          <cell r="A556" t="str">
            <v>29-1215</v>
          </cell>
          <cell r="B556" t="str">
            <v>Family Medicine Physicians</v>
          </cell>
          <cell r="C556">
            <v>107950</v>
          </cell>
          <cell r="D556">
            <v>3.1</v>
          </cell>
          <cell r="E556">
            <v>256830</v>
          </cell>
          <cell r="F556">
            <v>1.6</v>
          </cell>
          <cell r="G556">
            <v>238380</v>
          </cell>
        </row>
        <row r="557">
          <cell r="A557" t="str">
            <v>29-1216</v>
          </cell>
          <cell r="B557" t="str">
            <v>General Internal Medicine Physicians</v>
          </cell>
          <cell r="C557">
            <v>66640</v>
          </cell>
          <cell r="D557">
            <v>4.0999999999999996</v>
          </cell>
          <cell r="E557">
            <v>262710</v>
          </cell>
          <cell r="F557">
            <v>3</v>
          </cell>
          <cell r="G557">
            <v>236350</v>
          </cell>
        </row>
        <row r="558">
          <cell r="A558" t="str">
            <v>29-1217</v>
          </cell>
          <cell r="B558" t="str">
            <v>Neurologists</v>
          </cell>
          <cell r="C558">
            <v>7700</v>
          </cell>
          <cell r="D558">
            <v>10.6</v>
          </cell>
          <cell r="E558">
            <v>286310</v>
          </cell>
          <cell r="F558">
            <v>4</v>
          </cell>
          <cell r="G558" t="str">
            <v>#</v>
          </cell>
        </row>
        <row r="559">
          <cell r="A559" t="str">
            <v>29-1218</v>
          </cell>
          <cell r="B559" t="str">
            <v>Obstetricians and Gynecologists</v>
          </cell>
          <cell r="C559">
            <v>19900</v>
          </cell>
          <cell r="D559">
            <v>5.7</v>
          </cell>
          <cell r="E559">
            <v>281130</v>
          </cell>
          <cell r="F559">
            <v>4.0999999999999996</v>
          </cell>
          <cell r="G559" t="str">
            <v>#</v>
          </cell>
        </row>
        <row r="560">
          <cell r="A560" t="str">
            <v>29-1221</v>
          </cell>
          <cell r="B560" t="str">
            <v>Pediatricians, General</v>
          </cell>
          <cell r="C560">
            <v>42960</v>
          </cell>
          <cell r="D560">
            <v>7.8</v>
          </cell>
          <cell r="E560">
            <v>222340</v>
          </cell>
          <cell r="F560">
            <v>4.5</v>
          </cell>
          <cell r="G560">
            <v>210130</v>
          </cell>
        </row>
        <row r="561">
          <cell r="A561" t="str">
            <v>29-1222</v>
          </cell>
          <cell r="B561" t="str">
            <v>Physicians, Pathologists</v>
          </cell>
          <cell r="C561">
            <v>11800</v>
          </cell>
          <cell r="D561">
            <v>9.1</v>
          </cell>
          <cell r="E561">
            <v>266020</v>
          </cell>
          <cell r="F561">
            <v>3.2</v>
          </cell>
          <cell r="G561" t="str">
            <v>#</v>
          </cell>
        </row>
        <row r="562">
          <cell r="A562" t="str">
            <v>29-1223</v>
          </cell>
          <cell r="B562" t="str">
            <v>Psychiatrists</v>
          </cell>
          <cell r="C562">
            <v>24800</v>
          </cell>
          <cell r="D562">
            <v>3.3</v>
          </cell>
          <cell r="E562">
            <v>269120</v>
          </cell>
          <cell r="F562">
            <v>4.0999999999999996</v>
          </cell>
          <cell r="G562" t="str">
            <v>#</v>
          </cell>
        </row>
        <row r="563">
          <cell r="A563" t="str">
            <v>29-1224</v>
          </cell>
          <cell r="B563" t="str">
            <v>Radiologists</v>
          </cell>
          <cell r="C563">
            <v>26290</v>
          </cell>
          <cell r="D563">
            <v>7</v>
          </cell>
          <cell r="E563">
            <v>359820</v>
          </cell>
          <cell r="F563">
            <v>2.8</v>
          </cell>
          <cell r="G563" t="str">
            <v>#</v>
          </cell>
        </row>
        <row r="564">
          <cell r="A564" t="str">
            <v>29-1229</v>
          </cell>
          <cell r="B564" t="str">
            <v>Physicians, All Other</v>
          </cell>
          <cell r="C564">
            <v>315360</v>
          </cell>
          <cell r="D564">
            <v>1.5</v>
          </cell>
          <cell r="E564">
            <v>253470</v>
          </cell>
          <cell r="F564">
            <v>0.9</v>
          </cell>
          <cell r="G564" t="str">
            <v>#</v>
          </cell>
        </row>
        <row r="565">
          <cell r="A565" t="str">
            <v>29-1240</v>
          </cell>
          <cell r="B565" t="str">
            <v>Surgeons</v>
          </cell>
          <cell r="C565">
            <v>51400</v>
          </cell>
          <cell r="D565">
            <v>4.3</v>
          </cell>
          <cell r="E565">
            <v>354760</v>
          </cell>
          <cell r="F565">
            <v>3.4</v>
          </cell>
          <cell r="G565" t="str">
            <v>#</v>
          </cell>
        </row>
        <row r="566">
          <cell r="A566" t="str">
            <v>29-1241</v>
          </cell>
          <cell r="B566" t="str">
            <v>Ophthalmologists, Except Pediatric</v>
          </cell>
          <cell r="C566">
            <v>12110</v>
          </cell>
          <cell r="D566">
            <v>8.1</v>
          </cell>
          <cell r="E566">
            <v>301500</v>
          </cell>
          <cell r="F566">
            <v>3.6</v>
          </cell>
          <cell r="G566" t="str">
            <v>#</v>
          </cell>
        </row>
        <row r="567">
          <cell r="A567" t="str">
            <v>29-1242</v>
          </cell>
          <cell r="B567" t="str">
            <v>Orthopedic Surgeons, Except Pediatric</v>
          </cell>
          <cell r="C567">
            <v>14160</v>
          </cell>
          <cell r="D567">
            <v>11.2</v>
          </cell>
          <cell r="E567">
            <v>365060</v>
          </cell>
          <cell r="F567">
            <v>4.5999999999999996</v>
          </cell>
          <cell r="G567" t="str">
            <v>#</v>
          </cell>
        </row>
        <row r="568">
          <cell r="A568" t="str">
            <v>29-1243</v>
          </cell>
          <cell r="B568" t="str">
            <v>Pediatric Surgeons</v>
          </cell>
          <cell r="C568">
            <v>1050</v>
          </cell>
          <cell r="D568">
            <v>23.4</v>
          </cell>
          <cell r="E568">
            <v>450810</v>
          </cell>
          <cell r="F568">
            <v>5.4</v>
          </cell>
          <cell r="G568" t="str">
            <v>#</v>
          </cell>
        </row>
        <row r="569">
          <cell r="A569" t="str">
            <v>29-1249</v>
          </cell>
          <cell r="B569" t="str">
            <v>Surgeons, All Other</v>
          </cell>
          <cell r="C569">
            <v>24080</v>
          </cell>
          <cell r="D569">
            <v>10.5</v>
          </cell>
          <cell r="E569">
            <v>371280</v>
          </cell>
          <cell r="F569">
            <v>4.4000000000000004</v>
          </cell>
          <cell r="G569" t="str">
            <v>#</v>
          </cell>
        </row>
        <row r="570">
          <cell r="A570" t="str">
            <v>29-1290</v>
          </cell>
          <cell r="B570" t="str">
            <v>Miscellaneous Healthcare Diagnosing or Treating Practitioners</v>
          </cell>
          <cell r="C570">
            <v>258380</v>
          </cell>
          <cell r="D570">
            <v>1.5</v>
          </cell>
          <cell r="E570">
            <v>97910</v>
          </cell>
          <cell r="F570">
            <v>1.4</v>
          </cell>
          <cell r="G570">
            <v>94920</v>
          </cell>
        </row>
        <row r="571">
          <cell r="A571" t="str">
            <v>29-1291</v>
          </cell>
          <cell r="B571" t="str">
            <v>Acupuncturists</v>
          </cell>
          <cell r="C571">
            <v>8440</v>
          </cell>
          <cell r="D571">
            <v>19.5</v>
          </cell>
          <cell r="E571">
            <v>89750</v>
          </cell>
          <cell r="F571">
            <v>3.4</v>
          </cell>
          <cell r="G571">
            <v>78140</v>
          </cell>
        </row>
        <row r="572">
          <cell r="A572" t="str">
            <v>29-1292</v>
          </cell>
          <cell r="B572" t="str">
            <v>Dental Hygienists</v>
          </cell>
          <cell r="C572">
            <v>219070</v>
          </cell>
          <cell r="D572">
            <v>2.1</v>
          </cell>
          <cell r="E572">
            <v>93890</v>
          </cell>
          <cell r="F572">
            <v>1.6</v>
          </cell>
          <cell r="G572">
            <v>94260</v>
          </cell>
        </row>
        <row r="573">
          <cell r="A573" t="str">
            <v>29-1299</v>
          </cell>
          <cell r="B573" t="str">
            <v>Healthcare Diagnosing or Treating Practitioners, All Other</v>
          </cell>
          <cell r="C573">
            <v>30870</v>
          </cell>
          <cell r="D573">
            <v>3.2</v>
          </cell>
          <cell r="E573">
            <v>128680</v>
          </cell>
          <cell r="F573">
            <v>1.8</v>
          </cell>
          <cell r="G573">
            <v>113730</v>
          </cell>
        </row>
        <row r="574">
          <cell r="A574" t="str">
            <v>29-2000</v>
          </cell>
          <cell r="B574" t="str">
            <v>Health Technologists and Technicians</v>
          </cell>
          <cell r="C574">
            <v>3124620</v>
          </cell>
          <cell r="D574">
            <v>0.3</v>
          </cell>
          <cell r="E574">
            <v>59310</v>
          </cell>
          <cell r="F574">
            <v>0.2</v>
          </cell>
          <cell r="G574">
            <v>54270</v>
          </cell>
        </row>
        <row r="575">
          <cell r="A575" t="str">
            <v>29-2010</v>
          </cell>
          <cell r="B575" t="str">
            <v>Clinical Laboratory Technologists and Technicians</v>
          </cell>
          <cell r="C575">
            <v>343040</v>
          </cell>
          <cell r="D575">
            <v>1</v>
          </cell>
          <cell r="E575">
            <v>65320</v>
          </cell>
          <cell r="F575">
            <v>0.3</v>
          </cell>
          <cell r="G575">
            <v>61890</v>
          </cell>
        </row>
        <row r="576">
          <cell r="A576" t="str">
            <v>29-2010</v>
          </cell>
          <cell r="B576" t="str">
            <v>Clinical Laboratory Technologists and Technicians</v>
          </cell>
          <cell r="C576">
            <v>343040</v>
          </cell>
          <cell r="D576">
            <v>1</v>
          </cell>
          <cell r="E576">
            <v>65320</v>
          </cell>
          <cell r="F576">
            <v>0.3</v>
          </cell>
          <cell r="G576">
            <v>61890</v>
          </cell>
        </row>
        <row r="577">
          <cell r="A577" t="str">
            <v>29-2030</v>
          </cell>
          <cell r="B577" t="str">
            <v>Diagnostic Related Technologists and Technicians</v>
          </cell>
          <cell r="C577">
            <v>433560</v>
          </cell>
          <cell r="D577">
            <v>0.8</v>
          </cell>
          <cell r="E577">
            <v>83760</v>
          </cell>
          <cell r="F577">
            <v>0.3</v>
          </cell>
          <cell r="G577">
            <v>80660</v>
          </cell>
        </row>
        <row r="578">
          <cell r="A578" t="str">
            <v>29-2031</v>
          </cell>
          <cell r="B578" t="str">
            <v>Cardiovascular Technologists and Technicians</v>
          </cell>
          <cell r="C578">
            <v>61180</v>
          </cell>
          <cell r="D578">
            <v>3.3</v>
          </cell>
          <cell r="E578">
            <v>72890</v>
          </cell>
          <cell r="F578">
            <v>1.2</v>
          </cell>
          <cell r="G578">
            <v>67260</v>
          </cell>
        </row>
        <row r="579">
          <cell r="A579" t="str">
            <v>29-2032</v>
          </cell>
          <cell r="B579" t="str">
            <v>Diagnostic Medical Sonographers</v>
          </cell>
          <cell r="C579">
            <v>86460</v>
          </cell>
          <cell r="D579">
            <v>1.6</v>
          </cell>
          <cell r="E579">
            <v>92550</v>
          </cell>
          <cell r="F579">
            <v>0.4</v>
          </cell>
          <cell r="G579">
            <v>89340</v>
          </cell>
        </row>
        <row r="580">
          <cell r="A580" t="str">
            <v>29-2033</v>
          </cell>
          <cell r="B580" t="str">
            <v>Nuclear Medicine Technologists</v>
          </cell>
          <cell r="C580">
            <v>16960</v>
          </cell>
          <cell r="D580">
            <v>1.8</v>
          </cell>
          <cell r="E580">
            <v>99690</v>
          </cell>
          <cell r="F580">
            <v>0.5</v>
          </cell>
          <cell r="G580">
            <v>97020</v>
          </cell>
        </row>
        <row r="581">
          <cell r="A581" t="str">
            <v>29-2034</v>
          </cell>
          <cell r="B581" t="str">
            <v>Radiologic Technologists and Technicians</v>
          </cell>
          <cell r="C581">
            <v>223460</v>
          </cell>
          <cell r="D581">
            <v>0.7</v>
          </cell>
          <cell r="E581">
            <v>79760</v>
          </cell>
          <cell r="F581">
            <v>0.3</v>
          </cell>
          <cell r="G581">
            <v>77660</v>
          </cell>
        </row>
        <row r="582">
          <cell r="A582" t="str">
            <v>29-2035</v>
          </cell>
          <cell r="B582" t="str">
            <v>Magnetic Resonance Imaging Technologists</v>
          </cell>
          <cell r="C582">
            <v>41530</v>
          </cell>
          <cell r="D582">
            <v>1.8</v>
          </cell>
          <cell r="E582">
            <v>91020</v>
          </cell>
          <cell r="F582">
            <v>0.4</v>
          </cell>
          <cell r="G582">
            <v>88180</v>
          </cell>
        </row>
        <row r="583">
          <cell r="A583" t="str">
            <v>29-2036</v>
          </cell>
          <cell r="B583" t="str">
            <v>Medical Dosimetrists</v>
          </cell>
          <cell r="C583">
            <v>3970</v>
          </cell>
          <cell r="D583">
            <v>7.9</v>
          </cell>
          <cell r="E583">
            <v>141420</v>
          </cell>
          <cell r="F583">
            <v>1.4</v>
          </cell>
          <cell r="G583">
            <v>138110</v>
          </cell>
        </row>
        <row r="584">
          <cell r="A584" t="str">
            <v>29-2040</v>
          </cell>
          <cell r="B584" t="str">
            <v>Emergency Medical Technicians and Paramedics</v>
          </cell>
          <cell r="C584">
            <v>277520</v>
          </cell>
          <cell r="D584">
            <v>1</v>
          </cell>
          <cell r="E584">
            <v>50460</v>
          </cell>
          <cell r="F584">
            <v>0.3</v>
          </cell>
          <cell r="G584">
            <v>46350</v>
          </cell>
        </row>
        <row r="585">
          <cell r="A585" t="str">
            <v>29-2042</v>
          </cell>
          <cell r="B585" t="str">
            <v>Emergency Medical Technicians</v>
          </cell>
          <cell r="C585">
            <v>177980</v>
          </cell>
          <cell r="D585">
            <v>1.2</v>
          </cell>
          <cell r="E585">
            <v>44790</v>
          </cell>
          <cell r="F585">
            <v>0.3</v>
          </cell>
          <cell r="G585">
            <v>41340</v>
          </cell>
        </row>
        <row r="586">
          <cell r="A586" t="str">
            <v>29-2043</v>
          </cell>
          <cell r="B586" t="str">
            <v>Paramedics</v>
          </cell>
          <cell r="C586">
            <v>99530</v>
          </cell>
          <cell r="D586">
            <v>1.2</v>
          </cell>
          <cell r="E586">
            <v>60610</v>
          </cell>
          <cell r="F586">
            <v>0.5</v>
          </cell>
          <cell r="G586">
            <v>58410</v>
          </cell>
        </row>
        <row r="587">
          <cell r="A587" t="str">
            <v>29-2050</v>
          </cell>
          <cell r="B587" t="str">
            <v>Health Practitioner Support Technologists and Technicians</v>
          </cell>
          <cell r="C587">
            <v>975890</v>
          </cell>
          <cell r="D587">
            <v>0.6</v>
          </cell>
          <cell r="E587">
            <v>47370</v>
          </cell>
          <cell r="F587">
            <v>0.2</v>
          </cell>
          <cell r="G587">
            <v>45010</v>
          </cell>
        </row>
        <row r="588">
          <cell r="A588" t="str">
            <v>29-2051</v>
          </cell>
          <cell r="B588" t="str">
            <v>Dietetic Technicians</v>
          </cell>
          <cell r="C588">
            <v>29950</v>
          </cell>
          <cell r="D588">
            <v>2.9</v>
          </cell>
          <cell r="E588">
            <v>39560</v>
          </cell>
          <cell r="F588">
            <v>0.7</v>
          </cell>
          <cell r="G588">
            <v>37040</v>
          </cell>
        </row>
        <row r="589">
          <cell r="A589" t="str">
            <v>29-2052</v>
          </cell>
          <cell r="B589" t="str">
            <v>Pharmacy Technicians</v>
          </cell>
          <cell r="C589">
            <v>487920</v>
          </cell>
          <cell r="D589">
            <v>0.7</v>
          </cell>
          <cell r="E589">
            <v>44800</v>
          </cell>
          <cell r="F589">
            <v>0.2</v>
          </cell>
          <cell r="G589">
            <v>43460</v>
          </cell>
        </row>
        <row r="590">
          <cell r="A590" t="str">
            <v>29-2053</v>
          </cell>
          <cell r="B590" t="str">
            <v>Psychiatric Technicians</v>
          </cell>
          <cell r="C590">
            <v>136300</v>
          </cell>
          <cell r="D590">
            <v>2</v>
          </cell>
          <cell r="E590">
            <v>45000</v>
          </cell>
          <cell r="F590">
            <v>0.4</v>
          </cell>
          <cell r="G590">
            <v>42590</v>
          </cell>
        </row>
        <row r="591">
          <cell r="A591" t="str">
            <v>29-2055</v>
          </cell>
          <cell r="B591" t="str">
            <v>Surgical Technologists</v>
          </cell>
          <cell r="C591">
            <v>113890</v>
          </cell>
          <cell r="D591">
            <v>1.3</v>
          </cell>
          <cell r="E591">
            <v>65810</v>
          </cell>
          <cell r="F591">
            <v>0.3</v>
          </cell>
          <cell r="G591">
            <v>62830</v>
          </cell>
        </row>
        <row r="592">
          <cell r="A592" t="str">
            <v>29-2056</v>
          </cell>
          <cell r="B592" t="str">
            <v>Veterinary Technologists and Technicians</v>
          </cell>
          <cell r="C592">
            <v>131320</v>
          </cell>
          <cell r="D592">
            <v>1.5</v>
          </cell>
          <cell r="E592">
            <v>46280</v>
          </cell>
          <cell r="F592">
            <v>0.4</v>
          </cell>
          <cell r="G592">
            <v>45980</v>
          </cell>
        </row>
        <row r="593">
          <cell r="A593" t="str">
            <v>29-2057</v>
          </cell>
          <cell r="B593" t="str">
            <v>Ophthalmic Medical Technicians</v>
          </cell>
          <cell r="C593">
            <v>76520</v>
          </cell>
          <cell r="D593">
            <v>3.9</v>
          </cell>
          <cell r="E593">
            <v>45360</v>
          </cell>
          <cell r="F593">
            <v>0.6</v>
          </cell>
          <cell r="G593">
            <v>44080</v>
          </cell>
        </row>
        <row r="594">
          <cell r="A594" t="str">
            <v>29-2060</v>
          </cell>
          <cell r="B594" t="str">
            <v>Licensed Practical and Licensed Vocational Nurses</v>
          </cell>
          <cell r="C594">
            <v>632430</v>
          </cell>
          <cell r="D594">
            <v>0.8</v>
          </cell>
          <cell r="E594">
            <v>64150</v>
          </cell>
          <cell r="F594">
            <v>0.3</v>
          </cell>
          <cell r="G594">
            <v>62340</v>
          </cell>
        </row>
        <row r="595">
          <cell r="A595" t="str">
            <v>29-2061</v>
          </cell>
          <cell r="B595" t="str">
            <v>Licensed Practical and Licensed Vocational Nurses</v>
          </cell>
          <cell r="C595">
            <v>632430</v>
          </cell>
          <cell r="D595">
            <v>0.8</v>
          </cell>
          <cell r="E595">
            <v>64150</v>
          </cell>
          <cell r="F595">
            <v>0.3</v>
          </cell>
          <cell r="G595">
            <v>62340</v>
          </cell>
        </row>
        <row r="596">
          <cell r="A596" t="str">
            <v>29-2070</v>
          </cell>
          <cell r="B596" t="str">
            <v>Medical Records Specialists</v>
          </cell>
          <cell r="C596">
            <v>187910</v>
          </cell>
          <cell r="D596">
            <v>1</v>
          </cell>
          <cell r="E596">
            <v>55970</v>
          </cell>
          <cell r="F596">
            <v>0.6</v>
          </cell>
          <cell r="G596">
            <v>50250</v>
          </cell>
        </row>
        <row r="597">
          <cell r="A597" t="str">
            <v>29-2072</v>
          </cell>
          <cell r="B597" t="str">
            <v>Medical Records Specialists</v>
          </cell>
          <cell r="C597">
            <v>187910</v>
          </cell>
          <cell r="D597">
            <v>1</v>
          </cell>
          <cell r="E597">
            <v>55970</v>
          </cell>
          <cell r="F597">
            <v>0.6</v>
          </cell>
          <cell r="G597">
            <v>50250</v>
          </cell>
        </row>
        <row r="598">
          <cell r="A598" t="str">
            <v>29-2080</v>
          </cell>
          <cell r="B598" t="str">
            <v>Opticians, Dispensing</v>
          </cell>
          <cell r="C598">
            <v>79690</v>
          </cell>
          <cell r="D598">
            <v>1.8</v>
          </cell>
          <cell r="E598">
            <v>49970</v>
          </cell>
          <cell r="F598">
            <v>0.6</v>
          </cell>
          <cell r="G598">
            <v>46560</v>
          </cell>
        </row>
        <row r="599">
          <cell r="A599" t="str">
            <v>29-2081</v>
          </cell>
          <cell r="B599" t="str">
            <v>Opticians, Dispensing</v>
          </cell>
          <cell r="C599">
            <v>79690</v>
          </cell>
          <cell r="D599">
            <v>1.8</v>
          </cell>
          <cell r="E599">
            <v>49970</v>
          </cell>
          <cell r="F599">
            <v>0.6</v>
          </cell>
          <cell r="G599">
            <v>46560</v>
          </cell>
        </row>
        <row r="600">
          <cell r="A600" t="str">
            <v>29-2090</v>
          </cell>
          <cell r="B600" t="str">
            <v>Miscellaneous Health Technologists and Technicians</v>
          </cell>
          <cell r="C600">
            <v>194570</v>
          </cell>
          <cell r="D600">
            <v>1.2</v>
          </cell>
          <cell r="E600">
            <v>58050</v>
          </cell>
          <cell r="F600">
            <v>0.5</v>
          </cell>
          <cell r="G600">
            <v>49600</v>
          </cell>
        </row>
        <row r="601">
          <cell r="A601" t="str">
            <v>29-2091</v>
          </cell>
          <cell r="B601" t="str">
            <v>Orthotists and Prosthetists</v>
          </cell>
          <cell r="C601">
            <v>9930</v>
          </cell>
          <cell r="D601">
            <v>6</v>
          </cell>
          <cell r="E601">
            <v>81330</v>
          </cell>
          <cell r="F601">
            <v>1.2</v>
          </cell>
          <cell r="G601">
            <v>78310</v>
          </cell>
        </row>
        <row r="602">
          <cell r="A602" t="str">
            <v>29-2092</v>
          </cell>
          <cell r="B602" t="str">
            <v>Hearing Aid Specialists</v>
          </cell>
          <cell r="C602">
            <v>10580</v>
          </cell>
          <cell r="D602">
            <v>7.5</v>
          </cell>
          <cell r="E602">
            <v>63930</v>
          </cell>
          <cell r="F602">
            <v>1.9</v>
          </cell>
          <cell r="G602">
            <v>61560</v>
          </cell>
        </row>
        <row r="603">
          <cell r="A603" t="str">
            <v>29-2099</v>
          </cell>
          <cell r="B603" t="str">
            <v>Health Technologists and Technicians, All Other</v>
          </cell>
          <cell r="C603">
            <v>174060</v>
          </cell>
          <cell r="D603">
            <v>1.2</v>
          </cell>
          <cell r="E603">
            <v>56370</v>
          </cell>
          <cell r="F603">
            <v>0.6</v>
          </cell>
          <cell r="G603">
            <v>48790</v>
          </cell>
        </row>
        <row r="604">
          <cell r="A604" t="str">
            <v>29-9000</v>
          </cell>
          <cell r="B604" t="str">
            <v>Other Healthcare Practitioners and Technical Occupations</v>
          </cell>
          <cell r="C604">
            <v>129910</v>
          </cell>
          <cell r="D604">
            <v>1.6</v>
          </cell>
          <cell r="E604">
            <v>70950</v>
          </cell>
          <cell r="F604">
            <v>0.5</v>
          </cell>
          <cell r="G604">
            <v>62820</v>
          </cell>
        </row>
        <row r="605">
          <cell r="A605" t="str">
            <v>29-9020</v>
          </cell>
          <cell r="B605" t="str">
            <v>Health Information Technologists and Medical Registrars</v>
          </cell>
          <cell r="C605">
            <v>37620</v>
          </cell>
          <cell r="D605">
            <v>2.7</v>
          </cell>
          <cell r="E605">
            <v>73410</v>
          </cell>
          <cell r="F605">
            <v>0.9</v>
          </cell>
          <cell r="G605">
            <v>67310</v>
          </cell>
        </row>
        <row r="606">
          <cell r="A606" t="str">
            <v>29-9021</v>
          </cell>
          <cell r="B606" t="str">
            <v>Health Information Technologists and Medical Registrars</v>
          </cell>
          <cell r="C606">
            <v>37620</v>
          </cell>
          <cell r="D606">
            <v>2.7</v>
          </cell>
          <cell r="E606">
            <v>73410</v>
          </cell>
          <cell r="F606">
            <v>0.9</v>
          </cell>
          <cell r="G606">
            <v>67310</v>
          </cell>
        </row>
        <row r="607">
          <cell r="A607" t="str">
            <v>29-9090</v>
          </cell>
          <cell r="B607" t="str">
            <v>Miscellaneous Health Practitioners and Technical Workers</v>
          </cell>
          <cell r="C607">
            <v>92290</v>
          </cell>
          <cell r="D607">
            <v>1.9</v>
          </cell>
          <cell r="E607">
            <v>69940</v>
          </cell>
          <cell r="F607">
            <v>0.6</v>
          </cell>
          <cell r="G607">
            <v>61890</v>
          </cell>
        </row>
        <row r="608">
          <cell r="A608" t="str">
            <v>29-9091</v>
          </cell>
          <cell r="B608" t="str">
            <v>Athletic Trainers</v>
          </cell>
          <cell r="C608">
            <v>28950</v>
          </cell>
          <cell r="D608">
            <v>2.2000000000000002</v>
          </cell>
          <cell r="E608">
            <v>63960</v>
          </cell>
          <cell r="F608">
            <v>0.5</v>
          </cell>
          <cell r="G608">
            <v>60250</v>
          </cell>
        </row>
        <row r="609">
          <cell r="A609" t="str">
            <v>29-9092</v>
          </cell>
          <cell r="B609" t="str">
            <v>Genetic Counselors</v>
          </cell>
          <cell r="C609">
            <v>3510</v>
          </cell>
          <cell r="D609">
            <v>7.4</v>
          </cell>
          <cell r="E609">
            <v>102890</v>
          </cell>
          <cell r="F609">
            <v>1.3</v>
          </cell>
          <cell r="G609">
            <v>98910</v>
          </cell>
        </row>
        <row r="610">
          <cell r="A610" t="str">
            <v>29-9093</v>
          </cell>
          <cell r="B610" t="str">
            <v>Surgical Assistants</v>
          </cell>
          <cell r="C610">
            <v>22860</v>
          </cell>
          <cell r="D610">
            <v>6.8</v>
          </cell>
          <cell r="E610">
            <v>67190</v>
          </cell>
          <cell r="F610">
            <v>1.6</v>
          </cell>
          <cell r="G610">
            <v>60290</v>
          </cell>
        </row>
        <row r="611">
          <cell r="A611" t="str">
            <v>29-9099</v>
          </cell>
          <cell r="B611" t="str">
            <v>Healthcare Practitioners and Technical Workers, All Other</v>
          </cell>
          <cell r="C611">
            <v>36970</v>
          </cell>
          <cell r="D611">
            <v>1.9</v>
          </cell>
          <cell r="E611">
            <v>73200</v>
          </cell>
          <cell r="F611">
            <v>1</v>
          </cell>
          <cell r="G611">
            <v>64030</v>
          </cell>
        </row>
        <row r="612">
          <cell r="A612" t="str">
            <v>31-0000</v>
          </cell>
          <cell r="B612" t="str">
            <v>Healthcare Support Occupations</v>
          </cell>
          <cell r="C612">
            <v>7448010</v>
          </cell>
          <cell r="D612">
            <v>0.2</v>
          </cell>
          <cell r="E612">
            <v>39650</v>
          </cell>
          <cell r="F612">
            <v>0.2</v>
          </cell>
          <cell r="G612">
            <v>37180</v>
          </cell>
        </row>
        <row r="613">
          <cell r="A613" t="str">
            <v>31-1100</v>
          </cell>
          <cell r="B613" t="str">
            <v>Home Health and Personal Care Aides; and Nursing Assistants, Orderlies, and Psychiatric Aides</v>
          </cell>
          <cell r="C613">
            <v>5464490</v>
          </cell>
          <cell r="D613">
            <v>0.2</v>
          </cell>
          <cell r="E613">
            <v>36690</v>
          </cell>
          <cell r="F613">
            <v>0.2</v>
          </cell>
          <cell r="G613">
            <v>35940</v>
          </cell>
        </row>
        <row r="614">
          <cell r="A614" t="str">
            <v>31-1120</v>
          </cell>
          <cell r="B614" t="str">
            <v>Home Health and Personal Care Aides</v>
          </cell>
          <cell r="C614">
            <v>3988140</v>
          </cell>
          <cell r="D614">
            <v>0.3</v>
          </cell>
          <cell r="E614">
            <v>34990</v>
          </cell>
          <cell r="F614">
            <v>0.3</v>
          </cell>
          <cell r="G614">
            <v>34900</v>
          </cell>
        </row>
        <row r="615">
          <cell r="A615" t="str">
            <v>31-1120</v>
          </cell>
          <cell r="B615" t="str">
            <v>Home Health and Personal Care Aides</v>
          </cell>
          <cell r="C615">
            <v>3988140</v>
          </cell>
          <cell r="D615">
            <v>0.3</v>
          </cell>
          <cell r="E615">
            <v>34990</v>
          </cell>
          <cell r="F615">
            <v>0.3</v>
          </cell>
          <cell r="G615">
            <v>34900</v>
          </cell>
        </row>
        <row r="616">
          <cell r="A616" t="str">
            <v>31-1130</v>
          </cell>
          <cell r="B616" t="str">
            <v>Nursing Assistants, Orderlies, and Psychiatric Aides</v>
          </cell>
          <cell r="C616">
            <v>1476350</v>
          </cell>
          <cell r="D616">
            <v>0.4</v>
          </cell>
          <cell r="E616">
            <v>41290</v>
          </cell>
          <cell r="F616">
            <v>0.2</v>
          </cell>
          <cell r="G616">
            <v>39470</v>
          </cell>
        </row>
        <row r="617">
          <cell r="A617" t="str">
            <v>31-1131</v>
          </cell>
          <cell r="B617" t="str">
            <v>Nursing Assistants</v>
          </cell>
          <cell r="C617">
            <v>1388430</v>
          </cell>
          <cell r="D617">
            <v>0.5</v>
          </cell>
          <cell r="E617">
            <v>41270</v>
          </cell>
          <cell r="F617">
            <v>0.2</v>
          </cell>
          <cell r="G617">
            <v>39530</v>
          </cell>
        </row>
        <row r="618">
          <cell r="A618" t="str">
            <v>31-1132</v>
          </cell>
          <cell r="B618" t="str">
            <v>Orderlies</v>
          </cell>
          <cell r="C618">
            <v>53020</v>
          </cell>
          <cell r="D618">
            <v>1.8</v>
          </cell>
          <cell r="E618">
            <v>40070</v>
          </cell>
          <cell r="F618">
            <v>0.7</v>
          </cell>
          <cell r="G618">
            <v>37700</v>
          </cell>
        </row>
        <row r="619">
          <cell r="A619" t="str">
            <v>31-1133</v>
          </cell>
          <cell r="B619" t="str">
            <v>Psychiatric Aides</v>
          </cell>
          <cell r="C619">
            <v>34900</v>
          </cell>
          <cell r="D619">
            <v>2.1</v>
          </cell>
          <cell r="E619">
            <v>43610</v>
          </cell>
          <cell r="F619">
            <v>0.6</v>
          </cell>
          <cell r="G619">
            <v>41590</v>
          </cell>
        </row>
        <row r="620">
          <cell r="A620" t="str">
            <v>31-2000</v>
          </cell>
          <cell r="B620" t="str">
            <v>Occupational Therapy and Physical Therapist Assistants and Aides</v>
          </cell>
          <cell r="C620">
            <v>204940</v>
          </cell>
          <cell r="D620">
            <v>1.2</v>
          </cell>
          <cell r="E620">
            <v>60070</v>
          </cell>
          <cell r="F620">
            <v>0.5</v>
          </cell>
          <cell r="G620">
            <v>61730</v>
          </cell>
        </row>
        <row r="621">
          <cell r="A621" t="str">
            <v>31-2010</v>
          </cell>
          <cell r="B621" t="str">
            <v>Occupational Therapy Assistants and Aides</v>
          </cell>
          <cell r="C621">
            <v>52910</v>
          </cell>
          <cell r="D621">
            <v>2.2999999999999998</v>
          </cell>
          <cell r="E621">
            <v>66020</v>
          </cell>
          <cell r="F621">
            <v>0.7</v>
          </cell>
          <cell r="G621">
            <v>66050</v>
          </cell>
        </row>
        <row r="622">
          <cell r="A622" t="str">
            <v>31-2011</v>
          </cell>
          <cell r="B622" t="str">
            <v>Occupational Therapy Assistants</v>
          </cell>
          <cell r="C622">
            <v>47910</v>
          </cell>
          <cell r="D622">
            <v>2.2999999999999998</v>
          </cell>
          <cell r="E622">
            <v>68540</v>
          </cell>
          <cell r="F622">
            <v>0.6</v>
          </cell>
          <cell r="G622">
            <v>68340</v>
          </cell>
        </row>
        <row r="623">
          <cell r="A623" t="str">
            <v>31-2012</v>
          </cell>
          <cell r="B623" t="str">
            <v>Occupational Therapy Aides</v>
          </cell>
          <cell r="C623">
            <v>5000</v>
          </cell>
          <cell r="D623">
            <v>10.3</v>
          </cell>
          <cell r="E623">
            <v>41850</v>
          </cell>
          <cell r="F623">
            <v>1.9</v>
          </cell>
          <cell r="G623">
            <v>37370</v>
          </cell>
        </row>
        <row r="624">
          <cell r="A624" t="str">
            <v>31-2020</v>
          </cell>
          <cell r="B624" t="str">
            <v>Physical Therapist Assistants and Aides</v>
          </cell>
          <cell r="C624">
            <v>152020</v>
          </cell>
          <cell r="D624">
            <v>1.3</v>
          </cell>
          <cell r="E624">
            <v>57990</v>
          </cell>
          <cell r="F624">
            <v>0.5</v>
          </cell>
          <cell r="G624">
            <v>60050</v>
          </cell>
        </row>
        <row r="625">
          <cell r="A625" t="str">
            <v>31-2021</v>
          </cell>
          <cell r="B625" t="str">
            <v>Physical Therapist Assistants</v>
          </cell>
          <cell r="C625">
            <v>108010</v>
          </cell>
          <cell r="D625">
            <v>1.4</v>
          </cell>
          <cell r="E625">
            <v>67160</v>
          </cell>
          <cell r="F625">
            <v>0.5</v>
          </cell>
          <cell r="G625">
            <v>65510</v>
          </cell>
        </row>
        <row r="626">
          <cell r="A626" t="str">
            <v>31-2022</v>
          </cell>
          <cell r="B626" t="str">
            <v>Physical Therapist Aides</v>
          </cell>
          <cell r="C626">
            <v>44010</v>
          </cell>
          <cell r="D626">
            <v>3</v>
          </cell>
          <cell r="E626">
            <v>35510</v>
          </cell>
          <cell r="F626">
            <v>1</v>
          </cell>
          <cell r="G626">
            <v>34520</v>
          </cell>
        </row>
        <row r="627">
          <cell r="A627" t="str">
            <v>31-9000</v>
          </cell>
          <cell r="B627" t="str">
            <v>Other Healthcare Support Occupations</v>
          </cell>
          <cell r="C627">
            <v>1778580</v>
          </cell>
          <cell r="D627">
            <v>0.5</v>
          </cell>
          <cell r="E627">
            <v>46380</v>
          </cell>
          <cell r="F627">
            <v>0.2</v>
          </cell>
          <cell r="G627">
            <v>45000</v>
          </cell>
        </row>
        <row r="628">
          <cell r="A628" t="str">
            <v>31-9010</v>
          </cell>
          <cell r="B628" t="str">
            <v>Massage Therapists</v>
          </cell>
          <cell r="C628">
            <v>96040</v>
          </cell>
          <cell r="D628">
            <v>2.7</v>
          </cell>
          <cell r="E628">
            <v>63430</v>
          </cell>
          <cell r="F628">
            <v>1.4</v>
          </cell>
          <cell r="G628">
            <v>57950</v>
          </cell>
        </row>
        <row r="629">
          <cell r="A629" t="str">
            <v>31-9011</v>
          </cell>
          <cell r="B629" t="str">
            <v>Massage Therapists</v>
          </cell>
          <cell r="C629">
            <v>96040</v>
          </cell>
          <cell r="D629">
            <v>2.7</v>
          </cell>
          <cell r="E629">
            <v>63430</v>
          </cell>
          <cell r="F629">
            <v>1.4</v>
          </cell>
          <cell r="G629">
            <v>57950</v>
          </cell>
        </row>
        <row r="630">
          <cell r="A630" t="str">
            <v>31-9090</v>
          </cell>
          <cell r="B630" t="str">
            <v>Miscellaneous Healthcare Support Occupations</v>
          </cell>
          <cell r="C630">
            <v>1682540</v>
          </cell>
          <cell r="D630">
            <v>0.5</v>
          </cell>
          <cell r="E630">
            <v>45410</v>
          </cell>
          <cell r="F630">
            <v>0.2</v>
          </cell>
          <cell r="G630">
            <v>44720</v>
          </cell>
        </row>
        <row r="631">
          <cell r="A631" t="str">
            <v>31-9091</v>
          </cell>
          <cell r="B631" t="str">
            <v>Dental Assistants</v>
          </cell>
          <cell r="C631">
            <v>375430</v>
          </cell>
          <cell r="D631">
            <v>1.1000000000000001</v>
          </cell>
          <cell r="E631">
            <v>48860</v>
          </cell>
          <cell r="F631">
            <v>0.5</v>
          </cell>
          <cell r="G631">
            <v>47300</v>
          </cell>
        </row>
        <row r="632">
          <cell r="A632" t="str">
            <v>31-9092</v>
          </cell>
          <cell r="B632" t="str">
            <v>Medical Assistants</v>
          </cell>
          <cell r="C632">
            <v>793460</v>
          </cell>
          <cell r="D632">
            <v>0.9</v>
          </cell>
          <cell r="E632">
            <v>44720</v>
          </cell>
          <cell r="F632">
            <v>0.3</v>
          </cell>
          <cell r="G632">
            <v>44200</v>
          </cell>
        </row>
        <row r="633">
          <cell r="A633" t="str">
            <v>31-9093</v>
          </cell>
          <cell r="B633" t="str">
            <v>Medical Equipment Preparers</v>
          </cell>
          <cell r="C633">
            <v>72760</v>
          </cell>
          <cell r="D633">
            <v>1.6</v>
          </cell>
          <cell r="E633">
            <v>48990</v>
          </cell>
          <cell r="F633">
            <v>0.6</v>
          </cell>
          <cell r="G633">
            <v>46490</v>
          </cell>
        </row>
        <row r="634">
          <cell r="A634" t="str">
            <v>31-9094</v>
          </cell>
          <cell r="B634" t="str">
            <v>Medical Transcriptionists</v>
          </cell>
          <cell r="C634">
            <v>43070</v>
          </cell>
          <cell r="D634">
            <v>4.7</v>
          </cell>
          <cell r="E634">
            <v>39210</v>
          </cell>
          <cell r="F634">
            <v>0.9</v>
          </cell>
          <cell r="G634">
            <v>37550</v>
          </cell>
        </row>
        <row r="635">
          <cell r="A635" t="str">
            <v>31-9095</v>
          </cell>
          <cell r="B635" t="str">
            <v>Pharmacy Aides</v>
          </cell>
          <cell r="C635">
            <v>41100</v>
          </cell>
          <cell r="D635">
            <v>3.1</v>
          </cell>
          <cell r="E635">
            <v>40290</v>
          </cell>
          <cell r="F635">
            <v>0.9</v>
          </cell>
          <cell r="G635">
            <v>37000</v>
          </cell>
        </row>
        <row r="636">
          <cell r="A636" t="str">
            <v>31-9096</v>
          </cell>
          <cell r="B636" t="str">
            <v>Veterinary Assistants and Laboratory Animal Caretakers</v>
          </cell>
          <cell r="C636">
            <v>114190</v>
          </cell>
          <cell r="D636">
            <v>1.5</v>
          </cell>
          <cell r="E636">
            <v>38990</v>
          </cell>
          <cell r="F636">
            <v>0.4</v>
          </cell>
          <cell r="G636">
            <v>37320</v>
          </cell>
        </row>
        <row r="637">
          <cell r="A637" t="str">
            <v>31-9097</v>
          </cell>
          <cell r="B637" t="str">
            <v>Phlebotomists</v>
          </cell>
          <cell r="C637">
            <v>138880</v>
          </cell>
          <cell r="D637">
            <v>1.3</v>
          </cell>
          <cell r="E637">
            <v>44390</v>
          </cell>
          <cell r="F637">
            <v>0.4</v>
          </cell>
          <cell r="G637">
            <v>43660</v>
          </cell>
        </row>
        <row r="638">
          <cell r="A638" t="str">
            <v>31-9099</v>
          </cell>
          <cell r="B638" t="str">
            <v>Healthcare Support Workers, All Other</v>
          </cell>
          <cell r="C638">
            <v>103650</v>
          </cell>
          <cell r="D638">
            <v>1.5</v>
          </cell>
          <cell r="E638">
            <v>48760</v>
          </cell>
          <cell r="F638">
            <v>0.5</v>
          </cell>
          <cell r="G638">
            <v>46050</v>
          </cell>
        </row>
        <row r="639">
          <cell r="A639" t="str">
            <v>33-0000</v>
          </cell>
          <cell r="B639" t="str">
            <v>Protective Service Occupations</v>
          </cell>
          <cell r="C639">
            <v>3654910</v>
          </cell>
          <cell r="D639">
            <v>0.2</v>
          </cell>
          <cell r="E639">
            <v>61000</v>
          </cell>
          <cell r="F639">
            <v>0.2</v>
          </cell>
          <cell r="G639">
            <v>50580</v>
          </cell>
        </row>
        <row r="640">
          <cell r="A640" t="str">
            <v>33-1000</v>
          </cell>
          <cell r="B640" t="str">
            <v>Supervisors of Protective Service Workers</v>
          </cell>
          <cell r="C640">
            <v>390970</v>
          </cell>
          <cell r="D640">
            <v>0.4</v>
          </cell>
          <cell r="E640">
            <v>93120</v>
          </cell>
          <cell r="F640">
            <v>0.2</v>
          </cell>
          <cell r="G640">
            <v>87050</v>
          </cell>
        </row>
        <row r="641">
          <cell r="A641" t="str">
            <v>33-1010</v>
          </cell>
          <cell r="B641" t="str">
            <v>First-Line Supervisors of Law Enforcement Workers</v>
          </cell>
          <cell r="C641">
            <v>206520</v>
          </cell>
          <cell r="D641">
            <v>0.4</v>
          </cell>
          <cell r="E641">
            <v>103570</v>
          </cell>
          <cell r="F641">
            <v>0.2</v>
          </cell>
          <cell r="G641">
            <v>99130</v>
          </cell>
        </row>
        <row r="642">
          <cell r="A642" t="str">
            <v>33-1011</v>
          </cell>
          <cell r="B642" t="str">
            <v>First-Line Supervisors of Correctional Officers</v>
          </cell>
          <cell r="C642">
            <v>53390</v>
          </cell>
          <cell r="D642">
            <v>0.5</v>
          </cell>
          <cell r="E642">
            <v>82260</v>
          </cell>
          <cell r="F642">
            <v>0.2</v>
          </cell>
          <cell r="G642">
            <v>76310</v>
          </cell>
        </row>
        <row r="643">
          <cell r="A643" t="str">
            <v>33-1012</v>
          </cell>
          <cell r="B643" t="str">
            <v>First-Line Supervisors of Police and Detectives</v>
          </cell>
          <cell r="C643">
            <v>153130</v>
          </cell>
          <cell r="D643">
            <v>0.5</v>
          </cell>
          <cell r="E643">
            <v>110990</v>
          </cell>
          <cell r="F643">
            <v>0.2</v>
          </cell>
          <cell r="G643">
            <v>105980</v>
          </cell>
        </row>
        <row r="644">
          <cell r="A644" t="str">
            <v>33-1020</v>
          </cell>
          <cell r="B644" t="str">
            <v>First-Line Supervisors of Firefighting and Prevention Workers</v>
          </cell>
          <cell r="C644">
            <v>93680</v>
          </cell>
          <cell r="D644">
            <v>0.9</v>
          </cell>
          <cell r="E644">
            <v>97030</v>
          </cell>
          <cell r="F644">
            <v>0.4</v>
          </cell>
          <cell r="G644">
            <v>92430</v>
          </cell>
        </row>
        <row r="645">
          <cell r="A645" t="str">
            <v>33-1021</v>
          </cell>
          <cell r="B645" t="str">
            <v>First-Line Supervisors of Firefighting and Prevention Workers</v>
          </cell>
          <cell r="C645">
            <v>93680</v>
          </cell>
          <cell r="D645">
            <v>0.9</v>
          </cell>
          <cell r="E645">
            <v>97030</v>
          </cell>
          <cell r="F645">
            <v>0.4</v>
          </cell>
          <cell r="G645">
            <v>92430</v>
          </cell>
        </row>
        <row r="646">
          <cell r="A646" t="str">
            <v>33-1090</v>
          </cell>
          <cell r="B646" t="str">
            <v>Miscellaneous First-Line Supervisors, Protective Service Workers</v>
          </cell>
          <cell r="C646">
            <v>90770</v>
          </cell>
          <cell r="D646">
            <v>1</v>
          </cell>
          <cell r="E646">
            <v>65320</v>
          </cell>
          <cell r="F646">
            <v>0.5</v>
          </cell>
          <cell r="G646">
            <v>60190</v>
          </cell>
        </row>
        <row r="647">
          <cell r="A647" t="str">
            <v>33-1091</v>
          </cell>
          <cell r="B647" t="str">
            <v>First-Line Supervisors of Security Workers</v>
          </cell>
          <cell r="C647">
            <v>70310</v>
          </cell>
          <cell r="D647">
            <v>1.3</v>
          </cell>
          <cell r="E647">
            <v>62990</v>
          </cell>
          <cell r="F647">
            <v>0.6</v>
          </cell>
          <cell r="G647">
            <v>58610</v>
          </cell>
        </row>
        <row r="648">
          <cell r="A648" t="str">
            <v>33-1099</v>
          </cell>
          <cell r="B648" t="str">
            <v>First-Line Supervisors of Protective Service Workers, All Other</v>
          </cell>
          <cell r="C648">
            <v>20460</v>
          </cell>
          <cell r="D648">
            <v>1.9</v>
          </cell>
          <cell r="E648">
            <v>73320</v>
          </cell>
          <cell r="F648">
            <v>0.9</v>
          </cell>
          <cell r="G648">
            <v>74960</v>
          </cell>
        </row>
        <row r="649">
          <cell r="A649" t="str">
            <v>33-2000</v>
          </cell>
          <cell r="B649" t="str">
            <v>Firefighting and Prevention Workers</v>
          </cell>
          <cell r="C649">
            <v>349070</v>
          </cell>
          <cell r="D649">
            <v>1.1000000000000001</v>
          </cell>
          <cell r="E649">
            <v>64820</v>
          </cell>
          <cell r="F649">
            <v>0.5</v>
          </cell>
          <cell r="G649">
            <v>59870</v>
          </cell>
        </row>
        <row r="650">
          <cell r="A650" t="str">
            <v>33-2010</v>
          </cell>
          <cell r="B650" t="str">
            <v>Firefighters</v>
          </cell>
          <cell r="C650">
            <v>332240</v>
          </cell>
          <cell r="D650">
            <v>1.1000000000000001</v>
          </cell>
          <cell r="E650">
            <v>63890</v>
          </cell>
          <cell r="F650">
            <v>0.5</v>
          </cell>
          <cell r="G650">
            <v>59530</v>
          </cell>
        </row>
        <row r="651">
          <cell r="A651" t="str">
            <v>33-2011</v>
          </cell>
          <cell r="B651" t="str">
            <v>Firefighters</v>
          </cell>
          <cell r="C651">
            <v>332240</v>
          </cell>
          <cell r="D651">
            <v>1.1000000000000001</v>
          </cell>
          <cell r="E651">
            <v>63890</v>
          </cell>
          <cell r="F651">
            <v>0.5</v>
          </cell>
          <cell r="G651">
            <v>59530</v>
          </cell>
        </row>
        <row r="652">
          <cell r="A652" t="str">
            <v>33-2020</v>
          </cell>
          <cell r="B652" t="str">
            <v>Fire Inspectors</v>
          </cell>
          <cell r="C652">
            <v>16830</v>
          </cell>
          <cell r="D652">
            <v>2.9</v>
          </cell>
          <cell r="E652">
            <v>83210</v>
          </cell>
          <cell r="F652">
            <v>1.4</v>
          </cell>
          <cell r="G652">
            <v>75480</v>
          </cell>
        </row>
        <row r="653">
          <cell r="A653" t="str">
            <v>33-2021</v>
          </cell>
          <cell r="B653" t="str">
            <v>Fire Inspectors and Investigators</v>
          </cell>
          <cell r="C653">
            <v>14050</v>
          </cell>
          <cell r="D653">
            <v>2.2999999999999998</v>
          </cell>
          <cell r="E653">
            <v>87440</v>
          </cell>
          <cell r="F653">
            <v>0.9</v>
          </cell>
          <cell r="G653">
            <v>78060</v>
          </cell>
        </row>
        <row r="654">
          <cell r="A654" t="str">
            <v>33-2022</v>
          </cell>
          <cell r="B654" t="str">
            <v>Forest Fire Inspectors and Prevention Specialists</v>
          </cell>
          <cell r="C654">
            <v>2780</v>
          </cell>
          <cell r="D654">
            <v>11.7</v>
          </cell>
          <cell r="E654">
            <v>61820</v>
          </cell>
          <cell r="F654">
            <v>4.8</v>
          </cell>
          <cell r="G654">
            <v>52380</v>
          </cell>
        </row>
        <row r="655">
          <cell r="A655" t="str">
            <v>33-3000</v>
          </cell>
          <cell r="B655" t="str">
            <v>Law Enforcement Workers</v>
          </cell>
          <cell r="C655">
            <v>1177270</v>
          </cell>
          <cell r="D655">
            <v>0.3</v>
          </cell>
          <cell r="E655">
            <v>75550</v>
          </cell>
          <cell r="F655">
            <v>0.2</v>
          </cell>
          <cell r="G655">
            <v>70530</v>
          </cell>
        </row>
        <row r="656">
          <cell r="A656" t="str">
            <v>33-3010</v>
          </cell>
          <cell r="B656" t="str">
            <v>Bailiffs, Correctional Officers, and Jailers</v>
          </cell>
          <cell r="C656">
            <v>382300</v>
          </cell>
          <cell r="D656">
            <v>0.4</v>
          </cell>
          <cell r="E656">
            <v>62730</v>
          </cell>
          <cell r="F656">
            <v>0.2</v>
          </cell>
          <cell r="G656">
            <v>57950</v>
          </cell>
        </row>
        <row r="657">
          <cell r="A657" t="str">
            <v>33-3011</v>
          </cell>
          <cell r="B657" t="str">
            <v>Bailiffs</v>
          </cell>
          <cell r="C657">
            <v>16910</v>
          </cell>
          <cell r="D657">
            <v>1.4</v>
          </cell>
          <cell r="E657">
            <v>62180</v>
          </cell>
          <cell r="F657">
            <v>0.4</v>
          </cell>
          <cell r="G657">
            <v>57050</v>
          </cell>
        </row>
        <row r="658">
          <cell r="A658" t="str">
            <v>33-3012</v>
          </cell>
          <cell r="B658" t="str">
            <v>Correctional Officers and Jailers</v>
          </cell>
          <cell r="C658">
            <v>365380</v>
          </cell>
          <cell r="D658">
            <v>0.4</v>
          </cell>
          <cell r="E658">
            <v>62760</v>
          </cell>
          <cell r="F658">
            <v>0.2</v>
          </cell>
          <cell r="G658">
            <v>57970</v>
          </cell>
        </row>
        <row r="659">
          <cell r="A659" t="str">
            <v>33-3020</v>
          </cell>
          <cell r="B659" t="str">
            <v>Detectives and Criminal Investigators</v>
          </cell>
          <cell r="C659">
            <v>110790</v>
          </cell>
          <cell r="D659">
            <v>0.3</v>
          </cell>
          <cell r="E659">
            <v>98770</v>
          </cell>
          <cell r="F659">
            <v>0.1</v>
          </cell>
          <cell r="G659">
            <v>93580</v>
          </cell>
        </row>
        <row r="660">
          <cell r="A660" t="str">
            <v>33-3021</v>
          </cell>
          <cell r="B660" t="str">
            <v>Detectives and Criminal Investigators</v>
          </cell>
          <cell r="C660">
            <v>110790</v>
          </cell>
          <cell r="D660">
            <v>0.3</v>
          </cell>
          <cell r="E660">
            <v>98770</v>
          </cell>
          <cell r="F660">
            <v>0.1</v>
          </cell>
          <cell r="G660">
            <v>93580</v>
          </cell>
        </row>
        <row r="661">
          <cell r="A661" t="str">
            <v>33-3030</v>
          </cell>
          <cell r="B661" t="str">
            <v>Fish and Game Wardens</v>
          </cell>
          <cell r="C661">
            <v>6420</v>
          </cell>
          <cell r="D661">
            <v>0.6</v>
          </cell>
          <cell r="E661">
            <v>67990</v>
          </cell>
          <cell r="F661">
            <v>0.1</v>
          </cell>
          <cell r="G661">
            <v>68180</v>
          </cell>
        </row>
        <row r="662">
          <cell r="A662" t="str">
            <v>33-3031</v>
          </cell>
          <cell r="B662" t="str">
            <v>Fish and Game Wardens</v>
          </cell>
          <cell r="C662">
            <v>6420</v>
          </cell>
          <cell r="D662">
            <v>0.6</v>
          </cell>
          <cell r="E662">
            <v>67990</v>
          </cell>
          <cell r="F662">
            <v>0.1</v>
          </cell>
          <cell r="G662">
            <v>68180</v>
          </cell>
        </row>
        <row r="663">
          <cell r="A663" t="str">
            <v>33-3040</v>
          </cell>
          <cell r="B663" t="str">
            <v>Parking Enforcement Workers</v>
          </cell>
          <cell r="C663">
            <v>7770</v>
          </cell>
          <cell r="D663">
            <v>2.2999999999999998</v>
          </cell>
          <cell r="E663">
            <v>51840</v>
          </cell>
          <cell r="F663">
            <v>0.6</v>
          </cell>
          <cell r="G663">
            <v>47150</v>
          </cell>
        </row>
        <row r="664">
          <cell r="A664" t="str">
            <v>33-3041</v>
          </cell>
          <cell r="B664" t="str">
            <v>Parking Enforcement Workers</v>
          </cell>
          <cell r="C664">
            <v>7770</v>
          </cell>
          <cell r="D664">
            <v>2.2999999999999998</v>
          </cell>
          <cell r="E664">
            <v>51840</v>
          </cell>
          <cell r="F664">
            <v>0.6</v>
          </cell>
          <cell r="G664">
            <v>47150</v>
          </cell>
        </row>
        <row r="665">
          <cell r="A665" t="str">
            <v>33-3050</v>
          </cell>
          <cell r="B665" t="str">
            <v>Police Officers</v>
          </cell>
          <cell r="C665">
            <v>669990</v>
          </cell>
          <cell r="D665">
            <v>0.4</v>
          </cell>
          <cell r="E665">
            <v>79380</v>
          </cell>
          <cell r="F665">
            <v>0.2</v>
          </cell>
          <cell r="G665">
            <v>76300</v>
          </cell>
        </row>
        <row r="666">
          <cell r="A666" t="str">
            <v>33-3051</v>
          </cell>
          <cell r="B666" t="str">
            <v>Police and Sheriff's Patrol Officers</v>
          </cell>
          <cell r="C666">
            <v>666990</v>
          </cell>
          <cell r="D666">
            <v>0.4</v>
          </cell>
          <cell r="E666">
            <v>79320</v>
          </cell>
          <cell r="F666">
            <v>0.2</v>
          </cell>
          <cell r="G666">
            <v>76290</v>
          </cell>
        </row>
        <row r="667">
          <cell r="A667" t="str">
            <v>33-3052</v>
          </cell>
          <cell r="B667" t="str">
            <v>Transit and Railroad Police</v>
          </cell>
          <cell r="C667">
            <v>3000</v>
          </cell>
          <cell r="D667">
            <v>2</v>
          </cell>
          <cell r="E667">
            <v>91820</v>
          </cell>
          <cell r="F667">
            <v>0.9</v>
          </cell>
          <cell r="G667">
            <v>82320</v>
          </cell>
        </row>
        <row r="668">
          <cell r="A668" t="str">
            <v>33-9000</v>
          </cell>
          <cell r="B668" t="str">
            <v>Other Protective Service Workers</v>
          </cell>
          <cell r="C668">
            <v>1737600</v>
          </cell>
          <cell r="D668">
            <v>0.4</v>
          </cell>
          <cell r="E668">
            <v>43140</v>
          </cell>
          <cell r="F668">
            <v>0.3</v>
          </cell>
          <cell r="G668">
            <v>38230</v>
          </cell>
        </row>
        <row r="669">
          <cell r="A669" t="str">
            <v>33-9010</v>
          </cell>
          <cell r="B669" t="str">
            <v>Animal Control Workers</v>
          </cell>
          <cell r="C669">
            <v>11790</v>
          </cell>
          <cell r="D669">
            <v>2.2000000000000002</v>
          </cell>
          <cell r="E669">
            <v>49240</v>
          </cell>
          <cell r="F669">
            <v>0.7</v>
          </cell>
          <cell r="G669">
            <v>45830</v>
          </cell>
        </row>
        <row r="670">
          <cell r="A670" t="str">
            <v>33-9011</v>
          </cell>
          <cell r="B670" t="str">
            <v>Animal Control Workers</v>
          </cell>
          <cell r="C670">
            <v>11790</v>
          </cell>
          <cell r="D670">
            <v>2.2000000000000002</v>
          </cell>
          <cell r="E670">
            <v>49240</v>
          </cell>
          <cell r="F670">
            <v>0.7</v>
          </cell>
          <cell r="G670">
            <v>45830</v>
          </cell>
        </row>
        <row r="671">
          <cell r="A671" t="str">
            <v>33-9020</v>
          </cell>
          <cell r="B671" t="str">
            <v>Private Detectives and Investigators</v>
          </cell>
          <cell r="C671">
            <v>38700</v>
          </cell>
          <cell r="D671">
            <v>2.4</v>
          </cell>
          <cell r="E671">
            <v>61680</v>
          </cell>
          <cell r="F671">
            <v>1</v>
          </cell>
          <cell r="G671">
            <v>52370</v>
          </cell>
        </row>
        <row r="672">
          <cell r="A672" t="str">
            <v>33-9021</v>
          </cell>
          <cell r="B672" t="str">
            <v>Private Detectives and Investigators</v>
          </cell>
          <cell r="C672">
            <v>38700</v>
          </cell>
          <cell r="D672">
            <v>2.4</v>
          </cell>
          <cell r="E672">
            <v>61680</v>
          </cell>
          <cell r="F672">
            <v>1</v>
          </cell>
          <cell r="G672">
            <v>52370</v>
          </cell>
        </row>
        <row r="673">
          <cell r="A673" t="str">
            <v>33-9030</v>
          </cell>
          <cell r="B673" t="str">
            <v>Security Guards and Gambling Surveillance Officers</v>
          </cell>
          <cell r="C673">
            <v>1251760</v>
          </cell>
          <cell r="D673">
            <v>0.5</v>
          </cell>
          <cell r="E673">
            <v>42920</v>
          </cell>
          <cell r="F673">
            <v>0.4</v>
          </cell>
          <cell r="G673">
            <v>38390</v>
          </cell>
        </row>
        <row r="674">
          <cell r="A674" t="str">
            <v>33-9031</v>
          </cell>
          <cell r="B674" t="str">
            <v>Gambling Surveillance Officers and Gambling Investigators</v>
          </cell>
          <cell r="C674">
            <v>10000</v>
          </cell>
          <cell r="D674">
            <v>2.1</v>
          </cell>
          <cell r="E674">
            <v>46710</v>
          </cell>
          <cell r="F674">
            <v>0.5</v>
          </cell>
          <cell r="G674">
            <v>43900</v>
          </cell>
        </row>
        <row r="675">
          <cell r="A675" t="str">
            <v>33-9032</v>
          </cell>
          <cell r="B675" t="str">
            <v>Security Guards</v>
          </cell>
          <cell r="C675">
            <v>1241770</v>
          </cell>
          <cell r="D675">
            <v>0.5</v>
          </cell>
          <cell r="E675">
            <v>42890</v>
          </cell>
          <cell r="F675">
            <v>0.4</v>
          </cell>
          <cell r="G675">
            <v>38370</v>
          </cell>
        </row>
        <row r="676">
          <cell r="A676" t="str">
            <v>33-9090</v>
          </cell>
          <cell r="B676" t="str">
            <v>Miscellaneous Protective Service Workers</v>
          </cell>
          <cell r="C676">
            <v>435360</v>
          </cell>
          <cell r="D676">
            <v>1</v>
          </cell>
          <cell r="E676">
            <v>41960</v>
          </cell>
          <cell r="F676">
            <v>0.5</v>
          </cell>
          <cell r="G676">
            <v>37120</v>
          </cell>
        </row>
        <row r="677">
          <cell r="A677" t="str">
            <v>33-9091</v>
          </cell>
          <cell r="B677" t="str">
            <v>Crossing Guards and Flaggers</v>
          </cell>
          <cell r="C677">
            <v>90180</v>
          </cell>
          <cell r="D677">
            <v>2.4</v>
          </cell>
          <cell r="E677">
            <v>42910</v>
          </cell>
          <cell r="F677">
            <v>1</v>
          </cell>
          <cell r="G677">
            <v>37700</v>
          </cell>
        </row>
        <row r="678">
          <cell r="A678" t="str">
            <v>33-9092</v>
          </cell>
          <cell r="B678" t="str">
            <v>Lifeguards, Ski Patrol, and Other Recreational Protective Service Workers</v>
          </cell>
          <cell r="C678">
            <v>143590</v>
          </cell>
          <cell r="D678">
            <v>2</v>
          </cell>
          <cell r="E678">
            <v>34700</v>
          </cell>
          <cell r="F678">
            <v>0.5</v>
          </cell>
          <cell r="G678">
            <v>33720</v>
          </cell>
        </row>
        <row r="679">
          <cell r="A679" t="str">
            <v>33-9093</v>
          </cell>
          <cell r="B679" t="str">
            <v>Transportation Security Screeners</v>
          </cell>
          <cell r="C679">
            <v>46340</v>
          </cell>
          <cell r="D679">
            <v>0.8</v>
          </cell>
          <cell r="E679">
            <v>61840</v>
          </cell>
          <cell r="F679">
            <v>0.3</v>
          </cell>
          <cell r="G679">
            <v>63360</v>
          </cell>
        </row>
        <row r="680">
          <cell r="A680" t="str">
            <v>33-9094</v>
          </cell>
          <cell r="B680" t="str">
            <v>School Bus Monitors</v>
          </cell>
          <cell r="C680">
            <v>72140</v>
          </cell>
          <cell r="D680">
            <v>1.9</v>
          </cell>
          <cell r="E680">
            <v>35270</v>
          </cell>
          <cell r="F680">
            <v>0.5</v>
          </cell>
          <cell r="G680">
            <v>34980</v>
          </cell>
        </row>
        <row r="681">
          <cell r="A681" t="str">
            <v>33-9099</v>
          </cell>
          <cell r="B681" t="str">
            <v>Protective Service Workers, All Other</v>
          </cell>
          <cell r="C681">
            <v>83110</v>
          </cell>
          <cell r="D681">
            <v>2.6</v>
          </cell>
          <cell r="E681">
            <v>48210</v>
          </cell>
          <cell r="F681">
            <v>1.5</v>
          </cell>
          <cell r="G681">
            <v>41600</v>
          </cell>
        </row>
        <row r="682">
          <cell r="A682" t="str">
            <v>35-0000</v>
          </cell>
          <cell r="B682" t="str">
            <v>Food Preparation and Serving Related Occupations</v>
          </cell>
          <cell r="C682">
            <v>13613490</v>
          </cell>
          <cell r="D682">
            <v>0.2</v>
          </cell>
          <cell r="E682">
            <v>36020</v>
          </cell>
          <cell r="F682">
            <v>0.4</v>
          </cell>
          <cell r="G682">
            <v>34130</v>
          </cell>
        </row>
        <row r="683">
          <cell r="A683" t="str">
            <v>35-1000</v>
          </cell>
          <cell r="B683" t="str">
            <v>Supervisors of Food Preparation and Serving Workers</v>
          </cell>
          <cell r="C683">
            <v>1369780</v>
          </cell>
          <cell r="D683">
            <v>0.7</v>
          </cell>
          <cell r="E683">
            <v>47540</v>
          </cell>
          <cell r="F683">
            <v>0.5</v>
          </cell>
          <cell r="G683">
            <v>44140</v>
          </cell>
        </row>
        <row r="684">
          <cell r="A684" t="str">
            <v>35-1010</v>
          </cell>
          <cell r="B684" t="str">
            <v>Supervisors of Food Preparation and Serving Workers</v>
          </cell>
          <cell r="C684">
            <v>1369780</v>
          </cell>
          <cell r="D684">
            <v>0.7</v>
          </cell>
          <cell r="E684">
            <v>47540</v>
          </cell>
          <cell r="F684">
            <v>0.5</v>
          </cell>
          <cell r="G684">
            <v>44140</v>
          </cell>
        </row>
        <row r="685">
          <cell r="A685" t="str">
            <v>35-1011</v>
          </cell>
          <cell r="B685" t="str">
            <v>Chefs and Head Cooks</v>
          </cell>
          <cell r="C685">
            <v>182320</v>
          </cell>
          <cell r="D685">
            <v>2.6</v>
          </cell>
          <cell r="E685">
            <v>64720</v>
          </cell>
          <cell r="F685">
            <v>1</v>
          </cell>
          <cell r="G685">
            <v>60990</v>
          </cell>
        </row>
        <row r="686">
          <cell r="A686" t="str">
            <v>35-1012</v>
          </cell>
          <cell r="B686" t="str">
            <v>First-Line Supervisors of Food Preparation and Serving Workers</v>
          </cell>
          <cell r="C686">
            <v>1187460</v>
          </cell>
          <cell r="D686">
            <v>0.8</v>
          </cell>
          <cell r="E686">
            <v>44900</v>
          </cell>
          <cell r="F686">
            <v>0.5</v>
          </cell>
          <cell r="G686">
            <v>42010</v>
          </cell>
        </row>
        <row r="687">
          <cell r="A687" t="str">
            <v>35-2000</v>
          </cell>
          <cell r="B687" t="str">
            <v>Cooks and Food Preparation Workers</v>
          </cell>
          <cell r="C687">
            <v>3632290</v>
          </cell>
          <cell r="D687">
            <v>0.6</v>
          </cell>
          <cell r="E687">
            <v>35460</v>
          </cell>
          <cell r="F687">
            <v>0.4</v>
          </cell>
          <cell r="G687">
            <v>35450</v>
          </cell>
        </row>
        <row r="688">
          <cell r="A688" t="str">
            <v>35-2010</v>
          </cell>
          <cell r="B688" t="str">
            <v>Cooks</v>
          </cell>
          <cell r="C688">
            <v>2743520</v>
          </cell>
          <cell r="D688">
            <v>0.8</v>
          </cell>
          <cell r="E688">
            <v>35950</v>
          </cell>
          <cell r="F688">
            <v>0.4</v>
          </cell>
          <cell r="G688">
            <v>35760</v>
          </cell>
        </row>
        <row r="689">
          <cell r="A689" t="str">
            <v>35-2011</v>
          </cell>
          <cell r="B689" t="str">
            <v>Cooks, Fast Food</v>
          </cell>
          <cell r="C689">
            <v>668230</v>
          </cell>
          <cell r="D689">
            <v>2.7</v>
          </cell>
          <cell r="E689">
            <v>31140</v>
          </cell>
          <cell r="F689">
            <v>0.6</v>
          </cell>
          <cell r="G689">
            <v>30160</v>
          </cell>
        </row>
        <row r="690">
          <cell r="A690" t="str">
            <v>35-2012</v>
          </cell>
          <cell r="B690" t="str">
            <v>Cooks, Institution and Cafeteria</v>
          </cell>
          <cell r="C690">
            <v>448260</v>
          </cell>
          <cell r="D690">
            <v>0.7</v>
          </cell>
          <cell r="E690">
            <v>37310</v>
          </cell>
          <cell r="F690">
            <v>0.4</v>
          </cell>
          <cell r="G690">
            <v>36450</v>
          </cell>
        </row>
        <row r="691">
          <cell r="A691" t="str">
            <v>35-2013</v>
          </cell>
          <cell r="B691" t="str">
            <v>Cooks, Private Household</v>
          </cell>
          <cell r="C691">
            <v>900</v>
          </cell>
          <cell r="D691">
            <v>32.700000000000003</v>
          </cell>
          <cell r="E691">
            <v>51290</v>
          </cell>
          <cell r="F691">
            <v>6.3</v>
          </cell>
          <cell r="G691">
            <v>44530</v>
          </cell>
        </row>
        <row r="692">
          <cell r="A692" t="str">
            <v>35-2014</v>
          </cell>
          <cell r="B692" t="str">
            <v>Cooks, Restaurant</v>
          </cell>
          <cell r="C692">
            <v>1452130</v>
          </cell>
          <cell r="D692">
            <v>1</v>
          </cell>
          <cell r="E692">
            <v>37730</v>
          </cell>
          <cell r="F692">
            <v>0.4</v>
          </cell>
          <cell r="G692">
            <v>36830</v>
          </cell>
        </row>
        <row r="693">
          <cell r="A693" t="str">
            <v>35-2015</v>
          </cell>
          <cell r="B693" t="str">
            <v>Cooks, Short Order</v>
          </cell>
          <cell r="C693">
            <v>150420</v>
          </cell>
          <cell r="D693">
            <v>6</v>
          </cell>
          <cell r="E693">
            <v>35660</v>
          </cell>
          <cell r="F693">
            <v>1.5</v>
          </cell>
          <cell r="G693">
            <v>35620</v>
          </cell>
        </row>
        <row r="694">
          <cell r="A694" t="str">
            <v>35-2019</v>
          </cell>
          <cell r="B694" t="str">
            <v>Cooks, All Other</v>
          </cell>
          <cell r="C694">
            <v>23590</v>
          </cell>
          <cell r="D694">
            <v>7.4</v>
          </cell>
          <cell r="E694">
            <v>38000</v>
          </cell>
          <cell r="F694">
            <v>2.4</v>
          </cell>
          <cell r="G694">
            <v>36210</v>
          </cell>
        </row>
        <row r="695">
          <cell r="A695" t="str">
            <v>35-2020</v>
          </cell>
          <cell r="B695" t="str">
            <v>Food Preparation Workers</v>
          </cell>
          <cell r="C695">
            <v>888770</v>
          </cell>
          <cell r="D695">
            <v>1.5</v>
          </cell>
          <cell r="E695">
            <v>33940</v>
          </cell>
          <cell r="F695">
            <v>0.5</v>
          </cell>
          <cell r="G695">
            <v>34220</v>
          </cell>
        </row>
        <row r="696">
          <cell r="A696" t="str">
            <v>35-2021</v>
          </cell>
          <cell r="B696" t="str">
            <v>Food Preparation Workers</v>
          </cell>
          <cell r="C696">
            <v>888770</v>
          </cell>
          <cell r="D696">
            <v>1.5</v>
          </cell>
          <cell r="E696">
            <v>33940</v>
          </cell>
          <cell r="F696">
            <v>0.5</v>
          </cell>
          <cell r="G696">
            <v>34220</v>
          </cell>
        </row>
        <row r="697">
          <cell r="A697" t="str">
            <v>35-3000</v>
          </cell>
          <cell r="B697" t="str">
            <v>Food and Beverage Serving Workers</v>
          </cell>
          <cell r="C697">
            <v>7101010</v>
          </cell>
          <cell r="D697">
            <v>0.4</v>
          </cell>
          <cell r="E697">
            <v>34650</v>
          </cell>
          <cell r="F697">
            <v>0.4</v>
          </cell>
          <cell r="G697">
            <v>31470</v>
          </cell>
        </row>
        <row r="698">
          <cell r="A698" t="str">
            <v>35-3010</v>
          </cell>
          <cell r="B698" t="str">
            <v>Bartenders</v>
          </cell>
          <cell r="C698">
            <v>745610</v>
          </cell>
          <cell r="D698">
            <v>1.2</v>
          </cell>
          <cell r="E698">
            <v>39880</v>
          </cell>
          <cell r="F698">
            <v>0.8</v>
          </cell>
          <cell r="G698">
            <v>33530</v>
          </cell>
        </row>
        <row r="699">
          <cell r="A699" t="str">
            <v>35-3011</v>
          </cell>
          <cell r="B699" t="str">
            <v>Bartenders</v>
          </cell>
          <cell r="C699">
            <v>745610</v>
          </cell>
          <cell r="D699">
            <v>1.2</v>
          </cell>
          <cell r="E699">
            <v>39880</v>
          </cell>
          <cell r="F699">
            <v>0.8</v>
          </cell>
          <cell r="G699">
            <v>33530</v>
          </cell>
        </row>
        <row r="700">
          <cell r="A700" t="str">
            <v>35-3020</v>
          </cell>
          <cell r="B700" t="str">
            <v>Fast Food and Counter Workers</v>
          </cell>
          <cell r="C700">
            <v>3780930</v>
          </cell>
          <cell r="D700">
            <v>0.7</v>
          </cell>
          <cell r="E700">
            <v>31350</v>
          </cell>
          <cell r="F700">
            <v>0.4</v>
          </cell>
          <cell r="G700">
            <v>30480</v>
          </cell>
        </row>
        <row r="701">
          <cell r="A701" t="str">
            <v>35-3023</v>
          </cell>
          <cell r="B701" t="str">
            <v>Fast Food and Counter Workers</v>
          </cell>
          <cell r="C701">
            <v>3780930</v>
          </cell>
          <cell r="D701">
            <v>0.7</v>
          </cell>
          <cell r="E701">
            <v>31350</v>
          </cell>
          <cell r="F701">
            <v>0.4</v>
          </cell>
          <cell r="G701">
            <v>30480</v>
          </cell>
        </row>
        <row r="702">
          <cell r="A702" t="str">
            <v>35-3030</v>
          </cell>
          <cell r="B702" t="str">
            <v>Waiters and Waitresses</v>
          </cell>
          <cell r="C702">
            <v>2302690</v>
          </cell>
          <cell r="D702">
            <v>0.8</v>
          </cell>
          <cell r="E702">
            <v>38360</v>
          </cell>
          <cell r="F702">
            <v>0.7</v>
          </cell>
          <cell r="G702">
            <v>33760</v>
          </cell>
        </row>
        <row r="703">
          <cell r="A703" t="str">
            <v>35-3031</v>
          </cell>
          <cell r="B703" t="str">
            <v>Waiters and Waitresses</v>
          </cell>
          <cell r="C703">
            <v>2302690</v>
          </cell>
          <cell r="D703">
            <v>0.8</v>
          </cell>
          <cell r="E703">
            <v>38360</v>
          </cell>
          <cell r="F703">
            <v>0.7</v>
          </cell>
          <cell r="G703">
            <v>33760</v>
          </cell>
        </row>
        <row r="704">
          <cell r="A704" t="str">
            <v>35-3040</v>
          </cell>
          <cell r="B704" t="str">
            <v>Food Servers, Nonrestaurant</v>
          </cell>
          <cell r="C704">
            <v>271780</v>
          </cell>
          <cell r="D704">
            <v>1.3</v>
          </cell>
          <cell r="E704">
            <v>35030</v>
          </cell>
          <cell r="F704">
            <v>0.5</v>
          </cell>
          <cell r="G704">
            <v>34460</v>
          </cell>
        </row>
        <row r="705">
          <cell r="A705" t="str">
            <v>35-3041</v>
          </cell>
          <cell r="B705" t="str">
            <v>Food Servers, Nonrestaurant</v>
          </cell>
          <cell r="C705">
            <v>271780</v>
          </cell>
          <cell r="D705">
            <v>1.3</v>
          </cell>
          <cell r="E705">
            <v>35030</v>
          </cell>
          <cell r="F705">
            <v>0.5</v>
          </cell>
          <cell r="G705">
            <v>34460</v>
          </cell>
        </row>
        <row r="706">
          <cell r="A706" t="str">
            <v>35-9000</v>
          </cell>
          <cell r="B706" t="str">
            <v>Other Food Preparation and Serving Related Workers</v>
          </cell>
          <cell r="C706">
            <v>1510410</v>
          </cell>
          <cell r="D706">
            <v>0.8</v>
          </cell>
          <cell r="E706">
            <v>33380</v>
          </cell>
          <cell r="F706">
            <v>0.4</v>
          </cell>
          <cell r="G706">
            <v>32680</v>
          </cell>
        </row>
        <row r="707">
          <cell r="A707" t="str">
            <v>35-9010</v>
          </cell>
          <cell r="B707" t="str">
            <v>Dining Room and Cafeteria Attendants and Bartender Helpers</v>
          </cell>
          <cell r="C707">
            <v>522010</v>
          </cell>
          <cell r="D707">
            <v>1.6</v>
          </cell>
          <cell r="E707">
            <v>34190</v>
          </cell>
          <cell r="F707">
            <v>0.7</v>
          </cell>
          <cell r="G707">
            <v>32670</v>
          </cell>
        </row>
        <row r="708">
          <cell r="A708" t="str">
            <v>35-9011</v>
          </cell>
          <cell r="B708" t="str">
            <v>Dining Room and Cafeteria Attendants and Bartender Helpers</v>
          </cell>
          <cell r="C708">
            <v>522010</v>
          </cell>
          <cell r="D708">
            <v>1.6</v>
          </cell>
          <cell r="E708">
            <v>34190</v>
          </cell>
          <cell r="F708">
            <v>0.7</v>
          </cell>
          <cell r="G708">
            <v>32670</v>
          </cell>
        </row>
        <row r="709">
          <cell r="A709" t="str">
            <v>35-9020</v>
          </cell>
          <cell r="B709" t="str">
            <v>Dishwashers</v>
          </cell>
          <cell r="C709">
            <v>471670</v>
          </cell>
          <cell r="D709">
            <v>1.5</v>
          </cell>
          <cell r="E709">
            <v>33220</v>
          </cell>
          <cell r="F709">
            <v>0.4</v>
          </cell>
          <cell r="G709">
            <v>33670</v>
          </cell>
        </row>
        <row r="710">
          <cell r="A710" t="str">
            <v>35-9021</v>
          </cell>
          <cell r="B710" t="str">
            <v>Dishwashers</v>
          </cell>
          <cell r="C710">
            <v>471670</v>
          </cell>
          <cell r="D710">
            <v>1.5</v>
          </cell>
          <cell r="E710">
            <v>33220</v>
          </cell>
          <cell r="F710">
            <v>0.4</v>
          </cell>
          <cell r="G710">
            <v>33670</v>
          </cell>
        </row>
        <row r="711">
          <cell r="A711" t="str">
            <v>35-9030</v>
          </cell>
          <cell r="B711" t="str">
            <v>Hosts and Hostesses, Restaurant, Lounge, and Coffee Shop</v>
          </cell>
          <cell r="C711">
            <v>427150</v>
          </cell>
          <cell r="D711">
            <v>1.5</v>
          </cell>
          <cell r="E711">
            <v>32030</v>
          </cell>
          <cell r="F711">
            <v>0.7</v>
          </cell>
          <cell r="G711">
            <v>30380</v>
          </cell>
        </row>
        <row r="712">
          <cell r="A712" t="str">
            <v>35-9031</v>
          </cell>
          <cell r="B712" t="str">
            <v>Hosts and Hostesses, Restaurant, Lounge, and Coffee Shop</v>
          </cell>
          <cell r="C712">
            <v>427150</v>
          </cell>
          <cell r="D712">
            <v>1.5</v>
          </cell>
          <cell r="E712">
            <v>32030</v>
          </cell>
          <cell r="F712">
            <v>0.7</v>
          </cell>
          <cell r="G712">
            <v>30380</v>
          </cell>
        </row>
        <row r="713">
          <cell r="A713" t="str">
            <v>35-9090</v>
          </cell>
          <cell r="B713" t="str">
            <v>Miscellaneous Food Preparation and Serving Related Workers</v>
          </cell>
          <cell r="C713">
            <v>89580</v>
          </cell>
          <cell r="D713">
            <v>5.2</v>
          </cell>
          <cell r="E713">
            <v>35990</v>
          </cell>
          <cell r="F713">
            <v>1.5</v>
          </cell>
          <cell r="G713">
            <v>34830</v>
          </cell>
        </row>
        <row r="714">
          <cell r="A714" t="str">
            <v>35-9099</v>
          </cell>
          <cell r="B714" t="str">
            <v>Food Preparation and Serving Related Workers, All Other</v>
          </cell>
          <cell r="C714">
            <v>89580</v>
          </cell>
          <cell r="D714">
            <v>5.2</v>
          </cell>
          <cell r="E714">
            <v>35990</v>
          </cell>
          <cell r="F714">
            <v>1.5</v>
          </cell>
          <cell r="G714">
            <v>34830</v>
          </cell>
        </row>
        <row r="715">
          <cell r="A715" t="str">
            <v>37-0000</v>
          </cell>
          <cell r="B715" t="str">
            <v>Building and Grounds Cleaning and Maintenance Occupations</v>
          </cell>
          <cell r="C715">
            <v>4496150</v>
          </cell>
          <cell r="D715">
            <v>0.2</v>
          </cell>
          <cell r="E715">
            <v>39540</v>
          </cell>
          <cell r="F715">
            <v>0.2</v>
          </cell>
          <cell r="G715">
            <v>36790</v>
          </cell>
        </row>
        <row r="716">
          <cell r="A716" t="str">
            <v>37-1000</v>
          </cell>
          <cell r="B716" t="str">
            <v>Supervisors of Building and Grounds Cleaning and Maintenance Workers</v>
          </cell>
          <cell r="C716">
            <v>298790</v>
          </cell>
          <cell r="D716">
            <v>1.4</v>
          </cell>
          <cell r="E716">
            <v>54580</v>
          </cell>
          <cell r="F716">
            <v>0.5</v>
          </cell>
          <cell r="G716">
            <v>49990</v>
          </cell>
        </row>
        <row r="717">
          <cell r="A717" t="str">
            <v>37-1010</v>
          </cell>
          <cell r="B717" t="str">
            <v>First-Line Supervisors of Building and Grounds Cleaning and Maintenance Workers</v>
          </cell>
          <cell r="C717">
            <v>298790</v>
          </cell>
          <cell r="D717">
            <v>1.4</v>
          </cell>
          <cell r="E717">
            <v>54580</v>
          </cell>
          <cell r="F717">
            <v>0.5</v>
          </cell>
          <cell r="G717">
            <v>49990</v>
          </cell>
        </row>
        <row r="718">
          <cell r="A718" t="str">
            <v>37-1011</v>
          </cell>
          <cell r="B718" t="str">
            <v>First-Line Supervisors of Housekeeping and Janitorial Workers</v>
          </cell>
          <cell r="C718">
            <v>174660</v>
          </cell>
          <cell r="D718">
            <v>1.4</v>
          </cell>
          <cell r="E718">
            <v>51170</v>
          </cell>
          <cell r="F718">
            <v>0.5</v>
          </cell>
          <cell r="G718">
            <v>47520</v>
          </cell>
        </row>
        <row r="719">
          <cell r="A719" t="str">
            <v>37-1012</v>
          </cell>
          <cell r="B719" t="str">
            <v>First-Line Supervisors of Landscaping, Lawn Service, and Groundskeeping Workers</v>
          </cell>
          <cell r="C719">
            <v>124130</v>
          </cell>
          <cell r="D719">
            <v>2.1</v>
          </cell>
          <cell r="E719">
            <v>59380</v>
          </cell>
          <cell r="F719">
            <v>0.7</v>
          </cell>
          <cell r="G719">
            <v>56170</v>
          </cell>
        </row>
        <row r="720">
          <cell r="A720" t="str">
            <v>37-2000</v>
          </cell>
          <cell r="B720" t="str">
            <v>Building Cleaning and Pest Control Workers</v>
          </cell>
          <cell r="C720">
            <v>3167290</v>
          </cell>
          <cell r="D720">
            <v>0.3</v>
          </cell>
          <cell r="E720">
            <v>37400</v>
          </cell>
          <cell r="F720">
            <v>0.2</v>
          </cell>
          <cell r="G720">
            <v>35750</v>
          </cell>
        </row>
        <row r="721">
          <cell r="A721" t="str">
            <v>37-2010</v>
          </cell>
          <cell r="B721" t="str">
            <v>Building Cleaning Workers</v>
          </cell>
          <cell r="C721">
            <v>3071180</v>
          </cell>
          <cell r="D721">
            <v>0.3</v>
          </cell>
          <cell r="E721">
            <v>37140</v>
          </cell>
          <cell r="F721">
            <v>0.2</v>
          </cell>
          <cell r="G721">
            <v>35630</v>
          </cell>
        </row>
        <row r="722">
          <cell r="A722" t="str">
            <v>37-2011</v>
          </cell>
          <cell r="B722" t="str">
            <v>Janitors and Cleaners, Except Maids and Housekeeping Cleaners</v>
          </cell>
          <cell r="C722">
            <v>2199900</v>
          </cell>
          <cell r="D722">
            <v>0.4</v>
          </cell>
          <cell r="E722">
            <v>37460</v>
          </cell>
          <cell r="F722">
            <v>0.3</v>
          </cell>
          <cell r="G722">
            <v>35930</v>
          </cell>
        </row>
        <row r="723">
          <cell r="A723" t="str">
            <v>37-2012</v>
          </cell>
          <cell r="B723" t="str">
            <v>Maids and Housekeeping Cleaners</v>
          </cell>
          <cell r="C723">
            <v>854910</v>
          </cell>
          <cell r="D723">
            <v>0.7</v>
          </cell>
          <cell r="E723">
            <v>36180</v>
          </cell>
          <cell r="F723">
            <v>0.3</v>
          </cell>
          <cell r="G723">
            <v>34660</v>
          </cell>
        </row>
        <row r="724">
          <cell r="A724" t="str">
            <v>37-2019</v>
          </cell>
          <cell r="B724" t="str">
            <v>Building Cleaning Workers, All Other</v>
          </cell>
          <cell r="C724">
            <v>16370</v>
          </cell>
          <cell r="D724">
            <v>7.9</v>
          </cell>
          <cell r="E724">
            <v>44150</v>
          </cell>
          <cell r="F724">
            <v>2.8</v>
          </cell>
          <cell r="G724">
            <v>42360</v>
          </cell>
        </row>
        <row r="725">
          <cell r="A725" t="str">
            <v>37-2020</v>
          </cell>
          <cell r="B725" t="str">
            <v>Pest Control Workers</v>
          </cell>
          <cell r="C725">
            <v>96110</v>
          </cell>
          <cell r="D725">
            <v>1</v>
          </cell>
          <cell r="E725">
            <v>45800</v>
          </cell>
          <cell r="F725">
            <v>0.6</v>
          </cell>
          <cell r="G725">
            <v>44730</v>
          </cell>
        </row>
        <row r="726">
          <cell r="A726" t="str">
            <v>37-2021</v>
          </cell>
          <cell r="B726" t="str">
            <v>Pest Control Workers</v>
          </cell>
          <cell r="C726">
            <v>96110</v>
          </cell>
          <cell r="D726">
            <v>1</v>
          </cell>
          <cell r="E726">
            <v>45800</v>
          </cell>
          <cell r="F726">
            <v>0.6</v>
          </cell>
          <cell r="G726">
            <v>44730</v>
          </cell>
        </row>
        <row r="727">
          <cell r="A727" t="str">
            <v>37-3000</v>
          </cell>
          <cell r="B727" t="str">
            <v>Grounds Maintenance Workers</v>
          </cell>
          <cell r="C727">
            <v>1030070</v>
          </cell>
          <cell r="D727">
            <v>0.5</v>
          </cell>
          <cell r="E727">
            <v>41750</v>
          </cell>
          <cell r="F727">
            <v>0.3</v>
          </cell>
          <cell r="G727">
            <v>38470</v>
          </cell>
        </row>
        <row r="728">
          <cell r="A728" t="str">
            <v>37-3010</v>
          </cell>
          <cell r="B728" t="str">
            <v>Grounds Maintenance Workers</v>
          </cell>
          <cell r="C728">
            <v>1030070</v>
          </cell>
          <cell r="D728">
            <v>0.5</v>
          </cell>
          <cell r="E728">
            <v>41750</v>
          </cell>
          <cell r="F728">
            <v>0.3</v>
          </cell>
          <cell r="G728">
            <v>38470</v>
          </cell>
        </row>
        <row r="729">
          <cell r="A729" t="str">
            <v>37-3011</v>
          </cell>
          <cell r="B729" t="str">
            <v>Landscaping and Groundskeeping Workers</v>
          </cell>
          <cell r="C729">
            <v>943430</v>
          </cell>
          <cell r="D729">
            <v>0.6</v>
          </cell>
          <cell r="E729">
            <v>40880</v>
          </cell>
          <cell r="F729">
            <v>0.3</v>
          </cell>
          <cell r="G729">
            <v>38090</v>
          </cell>
        </row>
        <row r="730">
          <cell r="A730" t="str">
            <v>37-3012</v>
          </cell>
          <cell r="B730" t="str">
            <v>Pesticide Handlers, Sprayers, and Applicators, Vegetation</v>
          </cell>
          <cell r="C730">
            <v>25200</v>
          </cell>
          <cell r="D730">
            <v>5.3</v>
          </cell>
          <cell r="E730">
            <v>45960</v>
          </cell>
          <cell r="F730">
            <v>0.9</v>
          </cell>
          <cell r="G730">
            <v>45200</v>
          </cell>
        </row>
        <row r="731">
          <cell r="A731" t="str">
            <v>37-3013</v>
          </cell>
          <cell r="B731" t="str">
            <v>Tree Trimmers and Pruners</v>
          </cell>
          <cell r="C731">
            <v>47870</v>
          </cell>
          <cell r="D731">
            <v>5.5</v>
          </cell>
          <cell r="E731">
            <v>54970</v>
          </cell>
          <cell r="F731">
            <v>1.5</v>
          </cell>
          <cell r="G731">
            <v>50430</v>
          </cell>
        </row>
        <row r="732">
          <cell r="A732" t="str">
            <v>37-3019</v>
          </cell>
          <cell r="B732" t="str">
            <v>Grounds Maintenance Workers, All Other</v>
          </cell>
          <cell r="C732">
            <v>13580</v>
          </cell>
          <cell r="D732">
            <v>7.5</v>
          </cell>
          <cell r="E732">
            <v>47180</v>
          </cell>
          <cell r="F732">
            <v>1.2</v>
          </cell>
          <cell r="G732">
            <v>43410</v>
          </cell>
        </row>
        <row r="733">
          <cell r="A733" t="str">
            <v>39-0000</v>
          </cell>
          <cell r="B733" t="str">
            <v>Personal Care and Service Occupations</v>
          </cell>
          <cell r="C733">
            <v>3159940</v>
          </cell>
          <cell r="D733">
            <v>0.6</v>
          </cell>
          <cell r="E733">
            <v>39410</v>
          </cell>
          <cell r="F733">
            <v>0.4</v>
          </cell>
          <cell r="G733">
            <v>35110</v>
          </cell>
        </row>
        <row r="734">
          <cell r="A734" t="str">
            <v>39-1000</v>
          </cell>
          <cell r="B734" t="str">
            <v>Supervisors of Personal Care and Service Workers</v>
          </cell>
          <cell r="C734">
            <v>225420</v>
          </cell>
          <cell r="D734">
            <v>1.1000000000000001</v>
          </cell>
          <cell r="E734">
            <v>52440</v>
          </cell>
          <cell r="F734">
            <v>0.4</v>
          </cell>
          <cell r="G734">
            <v>48050</v>
          </cell>
        </row>
        <row r="735">
          <cell r="A735" t="str">
            <v>39-1010</v>
          </cell>
          <cell r="B735" t="str">
            <v>First-Line Supervisors of Entertainment and Recreation Workers</v>
          </cell>
          <cell r="C735">
            <v>118360</v>
          </cell>
          <cell r="D735">
            <v>1.3</v>
          </cell>
          <cell r="E735">
            <v>53820</v>
          </cell>
          <cell r="F735">
            <v>0.4</v>
          </cell>
          <cell r="G735">
            <v>49100</v>
          </cell>
        </row>
        <row r="736">
          <cell r="A736" t="str">
            <v>39-1013</v>
          </cell>
          <cell r="B736" t="str">
            <v>First-Line Supervisors of Gambling Services Workers</v>
          </cell>
          <cell r="C736">
            <v>25530</v>
          </cell>
          <cell r="D736">
            <v>0.8</v>
          </cell>
          <cell r="E736">
            <v>62600</v>
          </cell>
          <cell r="F736">
            <v>0.4</v>
          </cell>
          <cell r="G736">
            <v>61590</v>
          </cell>
        </row>
        <row r="737">
          <cell r="A737" t="str">
            <v>39-1014</v>
          </cell>
          <cell r="B737" t="str">
            <v>First-Line Supervisors of Entertainment and Recreation Workers, Except Gambling Services</v>
          </cell>
          <cell r="C737">
            <v>92830</v>
          </cell>
          <cell r="D737">
            <v>1.6</v>
          </cell>
          <cell r="E737">
            <v>51400</v>
          </cell>
          <cell r="F737">
            <v>0.5</v>
          </cell>
          <cell r="G737">
            <v>46900</v>
          </cell>
        </row>
        <row r="738">
          <cell r="A738" t="str">
            <v>39-1020</v>
          </cell>
          <cell r="B738" t="str">
            <v>First-Line Supervisors of Personal Service Workers</v>
          </cell>
          <cell r="C738">
            <v>107060</v>
          </cell>
          <cell r="D738">
            <v>1.6</v>
          </cell>
          <cell r="E738">
            <v>50920</v>
          </cell>
          <cell r="F738">
            <v>0.7</v>
          </cell>
          <cell r="G738">
            <v>47080</v>
          </cell>
        </row>
        <row r="739">
          <cell r="A739" t="str">
            <v>39-1022</v>
          </cell>
          <cell r="B739" t="str">
            <v>First-Line Supervisors of Personal Service Workers</v>
          </cell>
          <cell r="C739">
            <v>107060</v>
          </cell>
          <cell r="D739">
            <v>1.6</v>
          </cell>
          <cell r="E739">
            <v>50920</v>
          </cell>
          <cell r="F739">
            <v>0.7</v>
          </cell>
          <cell r="G739">
            <v>47080</v>
          </cell>
        </row>
        <row r="740">
          <cell r="A740" t="str">
            <v>39-2000</v>
          </cell>
          <cell r="B740" t="str">
            <v>Animal Care and Service Workers</v>
          </cell>
          <cell r="C740">
            <v>297420</v>
          </cell>
          <cell r="D740">
            <v>1.2</v>
          </cell>
          <cell r="E740">
            <v>35490</v>
          </cell>
          <cell r="F740">
            <v>0.5</v>
          </cell>
          <cell r="G740">
            <v>33860</v>
          </cell>
        </row>
        <row r="741">
          <cell r="A741" t="str">
            <v>39-2010</v>
          </cell>
          <cell r="B741" t="str">
            <v>Animal Trainers</v>
          </cell>
          <cell r="C741">
            <v>20110</v>
          </cell>
          <cell r="D741">
            <v>4.2</v>
          </cell>
          <cell r="E741">
            <v>45780</v>
          </cell>
          <cell r="F741">
            <v>2.5</v>
          </cell>
          <cell r="G741">
            <v>38750</v>
          </cell>
        </row>
        <row r="742">
          <cell r="A742" t="str">
            <v>39-2011</v>
          </cell>
          <cell r="B742" t="str">
            <v>Animal Trainers</v>
          </cell>
          <cell r="C742">
            <v>20110</v>
          </cell>
          <cell r="D742">
            <v>4.2</v>
          </cell>
          <cell r="E742">
            <v>45780</v>
          </cell>
          <cell r="F742">
            <v>2.5</v>
          </cell>
          <cell r="G742">
            <v>38750</v>
          </cell>
        </row>
        <row r="743">
          <cell r="A743" t="str">
            <v>39-2020</v>
          </cell>
          <cell r="B743" t="str">
            <v>Animal Caretakers</v>
          </cell>
          <cell r="C743">
            <v>277300</v>
          </cell>
          <cell r="D743">
            <v>1.3</v>
          </cell>
          <cell r="E743">
            <v>34750</v>
          </cell>
          <cell r="F743">
            <v>0.5</v>
          </cell>
          <cell r="G743">
            <v>33470</v>
          </cell>
        </row>
        <row r="744">
          <cell r="A744" t="str">
            <v>39-2021</v>
          </cell>
          <cell r="B744" t="str">
            <v>Animal Caretakers</v>
          </cell>
          <cell r="C744">
            <v>277300</v>
          </cell>
          <cell r="D744">
            <v>1.3</v>
          </cell>
          <cell r="E744">
            <v>34750</v>
          </cell>
          <cell r="F744">
            <v>0.5</v>
          </cell>
          <cell r="G744">
            <v>33470</v>
          </cell>
        </row>
        <row r="745">
          <cell r="A745" t="str">
            <v>39-3000</v>
          </cell>
          <cell r="B745" t="str">
            <v>Entertainment Attendants and Related Workers</v>
          </cell>
          <cell r="C745">
            <v>627560</v>
          </cell>
          <cell r="D745">
            <v>0.8</v>
          </cell>
          <cell r="E745">
            <v>33380</v>
          </cell>
          <cell r="F745">
            <v>0.4</v>
          </cell>
          <cell r="G745">
            <v>31200</v>
          </cell>
        </row>
        <row r="746">
          <cell r="A746" t="str">
            <v>39-3010</v>
          </cell>
          <cell r="B746" t="str">
            <v>Gambling Services Workers</v>
          </cell>
          <cell r="C746">
            <v>105500</v>
          </cell>
          <cell r="D746">
            <v>1.1000000000000001</v>
          </cell>
          <cell r="E746">
            <v>39450</v>
          </cell>
          <cell r="F746">
            <v>0.5</v>
          </cell>
          <cell r="G746">
            <v>33280</v>
          </cell>
        </row>
        <row r="747">
          <cell r="A747" t="str">
            <v>39-3011</v>
          </cell>
          <cell r="B747" t="str">
            <v>Gambling Dealers</v>
          </cell>
          <cell r="C747">
            <v>82980</v>
          </cell>
          <cell r="D747">
            <v>1</v>
          </cell>
          <cell r="E747">
            <v>40420</v>
          </cell>
          <cell r="F747">
            <v>0.5</v>
          </cell>
          <cell r="G747">
            <v>33280</v>
          </cell>
        </row>
        <row r="748">
          <cell r="A748" t="str">
            <v>39-3012</v>
          </cell>
          <cell r="B748" t="str">
            <v>Gambling and Sports Book Writers and Runners</v>
          </cell>
          <cell r="C748">
            <v>7600</v>
          </cell>
          <cell r="D748">
            <v>5.2</v>
          </cell>
          <cell r="E748">
            <v>32570</v>
          </cell>
          <cell r="F748">
            <v>1.6</v>
          </cell>
          <cell r="G748">
            <v>30460</v>
          </cell>
        </row>
        <row r="749">
          <cell r="A749" t="str">
            <v>39-3019</v>
          </cell>
          <cell r="B749" t="str">
            <v>Gambling Service Workers, All Other</v>
          </cell>
          <cell r="C749">
            <v>14920</v>
          </cell>
          <cell r="D749">
            <v>4.7</v>
          </cell>
          <cell r="E749">
            <v>37590</v>
          </cell>
          <cell r="F749">
            <v>1.5</v>
          </cell>
          <cell r="G749">
            <v>34530</v>
          </cell>
        </row>
        <row r="750">
          <cell r="A750" t="str">
            <v>39-3020</v>
          </cell>
          <cell r="B750" t="str">
            <v>Motion Picture Projectionists</v>
          </cell>
          <cell r="C750">
            <v>1950</v>
          </cell>
          <cell r="D750">
            <v>9.4</v>
          </cell>
          <cell r="E750">
            <v>50290</v>
          </cell>
          <cell r="F750">
            <v>6.2</v>
          </cell>
          <cell r="G750">
            <v>38180</v>
          </cell>
        </row>
        <row r="751">
          <cell r="A751" t="str">
            <v>39-3021</v>
          </cell>
          <cell r="B751" t="str">
            <v>Motion Picture Projectionists</v>
          </cell>
          <cell r="C751">
            <v>1950</v>
          </cell>
          <cell r="D751">
            <v>9.4</v>
          </cell>
          <cell r="E751">
            <v>50290</v>
          </cell>
          <cell r="F751">
            <v>6.2</v>
          </cell>
          <cell r="G751">
            <v>38180</v>
          </cell>
        </row>
        <row r="752">
          <cell r="A752" t="str">
            <v>39-3030</v>
          </cell>
          <cell r="B752" t="str">
            <v>Ushers, Lobby Attendants, and Ticket Takers</v>
          </cell>
          <cell r="C752">
            <v>119210</v>
          </cell>
          <cell r="D752">
            <v>2</v>
          </cell>
          <cell r="E752">
            <v>31770</v>
          </cell>
          <cell r="F752">
            <v>0.5</v>
          </cell>
          <cell r="G752">
            <v>31150</v>
          </cell>
        </row>
        <row r="753">
          <cell r="A753" t="str">
            <v>39-3031</v>
          </cell>
          <cell r="B753" t="str">
            <v>Ushers, Lobby Attendants, and Ticket Takers</v>
          </cell>
          <cell r="C753">
            <v>119210</v>
          </cell>
          <cell r="D753">
            <v>2</v>
          </cell>
          <cell r="E753">
            <v>31770</v>
          </cell>
          <cell r="F753">
            <v>0.5</v>
          </cell>
          <cell r="G753">
            <v>31150</v>
          </cell>
        </row>
        <row r="754">
          <cell r="A754" t="str">
            <v>39-3090</v>
          </cell>
          <cell r="B754" t="str">
            <v>Miscellaneous Entertainment Attendants and Related Workers</v>
          </cell>
          <cell r="C754">
            <v>400900</v>
          </cell>
          <cell r="D754">
            <v>1.1000000000000001</v>
          </cell>
          <cell r="E754">
            <v>32180</v>
          </cell>
          <cell r="F754">
            <v>0.4</v>
          </cell>
          <cell r="G754">
            <v>31020</v>
          </cell>
        </row>
        <row r="755">
          <cell r="A755" t="str">
            <v>39-3091</v>
          </cell>
          <cell r="B755" t="str">
            <v>Amusement and Recreation Attendants</v>
          </cell>
          <cell r="C755">
            <v>371590</v>
          </cell>
          <cell r="D755">
            <v>1.2</v>
          </cell>
          <cell r="E755">
            <v>31350</v>
          </cell>
          <cell r="F755">
            <v>0.4</v>
          </cell>
          <cell r="G755">
            <v>30490</v>
          </cell>
        </row>
        <row r="756">
          <cell r="A756" t="str">
            <v>39-3092</v>
          </cell>
          <cell r="B756" t="str">
            <v>Costume Attendants</v>
          </cell>
          <cell r="C756">
            <v>6290</v>
          </cell>
          <cell r="D756">
            <v>4.9000000000000004</v>
          </cell>
          <cell r="E756">
            <v>65890</v>
          </cell>
          <cell r="F756">
            <v>1.7</v>
          </cell>
          <cell r="G756">
            <v>54810</v>
          </cell>
        </row>
        <row r="757">
          <cell r="A757" t="str">
            <v>39-3093</v>
          </cell>
          <cell r="B757" t="str">
            <v>Locker Room, Coatroom, and Dressing Room Attendants</v>
          </cell>
          <cell r="C757">
            <v>14960</v>
          </cell>
          <cell r="D757">
            <v>6.1</v>
          </cell>
          <cell r="E757">
            <v>36490</v>
          </cell>
          <cell r="F757">
            <v>1.9</v>
          </cell>
          <cell r="G757">
            <v>34800</v>
          </cell>
        </row>
        <row r="758">
          <cell r="A758" t="str">
            <v>39-3099</v>
          </cell>
          <cell r="B758" t="str">
            <v>Entertainment Attendants and Related Workers, All Other</v>
          </cell>
          <cell r="C758">
            <v>8060</v>
          </cell>
          <cell r="D758">
            <v>7.2</v>
          </cell>
          <cell r="E758">
            <v>36180</v>
          </cell>
          <cell r="F758">
            <v>2.5</v>
          </cell>
          <cell r="G758">
            <v>34550</v>
          </cell>
        </row>
        <row r="759">
          <cell r="A759" t="str">
            <v>39-4000</v>
          </cell>
          <cell r="B759" t="str">
            <v>Funeral Service Workers</v>
          </cell>
          <cell r="C759">
            <v>62630</v>
          </cell>
          <cell r="D759">
            <v>1.1000000000000001</v>
          </cell>
          <cell r="E759">
            <v>45890</v>
          </cell>
          <cell r="F759">
            <v>0.7</v>
          </cell>
          <cell r="G759">
            <v>39170</v>
          </cell>
        </row>
        <row r="760">
          <cell r="A760" t="str">
            <v>39-4010</v>
          </cell>
          <cell r="B760" t="str">
            <v>Embalmers and Crematory Operators</v>
          </cell>
          <cell r="C760">
            <v>6360</v>
          </cell>
          <cell r="D760">
            <v>3.9</v>
          </cell>
          <cell r="E760">
            <v>51630</v>
          </cell>
          <cell r="F760">
            <v>1.6</v>
          </cell>
          <cell r="G760">
            <v>48610</v>
          </cell>
        </row>
        <row r="761">
          <cell r="A761" t="str">
            <v>39-4011</v>
          </cell>
          <cell r="B761" t="str">
            <v>Embalmers</v>
          </cell>
          <cell r="C761">
            <v>3420</v>
          </cell>
          <cell r="D761">
            <v>5.4</v>
          </cell>
          <cell r="E761">
            <v>57520</v>
          </cell>
          <cell r="F761">
            <v>1.9</v>
          </cell>
          <cell r="G761">
            <v>56280</v>
          </cell>
        </row>
        <row r="762">
          <cell r="A762" t="str">
            <v>39-4012</v>
          </cell>
          <cell r="B762" t="str">
            <v>Crematory Operators</v>
          </cell>
          <cell r="C762">
            <v>2950</v>
          </cell>
          <cell r="D762">
            <v>5.7</v>
          </cell>
          <cell r="E762">
            <v>44790</v>
          </cell>
          <cell r="F762">
            <v>1.6</v>
          </cell>
          <cell r="G762">
            <v>42880</v>
          </cell>
        </row>
        <row r="763">
          <cell r="A763" t="str">
            <v>39-4020</v>
          </cell>
          <cell r="B763" t="str">
            <v>Funeral Attendants</v>
          </cell>
          <cell r="C763">
            <v>30560</v>
          </cell>
          <cell r="D763">
            <v>1.7</v>
          </cell>
          <cell r="E763">
            <v>35900</v>
          </cell>
          <cell r="F763">
            <v>0.8</v>
          </cell>
          <cell r="G763">
            <v>34610</v>
          </cell>
        </row>
        <row r="764">
          <cell r="A764" t="str">
            <v>39-4021</v>
          </cell>
          <cell r="B764" t="str">
            <v>Funeral Attendants</v>
          </cell>
          <cell r="C764">
            <v>30560</v>
          </cell>
          <cell r="D764">
            <v>1.7</v>
          </cell>
          <cell r="E764">
            <v>35900</v>
          </cell>
          <cell r="F764">
            <v>0.8</v>
          </cell>
          <cell r="G764">
            <v>34610</v>
          </cell>
        </row>
        <row r="765">
          <cell r="A765" t="str">
            <v>39-4030</v>
          </cell>
          <cell r="B765" t="str">
            <v>Morticians, Undertakers, and Funeral Arrangers</v>
          </cell>
          <cell r="C765">
            <v>25700</v>
          </cell>
          <cell r="D765">
            <v>2.1</v>
          </cell>
          <cell r="E765">
            <v>56340</v>
          </cell>
          <cell r="F765">
            <v>1</v>
          </cell>
          <cell r="G765">
            <v>49800</v>
          </cell>
        </row>
        <row r="766">
          <cell r="A766" t="str">
            <v>39-4031</v>
          </cell>
          <cell r="B766" t="str">
            <v>Morticians, Undertakers, and Funeral Arrangers</v>
          </cell>
          <cell r="C766">
            <v>25700</v>
          </cell>
          <cell r="D766">
            <v>2.1</v>
          </cell>
          <cell r="E766">
            <v>56340</v>
          </cell>
          <cell r="F766">
            <v>1</v>
          </cell>
          <cell r="G766">
            <v>49800</v>
          </cell>
        </row>
        <row r="767">
          <cell r="A767" t="str">
            <v>39-5000</v>
          </cell>
          <cell r="B767" t="str">
            <v>Personal Appearance Workers</v>
          </cell>
          <cell r="C767">
            <v>543830</v>
          </cell>
          <cell r="D767">
            <v>1.1000000000000001</v>
          </cell>
          <cell r="E767">
            <v>42480</v>
          </cell>
          <cell r="F767">
            <v>0.8</v>
          </cell>
          <cell r="G767">
            <v>35310</v>
          </cell>
        </row>
        <row r="768">
          <cell r="A768" t="str">
            <v>39-5010</v>
          </cell>
          <cell r="B768" t="str">
            <v>Barbers, Hairdressers, Hairstylists and Cosmetologists</v>
          </cell>
          <cell r="C768">
            <v>313560</v>
          </cell>
          <cell r="D768">
            <v>1.5</v>
          </cell>
          <cell r="E768">
            <v>43710</v>
          </cell>
          <cell r="F768">
            <v>1.2</v>
          </cell>
          <cell r="G768">
            <v>35420</v>
          </cell>
        </row>
        <row r="769">
          <cell r="A769" t="str">
            <v>39-5011</v>
          </cell>
          <cell r="B769" t="str">
            <v>Barbers</v>
          </cell>
          <cell r="C769">
            <v>18100</v>
          </cell>
          <cell r="D769">
            <v>8.6</v>
          </cell>
          <cell r="E769">
            <v>47800</v>
          </cell>
          <cell r="F769">
            <v>4.0999999999999996</v>
          </cell>
          <cell r="G769">
            <v>38960</v>
          </cell>
        </row>
        <row r="770">
          <cell r="A770" t="str">
            <v>39-5012</v>
          </cell>
          <cell r="B770" t="str">
            <v>Hairdressers, Hairstylists, and Cosmetologists</v>
          </cell>
          <cell r="C770">
            <v>295460</v>
          </cell>
          <cell r="D770">
            <v>1.8</v>
          </cell>
          <cell r="E770">
            <v>43460</v>
          </cell>
          <cell r="F770">
            <v>1.2</v>
          </cell>
          <cell r="G770">
            <v>35250</v>
          </cell>
        </row>
        <row r="771">
          <cell r="A771" t="str">
            <v>39-5090</v>
          </cell>
          <cell r="B771" t="str">
            <v>Miscellaneous Personal Appearance Workers</v>
          </cell>
          <cell r="C771">
            <v>230270</v>
          </cell>
          <cell r="D771">
            <v>1.5</v>
          </cell>
          <cell r="E771">
            <v>40810</v>
          </cell>
          <cell r="F771">
            <v>1</v>
          </cell>
          <cell r="G771">
            <v>35260</v>
          </cell>
        </row>
        <row r="772">
          <cell r="A772" t="str">
            <v>39-5091</v>
          </cell>
          <cell r="B772" t="str">
            <v>Makeup Artists, Theatrical and Performance</v>
          </cell>
          <cell r="C772">
            <v>3320</v>
          </cell>
          <cell r="D772">
            <v>24.7</v>
          </cell>
          <cell r="E772">
            <v>75410</v>
          </cell>
          <cell r="F772">
            <v>12.6</v>
          </cell>
          <cell r="G772">
            <v>50280</v>
          </cell>
        </row>
        <row r="773">
          <cell r="A773" t="str">
            <v>39-5092</v>
          </cell>
          <cell r="B773" t="str">
            <v>Manicurists and Pedicurists</v>
          </cell>
          <cell r="C773">
            <v>147820</v>
          </cell>
          <cell r="D773">
            <v>1.3</v>
          </cell>
          <cell r="E773">
            <v>36910</v>
          </cell>
          <cell r="F773">
            <v>0.8</v>
          </cell>
          <cell r="G773">
            <v>34660</v>
          </cell>
        </row>
        <row r="774">
          <cell r="A774" t="str">
            <v>39-5093</v>
          </cell>
          <cell r="B774" t="str">
            <v>Shampooers</v>
          </cell>
          <cell r="C774">
            <v>8890</v>
          </cell>
          <cell r="D774">
            <v>10.9</v>
          </cell>
          <cell r="E774">
            <v>30830</v>
          </cell>
          <cell r="F774">
            <v>2</v>
          </cell>
          <cell r="G774">
            <v>31470</v>
          </cell>
        </row>
        <row r="775">
          <cell r="A775" t="str">
            <v>39-5094</v>
          </cell>
          <cell r="B775" t="str">
            <v>Skincare Specialists</v>
          </cell>
          <cell r="C775">
            <v>70240</v>
          </cell>
          <cell r="D775">
            <v>5</v>
          </cell>
          <cell r="E775">
            <v>48670</v>
          </cell>
          <cell r="F775">
            <v>2.1</v>
          </cell>
          <cell r="G775">
            <v>41560</v>
          </cell>
        </row>
        <row r="776">
          <cell r="A776" t="str">
            <v>39-6000</v>
          </cell>
          <cell r="B776" t="str">
            <v>Baggage Porters, Bellhops, and Concierges</v>
          </cell>
          <cell r="C776">
            <v>75430</v>
          </cell>
          <cell r="D776">
            <v>3.3</v>
          </cell>
          <cell r="E776">
            <v>39190</v>
          </cell>
          <cell r="F776">
            <v>0.9</v>
          </cell>
          <cell r="G776">
            <v>36810</v>
          </cell>
        </row>
        <row r="777">
          <cell r="A777" t="str">
            <v>39-6010</v>
          </cell>
          <cell r="B777" t="str">
            <v>Baggage Porters, Bellhops, and Concierges</v>
          </cell>
          <cell r="C777">
            <v>75430</v>
          </cell>
          <cell r="D777">
            <v>3.3</v>
          </cell>
          <cell r="E777">
            <v>39190</v>
          </cell>
          <cell r="F777">
            <v>0.9</v>
          </cell>
          <cell r="G777">
            <v>36810</v>
          </cell>
        </row>
        <row r="778">
          <cell r="A778" t="str">
            <v>39-6011</v>
          </cell>
          <cell r="B778" t="str">
            <v>Baggage Porters and Bellhops</v>
          </cell>
          <cell r="C778">
            <v>31220</v>
          </cell>
          <cell r="D778">
            <v>3.9</v>
          </cell>
          <cell r="E778">
            <v>36960</v>
          </cell>
          <cell r="F778">
            <v>1.2</v>
          </cell>
          <cell r="G778">
            <v>36020</v>
          </cell>
        </row>
        <row r="779">
          <cell r="A779" t="str">
            <v>39-6012</v>
          </cell>
          <cell r="B779" t="str">
            <v>Concierges</v>
          </cell>
          <cell r="C779">
            <v>44200</v>
          </cell>
          <cell r="D779">
            <v>4.4000000000000004</v>
          </cell>
          <cell r="E779">
            <v>40770</v>
          </cell>
          <cell r="F779">
            <v>1.2</v>
          </cell>
          <cell r="G779">
            <v>37320</v>
          </cell>
        </row>
        <row r="780">
          <cell r="A780" t="str">
            <v>39-7000</v>
          </cell>
          <cell r="B780" t="str">
            <v>Tour and Travel Guides</v>
          </cell>
          <cell r="C780">
            <v>49010</v>
          </cell>
          <cell r="D780">
            <v>2.7</v>
          </cell>
          <cell r="E780">
            <v>43090</v>
          </cell>
          <cell r="F780">
            <v>3.3</v>
          </cell>
          <cell r="G780">
            <v>36660</v>
          </cell>
        </row>
        <row r="781">
          <cell r="A781" t="str">
            <v>39-7010</v>
          </cell>
          <cell r="B781" t="str">
            <v>Tour and Travel Guides</v>
          </cell>
          <cell r="C781">
            <v>49010</v>
          </cell>
          <cell r="D781">
            <v>2.7</v>
          </cell>
          <cell r="E781">
            <v>43090</v>
          </cell>
          <cell r="F781">
            <v>3.3</v>
          </cell>
          <cell r="G781">
            <v>36660</v>
          </cell>
        </row>
        <row r="782">
          <cell r="A782" t="str">
            <v>39-7010</v>
          </cell>
          <cell r="B782" t="str">
            <v>Tour and Travel Guides</v>
          </cell>
          <cell r="C782">
            <v>49010</v>
          </cell>
          <cell r="D782">
            <v>2.7</v>
          </cell>
          <cell r="E782">
            <v>43090</v>
          </cell>
          <cell r="F782">
            <v>3.3</v>
          </cell>
          <cell r="G782">
            <v>36660</v>
          </cell>
        </row>
        <row r="783">
          <cell r="A783" t="str">
            <v>39-9000</v>
          </cell>
          <cell r="B783" t="str">
            <v>Other Personal Care and Service Workers</v>
          </cell>
          <cell r="C783">
            <v>1278640</v>
          </cell>
          <cell r="D783">
            <v>0.8</v>
          </cell>
          <cell r="E783">
            <v>39230</v>
          </cell>
          <cell r="F783">
            <v>0.5</v>
          </cell>
          <cell r="G783">
            <v>35550</v>
          </cell>
        </row>
        <row r="784">
          <cell r="A784" t="str">
            <v>39-9010</v>
          </cell>
          <cell r="B784" t="str">
            <v>Childcare Workers</v>
          </cell>
          <cell r="C784">
            <v>520180</v>
          </cell>
          <cell r="D784">
            <v>1.5</v>
          </cell>
          <cell r="E784">
            <v>33140</v>
          </cell>
          <cell r="F784">
            <v>0.5</v>
          </cell>
          <cell r="G784">
            <v>32050</v>
          </cell>
        </row>
        <row r="785">
          <cell r="A785" t="str">
            <v>39-9011</v>
          </cell>
          <cell r="B785" t="str">
            <v>Childcare Workers</v>
          </cell>
          <cell r="C785">
            <v>520180</v>
          </cell>
          <cell r="D785">
            <v>1.5</v>
          </cell>
          <cell r="E785">
            <v>33140</v>
          </cell>
          <cell r="F785">
            <v>0.5</v>
          </cell>
          <cell r="G785">
            <v>32050</v>
          </cell>
        </row>
        <row r="786">
          <cell r="A786" t="str">
            <v>39-9030</v>
          </cell>
          <cell r="B786" t="str">
            <v>Recreation and Fitness Workers</v>
          </cell>
          <cell r="C786">
            <v>613260</v>
          </cell>
          <cell r="D786">
            <v>0.9</v>
          </cell>
          <cell r="E786">
            <v>44190</v>
          </cell>
          <cell r="F786">
            <v>0.7</v>
          </cell>
          <cell r="G786">
            <v>37420</v>
          </cell>
        </row>
        <row r="787">
          <cell r="A787" t="str">
            <v>39-9031</v>
          </cell>
          <cell r="B787" t="str">
            <v>Exercise Trainers and Group Fitness Instructors</v>
          </cell>
          <cell r="C787">
            <v>303620</v>
          </cell>
          <cell r="D787">
            <v>1.5</v>
          </cell>
          <cell r="E787">
            <v>51360</v>
          </cell>
          <cell r="F787">
            <v>1</v>
          </cell>
          <cell r="G787">
            <v>46180</v>
          </cell>
        </row>
        <row r="788">
          <cell r="A788" t="str">
            <v>39-9032</v>
          </cell>
          <cell r="B788" t="str">
            <v>Recreation Workers</v>
          </cell>
          <cell r="C788">
            <v>309640</v>
          </cell>
          <cell r="D788">
            <v>1.2</v>
          </cell>
          <cell r="E788">
            <v>37170</v>
          </cell>
          <cell r="F788">
            <v>0.4</v>
          </cell>
          <cell r="G788">
            <v>35380</v>
          </cell>
        </row>
        <row r="789">
          <cell r="A789" t="str">
            <v>39-9040</v>
          </cell>
          <cell r="B789" t="str">
            <v>Residential Advisors</v>
          </cell>
          <cell r="C789">
            <v>82810</v>
          </cell>
          <cell r="D789">
            <v>1.8</v>
          </cell>
          <cell r="E789">
            <v>41590</v>
          </cell>
          <cell r="F789">
            <v>0.7</v>
          </cell>
          <cell r="G789">
            <v>39180</v>
          </cell>
        </row>
        <row r="790">
          <cell r="A790" t="str">
            <v>39-9041</v>
          </cell>
          <cell r="B790" t="str">
            <v>Residential Advisors</v>
          </cell>
          <cell r="C790">
            <v>82810</v>
          </cell>
          <cell r="D790">
            <v>1.8</v>
          </cell>
          <cell r="E790">
            <v>41590</v>
          </cell>
          <cell r="F790">
            <v>0.7</v>
          </cell>
          <cell r="G790">
            <v>39180</v>
          </cell>
        </row>
        <row r="791">
          <cell r="A791" t="str">
            <v>39-9090</v>
          </cell>
          <cell r="B791" t="str">
            <v>Miscellaneous Personal Care and Service Workers</v>
          </cell>
          <cell r="C791">
            <v>62390</v>
          </cell>
          <cell r="D791">
            <v>4.5999999999999996</v>
          </cell>
          <cell r="E791">
            <v>37990</v>
          </cell>
          <cell r="F791">
            <v>1.2</v>
          </cell>
          <cell r="G791">
            <v>37900</v>
          </cell>
        </row>
        <row r="792">
          <cell r="A792" t="str">
            <v>39-9099</v>
          </cell>
          <cell r="B792" t="str">
            <v>Personal Care and Service Workers, All Other</v>
          </cell>
          <cell r="C792">
            <v>62390</v>
          </cell>
          <cell r="D792">
            <v>4.5999999999999996</v>
          </cell>
          <cell r="E792">
            <v>37990</v>
          </cell>
          <cell r="F792">
            <v>1.2</v>
          </cell>
          <cell r="G792">
            <v>37900</v>
          </cell>
        </row>
        <row r="793">
          <cell r="A793" t="str">
            <v>41-0000</v>
          </cell>
          <cell r="B793" t="str">
            <v>Sales and Related Occupations</v>
          </cell>
          <cell r="C793">
            <v>13351680</v>
          </cell>
          <cell r="D793">
            <v>0.2</v>
          </cell>
          <cell r="E793">
            <v>54070</v>
          </cell>
          <cell r="F793">
            <v>0.3</v>
          </cell>
          <cell r="G793">
            <v>37460</v>
          </cell>
        </row>
        <row r="794">
          <cell r="A794" t="str">
            <v>41-1000</v>
          </cell>
          <cell r="B794" t="str">
            <v>Supervisors of Sales Workers</v>
          </cell>
          <cell r="C794">
            <v>1332180</v>
          </cell>
          <cell r="D794">
            <v>0.4</v>
          </cell>
          <cell r="E794">
            <v>59830</v>
          </cell>
          <cell r="F794">
            <v>0.3</v>
          </cell>
          <cell r="G794">
            <v>49510</v>
          </cell>
        </row>
        <row r="795">
          <cell r="A795" t="str">
            <v>41-1010</v>
          </cell>
          <cell r="B795" t="str">
            <v>First-Line Supervisors of Sales Workers</v>
          </cell>
          <cell r="C795">
            <v>1332180</v>
          </cell>
          <cell r="D795">
            <v>0.4</v>
          </cell>
          <cell r="E795">
            <v>59830</v>
          </cell>
          <cell r="F795">
            <v>0.3</v>
          </cell>
          <cell r="G795">
            <v>49510</v>
          </cell>
        </row>
        <row r="796">
          <cell r="A796" t="str">
            <v>41-1011</v>
          </cell>
          <cell r="B796" t="str">
            <v>First-Line Supervisors of Retail Sales Workers</v>
          </cell>
          <cell r="C796">
            <v>1113160</v>
          </cell>
          <cell r="D796">
            <v>0.5</v>
          </cell>
          <cell r="E796">
            <v>52350</v>
          </cell>
          <cell r="F796">
            <v>0.3</v>
          </cell>
          <cell r="G796">
            <v>47320</v>
          </cell>
        </row>
        <row r="797">
          <cell r="A797" t="str">
            <v>41-1012</v>
          </cell>
          <cell r="B797" t="str">
            <v>First-Line Supervisors of Non-Retail Sales Workers</v>
          </cell>
          <cell r="C797">
            <v>219010</v>
          </cell>
          <cell r="D797">
            <v>1.1000000000000001</v>
          </cell>
          <cell r="E797">
            <v>97870</v>
          </cell>
          <cell r="F797">
            <v>0.6</v>
          </cell>
          <cell r="G797">
            <v>84130</v>
          </cell>
        </row>
        <row r="798">
          <cell r="A798" t="str">
            <v>41-2000</v>
          </cell>
          <cell r="B798" t="str">
            <v>Retail Sales Workers</v>
          </cell>
          <cell r="C798">
            <v>7633890</v>
          </cell>
          <cell r="D798">
            <v>0.3</v>
          </cell>
          <cell r="E798">
            <v>35470</v>
          </cell>
          <cell r="F798">
            <v>0.2</v>
          </cell>
          <cell r="G798">
            <v>33690</v>
          </cell>
        </row>
        <row r="799">
          <cell r="A799" t="str">
            <v>41-2010</v>
          </cell>
          <cell r="B799" t="str">
            <v>Cashiers</v>
          </cell>
          <cell r="C799">
            <v>3169970</v>
          </cell>
          <cell r="D799">
            <v>0.5</v>
          </cell>
          <cell r="E799">
            <v>31840</v>
          </cell>
          <cell r="F799">
            <v>0.2</v>
          </cell>
          <cell r="G799">
            <v>31200</v>
          </cell>
        </row>
        <row r="800">
          <cell r="A800" t="str">
            <v>41-2011</v>
          </cell>
          <cell r="B800" t="str">
            <v>Cashiers</v>
          </cell>
          <cell r="C800">
            <v>3148030</v>
          </cell>
          <cell r="D800">
            <v>0.6</v>
          </cell>
          <cell r="E800">
            <v>31810</v>
          </cell>
          <cell r="F800">
            <v>0.2</v>
          </cell>
          <cell r="G800">
            <v>31190</v>
          </cell>
        </row>
        <row r="801">
          <cell r="A801" t="str">
            <v>41-2012</v>
          </cell>
          <cell r="B801" t="str">
            <v>Gambling Change Persons and Booth Cashiers</v>
          </cell>
          <cell r="C801">
            <v>21930</v>
          </cell>
          <cell r="D801">
            <v>2</v>
          </cell>
          <cell r="E801">
            <v>36820</v>
          </cell>
          <cell r="F801">
            <v>0.8</v>
          </cell>
          <cell r="G801">
            <v>34810</v>
          </cell>
        </row>
        <row r="802">
          <cell r="A802" t="str">
            <v>41-2020</v>
          </cell>
          <cell r="B802" t="str">
            <v>Counter and Rental Clerks and Parts Salespersons</v>
          </cell>
          <cell r="C802">
            <v>663680</v>
          </cell>
          <cell r="D802">
            <v>1</v>
          </cell>
          <cell r="E802">
            <v>43180</v>
          </cell>
          <cell r="F802">
            <v>0.4</v>
          </cell>
          <cell r="G802">
            <v>38100</v>
          </cell>
        </row>
        <row r="803">
          <cell r="A803" t="str">
            <v>41-2021</v>
          </cell>
          <cell r="B803" t="str">
            <v>Counter and Rental Clerks</v>
          </cell>
          <cell r="C803">
            <v>398620</v>
          </cell>
          <cell r="D803">
            <v>1.5</v>
          </cell>
          <cell r="E803">
            <v>43700</v>
          </cell>
          <cell r="F803">
            <v>0.5</v>
          </cell>
          <cell r="G803">
            <v>38540</v>
          </cell>
        </row>
        <row r="804">
          <cell r="A804" t="str">
            <v>41-2022</v>
          </cell>
          <cell r="B804" t="str">
            <v>Parts Salespersons</v>
          </cell>
          <cell r="C804">
            <v>265060</v>
          </cell>
          <cell r="D804">
            <v>1</v>
          </cell>
          <cell r="E804">
            <v>42390</v>
          </cell>
          <cell r="F804">
            <v>0.4</v>
          </cell>
          <cell r="G804">
            <v>37440</v>
          </cell>
        </row>
        <row r="805">
          <cell r="A805" t="str">
            <v>41-2030</v>
          </cell>
          <cell r="B805" t="str">
            <v>Retail Salespersons</v>
          </cell>
          <cell r="C805">
            <v>3800250</v>
          </cell>
          <cell r="D805">
            <v>0.3</v>
          </cell>
          <cell r="E805">
            <v>37150</v>
          </cell>
          <cell r="F805">
            <v>0.2</v>
          </cell>
          <cell r="G805">
            <v>34580</v>
          </cell>
        </row>
        <row r="806">
          <cell r="A806" t="str">
            <v>41-2031</v>
          </cell>
          <cell r="B806" t="str">
            <v>Retail Salespersons</v>
          </cell>
          <cell r="C806">
            <v>3800250</v>
          </cell>
          <cell r="D806">
            <v>0.3</v>
          </cell>
          <cell r="E806">
            <v>37150</v>
          </cell>
          <cell r="F806">
            <v>0.2</v>
          </cell>
          <cell r="G806">
            <v>34580</v>
          </cell>
        </row>
        <row r="807">
          <cell r="A807" t="str">
            <v>41-3000</v>
          </cell>
          <cell r="B807" t="str">
            <v>Sales Representatives, Services</v>
          </cell>
          <cell r="C807">
            <v>2287740</v>
          </cell>
          <cell r="D807">
            <v>0.5</v>
          </cell>
          <cell r="E807">
            <v>86380</v>
          </cell>
          <cell r="F807">
            <v>0.5</v>
          </cell>
          <cell r="G807">
            <v>64200</v>
          </cell>
        </row>
        <row r="808">
          <cell r="A808" t="str">
            <v>41-3010</v>
          </cell>
          <cell r="B808" t="str">
            <v>Advertising Sales Agents</v>
          </cell>
          <cell r="C808">
            <v>97470</v>
          </cell>
          <cell r="D808">
            <v>2.1</v>
          </cell>
          <cell r="E808">
            <v>76350</v>
          </cell>
          <cell r="F808">
            <v>1.6</v>
          </cell>
          <cell r="G808">
            <v>61460</v>
          </cell>
        </row>
        <row r="809">
          <cell r="A809" t="str">
            <v>41-3011</v>
          </cell>
          <cell r="B809" t="str">
            <v>Advertising Sales Agents</v>
          </cell>
          <cell r="C809">
            <v>97470</v>
          </cell>
          <cell r="D809">
            <v>2.1</v>
          </cell>
          <cell r="E809">
            <v>76350</v>
          </cell>
          <cell r="F809">
            <v>1.6</v>
          </cell>
          <cell r="G809">
            <v>61460</v>
          </cell>
        </row>
        <row r="810">
          <cell r="A810" t="str">
            <v>41-3020</v>
          </cell>
          <cell r="B810" t="str">
            <v>Insurance Sales Agents</v>
          </cell>
          <cell r="C810">
            <v>469480</v>
          </cell>
          <cell r="D810">
            <v>1.1000000000000001</v>
          </cell>
          <cell r="E810">
            <v>81510</v>
          </cell>
          <cell r="F810">
            <v>1.3</v>
          </cell>
          <cell r="G810">
            <v>60370</v>
          </cell>
        </row>
        <row r="811">
          <cell r="A811" t="str">
            <v>41-3021</v>
          </cell>
          <cell r="B811" t="str">
            <v>Insurance Sales Agents</v>
          </cell>
          <cell r="C811">
            <v>469480</v>
          </cell>
          <cell r="D811">
            <v>1.1000000000000001</v>
          </cell>
          <cell r="E811">
            <v>81510</v>
          </cell>
          <cell r="F811">
            <v>1.3</v>
          </cell>
          <cell r="G811">
            <v>60370</v>
          </cell>
        </row>
        <row r="812">
          <cell r="A812" t="str">
            <v>41-3030</v>
          </cell>
          <cell r="B812" t="str">
            <v>Securities, Commodities, and Financial Services Sales Agents</v>
          </cell>
          <cell r="C812">
            <v>472300</v>
          </cell>
          <cell r="D812">
            <v>1.2</v>
          </cell>
          <cell r="E812">
            <v>110400</v>
          </cell>
          <cell r="F812">
            <v>1.1000000000000001</v>
          </cell>
          <cell r="G812">
            <v>78140</v>
          </cell>
        </row>
        <row r="813">
          <cell r="A813" t="str">
            <v>41-3031</v>
          </cell>
          <cell r="B813" t="str">
            <v>Securities, Commodities, and Financial Services Sales Agents</v>
          </cell>
          <cell r="C813">
            <v>472300</v>
          </cell>
          <cell r="D813">
            <v>1.2</v>
          </cell>
          <cell r="E813">
            <v>110400</v>
          </cell>
          <cell r="F813">
            <v>1.1000000000000001</v>
          </cell>
          <cell r="G813">
            <v>78140</v>
          </cell>
        </row>
        <row r="814">
          <cell r="A814" t="str">
            <v>41-3040</v>
          </cell>
          <cell r="B814" t="str">
            <v>Travel Agents</v>
          </cell>
          <cell r="C814">
            <v>59150</v>
          </cell>
          <cell r="D814">
            <v>4.4000000000000004</v>
          </cell>
          <cell r="E814">
            <v>52690</v>
          </cell>
          <cell r="F814">
            <v>1.3</v>
          </cell>
          <cell r="G814">
            <v>48450</v>
          </cell>
        </row>
        <row r="815">
          <cell r="A815" t="str">
            <v>41-3041</v>
          </cell>
          <cell r="B815" t="str">
            <v>Travel Agents</v>
          </cell>
          <cell r="C815">
            <v>59150</v>
          </cell>
          <cell r="D815">
            <v>4.4000000000000004</v>
          </cell>
          <cell r="E815">
            <v>52690</v>
          </cell>
          <cell r="F815">
            <v>1.3</v>
          </cell>
          <cell r="G815">
            <v>48450</v>
          </cell>
        </row>
        <row r="816">
          <cell r="A816" t="str">
            <v>41-3090</v>
          </cell>
          <cell r="B816" t="str">
            <v>Miscellaneous Sales Representatives, Services</v>
          </cell>
          <cell r="C816">
            <v>1189330</v>
          </cell>
          <cell r="D816">
            <v>0.7</v>
          </cell>
          <cell r="E816">
            <v>81260</v>
          </cell>
          <cell r="F816">
            <v>0.5</v>
          </cell>
          <cell r="G816">
            <v>66260</v>
          </cell>
        </row>
        <row r="817">
          <cell r="A817" t="str">
            <v>41-3091</v>
          </cell>
          <cell r="B817" t="str">
            <v>Sales Representatives of Services, Except Advertising, Insurance, Financial Services, and Travel</v>
          </cell>
          <cell r="C817">
            <v>1189330</v>
          </cell>
          <cell r="D817">
            <v>0.7</v>
          </cell>
          <cell r="E817">
            <v>81260</v>
          </cell>
          <cell r="F817">
            <v>0.5</v>
          </cell>
          <cell r="G817">
            <v>66260</v>
          </cell>
        </row>
        <row r="818">
          <cell r="A818" t="str">
            <v>41-4000</v>
          </cell>
          <cell r="B818" t="str">
            <v>Sales Representatives, Wholesale and Manufacturing</v>
          </cell>
          <cell r="C818">
            <v>1560790</v>
          </cell>
          <cell r="D818">
            <v>0.5</v>
          </cell>
          <cell r="E818">
            <v>87690</v>
          </cell>
          <cell r="F818">
            <v>0.5</v>
          </cell>
          <cell r="G818">
            <v>74100</v>
          </cell>
        </row>
        <row r="819">
          <cell r="A819" t="str">
            <v>41-4010</v>
          </cell>
          <cell r="B819" t="str">
            <v>Sales Representatives, Wholesale and Manufacturing</v>
          </cell>
          <cell r="C819">
            <v>1560790</v>
          </cell>
          <cell r="D819">
            <v>0.5</v>
          </cell>
          <cell r="E819">
            <v>87690</v>
          </cell>
          <cell r="F819">
            <v>0.5</v>
          </cell>
          <cell r="G819">
            <v>74100</v>
          </cell>
        </row>
        <row r="820">
          <cell r="A820" t="str">
            <v>41-4011</v>
          </cell>
          <cell r="B820" t="str">
            <v>Sales Representatives, Wholesale and Manufacturing, Technical and Scientific Products</v>
          </cell>
          <cell r="C820">
            <v>293930</v>
          </cell>
          <cell r="D820">
            <v>2</v>
          </cell>
          <cell r="E820">
            <v>114520</v>
          </cell>
          <cell r="F820">
            <v>0.9</v>
          </cell>
          <cell r="G820">
            <v>100070</v>
          </cell>
        </row>
        <row r="821">
          <cell r="A821" t="str">
            <v>41-4012</v>
          </cell>
          <cell r="B821" t="str">
            <v>Sales Representatives, Wholesale and Manufacturing, Except Technical and Scientific Products</v>
          </cell>
          <cell r="C821">
            <v>1266860</v>
          </cell>
          <cell r="D821">
            <v>0.6</v>
          </cell>
          <cell r="E821">
            <v>81470</v>
          </cell>
          <cell r="F821">
            <v>0.5</v>
          </cell>
          <cell r="G821">
            <v>66780</v>
          </cell>
        </row>
        <row r="822">
          <cell r="A822" t="str">
            <v>41-9000</v>
          </cell>
          <cell r="B822" t="str">
            <v>Other Sales and Related Workers</v>
          </cell>
          <cell r="C822">
            <v>537090</v>
          </cell>
          <cell r="D822">
            <v>1.8</v>
          </cell>
          <cell r="E822">
            <v>68850</v>
          </cell>
          <cell r="F822">
            <v>1.1000000000000001</v>
          </cell>
          <cell r="G822">
            <v>49720</v>
          </cell>
        </row>
        <row r="823">
          <cell r="A823" t="str">
            <v>41-9010</v>
          </cell>
          <cell r="B823" t="str">
            <v>Models, Demonstrators, and Product Promoters</v>
          </cell>
          <cell r="C823">
            <v>70120</v>
          </cell>
          <cell r="D823">
            <v>5</v>
          </cell>
          <cell r="E823">
            <v>46610</v>
          </cell>
          <cell r="F823">
            <v>1.9</v>
          </cell>
          <cell r="G823">
            <v>38760</v>
          </cell>
        </row>
        <row r="824">
          <cell r="A824" t="str">
            <v>41-9011</v>
          </cell>
          <cell r="B824" t="str">
            <v>Demonstrators and Product Promoters</v>
          </cell>
          <cell r="C824">
            <v>64770</v>
          </cell>
          <cell r="D824">
            <v>5.4</v>
          </cell>
          <cell r="E824">
            <v>43730</v>
          </cell>
          <cell r="F824">
            <v>2</v>
          </cell>
          <cell r="G824">
            <v>37960</v>
          </cell>
        </row>
        <row r="825">
          <cell r="A825" t="str">
            <v>41-9012</v>
          </cell>
          <cell r="B825" t="str">
            <v>Models</v>
          </cell>
          <cell r="C825">
            <v>5350</v>
          </cell>
          <cell r="D825">
            <v>11.8</v>
          </cell>
          <cell r="E825">
            <v>81540</v>
          </cell>
          <cell r="F825">
            <v>6.3</v>
          </cell>
          <cell r="G825">
            <v>89990</v>
          </cell>
        </row>
        <row r="826">
          <cell r="A826" t="str">
            <v>41-9020</v>
          </cell>
          <cell r="B826" t="str">
            <v>Real Estate Brokers and Sales Agents</v>
          </cell>
          <cell r="C826">
            <v>240190</v>
          </cell>
          <cell r="D826">
            <v>3.6</v>
          </cell>
          <cell r="E826">
            <v>75240</v>
          </cell>
          <cell r="F826">
            <v>1.5</v>
          </cell>
          <cell r="G826">
            <v>58960</v>
          </cell>
        </row>
        <row r="827">
          <cell r="A827" t="str">
            <v>41-9021</v>
          </cell>
          <cell r="B827" t="str">
            <v>Real Estate Brokers</v>
          </cell>
          <cell r="C827">
            <v>49590</v>
          </cell>
          <cell r="D827">
            <v>13.6</v>
          </cell>
          <cell r="E827">
            <v>91660</v>
          </cell>
          <cell r="F827">
            <v>3</v>
          </cell>
          <cell r="G827">
            <v>72280</v>
          </cell>
        </row>
        <row r="828">
          <cell r="A828" t="str">
            <v>41-9022</v>
          </cell>
          <cell r="B828" t="str">
            <v>Real Estate Sales Agents</v>
          </cell>
          <cell r="C828">
            <v>190600</v>
          </cell>
          <cell r="D828">
            <v>2.2999999999999998</v>
          </cell>
          <cell r="E828">
            <v>70970</v>
          </cell>
          <cell r="F828">
            <v>1.6</v>
          </cell>
          <cell r="G828">
            <v>56320</v>
          </cell>
        </row>
        <row r="829">
          <cell r="A829" t="str">
            <v>41-9030</v>
          </cell>
          <cell r="B829" t="str">
            <v>Sales Engineers</v>
          </cell>
          <cell r="C829">
            <v>56690</v>
          </cell>
          <cell r="D829">
            <v>3.3</v>
          </cell>
          <cell r="E829">
            <v>130410</v>
          </cell>
          <cell r="F829">
            <v>1.3</v>
          </cell>
          <cell r="G829">
            <v>121520</v>
          </cell>
        </row>
        <row r="830">
          <cell r="A830" t="str">
            <v>41-9031</v>
          </cell>
          <cell r="B830" t="str">
            <v>Sales Engineers</v>
          </cell>
          <cell r="C830">
            <v>56690</v>
          </cell>
          <cell r="D830">
            <v>3.3</v>
          </cell>
          <cell r="E830">
            <v>130410</v>
          </cell>
          <cell r="F830">
            <v>1.3</v>
          </cell>
          <cell r="G830">
            <v>121520</v>
          </cell>
        </row>
        <row r="831">
          <cell r="A831" t="str">
            <v>41-9040</v>
          </cell>
          <cell r="B831" t="str">
            <v>Telemarketers</v>
          </cell>
          <cell r="C831">
            <v>66430</v>
          </cell>
          <cell r="D831">
            <v>4.4000000000000004</v>
          </cell>
          <cell r="E831">
            <v>36340</v>
          </cell>
          <cell r="F831">
            <v>1.3</v>
          </cell>
          <cell r="G831">
            <v>34410</v>
          </cell>
        </row>
        <row r="832">
          <cell r="A832" t="str">
            <v>41-9041</v>
          </cell>
          <cell r="B832" t="str">
            <v>Telemarketers</v>
          </cell>
          <cell r="C832">
            <v>66430</v>
          </cell>
          <cell r="D832">
            <v>4.4000000000000004</v>
          </cell>
          <cell r="E832">
            <v>36340</v>
          </cell>
          <cell r="F832">
            <v>1.3</v>
          </cell>
          <cell r="G832">
            <v>34410</v>
          </cell>
        </row>
        <row r="833">
          <cell r="A833" t="str">
            <v>41-9090</v>
          </cell>
          <cell r="B833" t="str">
            <v>Miscellaneous Sales and Related Workers</v>
          </cell>
          <cell r="C833">
            <v>103660</v>
          </cell>
          <cell r="D833">
            <v>3.5</v>
          </cell>
          <cell r="E833">
            <v>56270</v>
          </cell>
          <cell r="F833">
            <v>2.1</v>
          </cell>
          <cell r="G833">
            <v>46000</v>
          </cell>
        </row>
        <row r="834">
          <cell r="A834" t="str">
            <v>41-9091</v>
          </cell>
          <cell r="B834" t="str">
            <v>Door-to-Door Sales Workers, News and Street Vendors, and Related Workers</v>
          </cell>
          <cell r="C834">
            <v>4590</v>
          </cell>
          <cell r="D834">
            <v>11.2</v>
          </cell>
          <cell r="E834">
            <v>39890</v>
          </cell>
          <cell r="F834">
            <v>4.5</v>
          </cell>
          <cell r="G834">
            <v>34530</v>
          </cell>
        </row>
        <row r="835">
          <cell r="A835" t="str">
            <v>41-9099</v>
          </cell>
          <cell r="B835" t="str">
            <v>Sales and Related Workers, All Other</v>
          </cell>
          <cell r="C835">
            <v>99070</v>
          </cell>
          <cell r="D835">
            <v>3.5</v>
          </cell>
          <cell r="E835">
            <v>57030</v>
          </cell>
          <cell r="F835">
            <v>2.1</v>
          </cell>
          <cell r="G835">
            <v>46370</v>
          </cell>
        </row>
        <row r="836">
          <cell r="A836" t="str">
            <v>43-0000</v>
          </cell>
          <cell r="B836" t="str">
            <v>Office and Administrative Support Occupations</v>
          </cell>
          <cell r="C836">
            <v>18218070</v>
          </cell>
          <cell r="D836">
            <v>0.1</v>
          </cell>
          <cell r="E836">
            <v>50160</v>
          </cell>
          <cell r="F836">
            <v>0.1</v>
          </cell>
          <cell r="G836">
            <v>46320</v>
          </cell>
        </row>
        <row r="837">
          <cell r="A837" t="str">
            <v>43-1000</v>
          </cell>
          <cell r="B837" t="str">
            <v>Supervisors of Office and Administrative Support Workers</v>
          </cell>
          <cell r="C837">
            <v>1495580</v>
          </cell>
          <cell r="D837">
            <v>0.4</v>
          </cell>
          <cell r="E837">
            <v>71560</v>
          </cell>
          <cell r="F837">
            <v>0.2</v>
          </cell>
          <cell r="G837">
            <v>66140</v>
          </cell>
        </row>
        <row r="838">
          <cell r="A838" t="str">
            <v>43-1010</v>
          </cell>
          <cell r="B838" t="str">
            <v>First-Line Supervisors of Office and Administrative Support Workers</v>
          </cell>
          <cell r="C838">
            <v>1495580</v>
          </cell>
          <cell r="D838">
            <v>0.4</v>
          </cell>
          <cell r="E838">
            <v>71560</v>
          </cell>
          <cell r="F838">
            <v>0.2</v>
          </cell>
          <cell r="G838">
            <v>66140</v>
          </cell>
        </row>
        <row r="839">
          <cell r="A839" t="str">
            <v>43-1011</v>
          </cell>
          <cell r="B839" t="str">
            <v>First-Line Supervisors of Office and Administrative Support Workers</v>
          </cell>
          <cell r="C839">
            <v>1495580</v>
          </cell>
          <cell r="D839">
            <v>0.4</v>
          </cell>
          <cell r="E839">
            <v>71560</v>
          </cell>
          <cell r="F839">
            <v>0.2</v>
          </cell>
          <cell r="G839">
            <v>66140</v>
          </cell>
        </row>
        <row r="840">
          <cell r="A840" t="str">
            <v>43-2000</v>
          </cell>
          <cell r="B840" t="str">
            <v>Communications Equipment Operators</v>
          </cell>
          <cell r="C840">
            <v>41070</v>
          </cell>
          <cell r="D840">
            <v>2.2999999999999998</v>
          </cell>
          <cell r="E840">
            <v>42670</v>
          </cell>
          <cell r="F840">
            <v>0.6</v>
          </cell>
          <cell r="G840">
            <v>38600</v>
          </cell>
        </row>
        <row r="841">
          <cell r="A841" t="str">
            <v>43-2010</v>
          </cell>
          <cell r="B841" t="str">
            <v>Switchboard Operators, Including Answering Service</v>
          </cell>
          <cell r="C841">
            <v>35730</v>
          </cell>
          <cell r="D841">
            <v>2.6</v>
          </cell>
          <cell r="E841">
            <v>42130</v>
          </cell>
          <cell r="F841">
            <v>0.6</v>
          </cell>
          <cell r="G841">
            <v>38370</v>
          </cell>
        </row>
        <row r="842">
          <cell r="A842" t="str">
            <v>43-2011</v>
          </cell>
          <cell r="B842" t="str">
            <v>Switchboard Operators, Including Answering Service</v>
          </cell>
          <cell r="C842">
            <v>35730</v>
          </cell>
          <cell r="D842">
            <v>2.6</v>
          </cell>
          <cell r="E842">
            <v>42130</v>
          </cell>
          <cell r="F842">
            <v>0.6</v>
          </cell>
          <cell r="G842">
            <v>38370</v>
          </cell>
        </row>
        <row r="843">
          <cell r="A843" t="str">
            <v>43-2020</v>
          </cell>
          <cell r="B843" t="str">
            <v>Telephone Operators</v>
          </cell>
          <cell r="C843">
            <v>3950</v>
          </cell>
          <cell r="D843">
            <v>6.6</v>
          </cell>
          <cell r="E843">
            <v>42880</v>
          </cell>
          <cell r="F843">
            <v>1.1000000000000001</v>
          </cell>
          <cell r="G843">
            <v>39130</v>
          </cell>
        </row>
        <row r="844">
          <cell r="A844" t="str">
            <v>43-2021</v>
          </cell>
          <cell r="B844" t="str">
            <v>Telephone Operators</v>
          </cell>
          <cell r="C844">
            <v>3950</v>
          </cell>
          <cell r="D844">
            <v>6.6</v>
          </cell>
          <cell r="E844">
            <v>42880</v>
          </cell>
          <cell r="F844">
            <v>1.1000000000000001</v>
          </cell>
          <cell r="G844">
            <v>39130</v>
          </cell>
        </row>
        <row r="845">
          <cell r="A845" t="str">
            <v>43-2090</v>
          </cell>
          <cell r="B845" t="str">
            <v>Miscellaneous Communications Equipment Operators</v>
          </cell>
          <cell r="C845">
            <v>1390</v>
          </cell>
          <cell r="D845">
            <v>9.9</v>
          </cell>
          <cell r="E845">
            <v>55890</v>
          </cell>
          <cell r="F845">
            <v>2.1</v>
          </cell>
          <cell r="G845">
            <v>49910</v>
          </cell>
        </row>
        <row r="846">
          <cell r="A846" t="str">
            <v>43-2099</v>
          </cell>
          <cell r="B846" t="str">
            <v>Communications Equipment Operators, All Other</v>
          </cell>
          <cell r="C846">
            <v>1390</v>
          </cell>
          <cell r="D846">
            <v>9.9</v>
          </cell>
          <cell r="E846">
            <v>55890</v>
          </cell>
          <cell r="F846">
            <v>2.1</v>
          </cell>
          <cell r="G846">
            <v>49910</v>
          </cell>
        </row>
        <row r="847">
          <cell r="A847" t="str">
            <v>43-3000</v>
          </cell>
          <cell r="B847" t="str">
            <v>Financial Clerks</v>
          </cell>
          <cell r="C847">
            <v>2645000</v>
          </cell>
          <cell r="D847">
            <v>0.4</v>
          </cell>
          <cell r="E847">
            <v>50200</v>
          </cell>
          <cell r="F847">
            <v>0.2</v>
          </cell>
          <cell r="G847">
            <v>47370</v>
          </cell>
        </row>
        <row r="848">
          <cell r="A848" t="str">
            <v>43-3010</v>
          </cell>
          <cell r="B848" t="str">
            <v>Bill and Account Collectors</v>
          </cell>
          <cell r="C848">
            <v>165020</v>
          </cell>
          <cell r="D848">
            <v>1.6</v>
          </cell>
          <cell r="E848">
            <v>48370</v>
          </cell>
          <cell r="F848">
            <v>0.5</v>
          </cell>
          <cell r="G848">
            <v>46040</v>
          </cell>
        </row>
        <row r="849">
          <cell r="A849" t="str">
            <v>43-3011</v>
          </cell>
          <cell r="B849" t="str">
            <v>Bill and Account Collectors</v>
          </cell>
          <cell r="C849">
            <v>165020</v>
          </cell>
          <cell r="D849">
            <v>1.6</v>
          </cell>
          <cell r="E849">
            <v>48370</v>
          </cell>
          <cell r="F849">
            <v>0.5</v>
          </cell>
          <cell r="G849">
            <v>46040</v>
          </cell>
        </row>
        <row r="850">
          <cell r="A850" t="str">
            <v>43-3020</v>
          </cell>
          <cell r="B850" t="str">
            <v>Billing and Posting Clerks</v>
          </cell>
          <cell r="C850">
            <v>417500</v>
          </cell>
          <cell r="D850">
            <v>1.1000000000000001</v>
          </cell>
          <cell r="E850">
            <v>49490</v>
          </cell>
          <cell r="F850">
            <v>0.3</v>
          </cell>
          <cell r="G850">
            <v>47170</v>
          </cell>
        </row>
        <row r="851">
          <cell r="A851" t="str">
            <v>43-3021</v>
          </cell>
          <cell r="B851" t="str">
            <v>Billing and Posting Clerks</v>
          </cell>
          <cell r="C851">
            <v>417500</v>
          </cell>
          <cell r="D851">
            <v>1.1000000000000001</v>
          </cell>
          <cell r="E851">
            <v>49490</v>
          </cell>
          <cell r="F851">
            <v>0.3</v>
          </cell>
          <cell r="G851">
            <v>47170</v>
          </cell>
        </row>
        <row r="852">
          <cell r="A852" t="str">
            <v>43-3030</v>
          </cell>
          <cell r="B852" t="str">
            <v>Bookkeeping, Accounting, and Auditing Clerks</v>
          </cell>
          <cell r="C852">
            <v>1455770</v>
          </cell>
          <cell r="D852">
            <v>0.5</v>
          </cell>
          <cell r="E852">
            <v>52020</v>
          </cell>
          <cell r="F852">
            <v>0.2</v>
          </cell>
          <cell r="G852">
            <v>49210</v>
          </cell>
        </row>
        <row r="853">
          <cell r="A853" t="str">
            <v>43-3031</v>
          </cell>
          <cell r="B853" t="str">
            <v>Bookkeeping, Accounting, and Auditing Clerks</v>
          </cell>
          <cell r="C853">
            <v>1455770</v>
          </cell>
          <cell r="D853">
            <v>0.5</v>
          </cell>
          <cell r="E853">
            <v>52020</v>
          </cell>
          <cell r="F853">
            <v>0.2</v>
          </cell>
          <cell r="G853">
            <v>49210</v>
          </cell>
        </row>
        <row r="854">
          <cell r="A854" t="str">
            <v>43-3040</v>
          </cell>
          <cell r="B854" t="str">
            <v>Gambling Cage Workers</v>
          </cell>
          <cell r="C854">
            <v>13490</v>
          </cell>
          <cell r="D854">
            <v>1.1000000000000001</v>
          </cell>
          <cell r="E854">
            <v>38600</v>
          </cell>
          <cell r="F854">
            <v>0.3</v>
          </cell>
          <cell r="G854">
            <v>36990</v>
          </cell>
        </row>
        <row r="855">
          <cell r="A855" t="str">
            <v>43-3041</v>
          </cell>
          <cell r="B855" t="str">
            <v>Gambling Cage Workers</v>
          </cell>
          <cell r="C855">
            <v>13490</v>
          </cell>
          <cell r="D855">
            <v>1.1000000000000001</v>
          </cell>
          <cell r="E855">
            <v>38600</v>
          </cell>
          <cell r="F855">
            <v>0.3</v>
          </cell>
          <cell r="G855">
            <v>36990</v>
          </cell>
        </row>
        <row r="856">
          <cell r="A856" t="str">
            <v>43-3050</v>
          </cell>
          <cell r="B856" t="str">
            <v>Payroll and Timekeeping Clerks</v>
          </cell>
          <cell r="C856">
            <v>156950</v>
          </cell>
          <cell r="D856">
            <v>1.4</v>
          </cell>
          <cell r="E856">
            <v>56870</v>
          </cell>
          <cell r="F856">
            <v>0.3</v>
          </cell>
          <cell r="G856">
            <v>55290</v>
          </cell>
        </row>
        <row r="857">
          <cell r="A857" t="str">
            <v>43-3051</v>
          </cell>
          <cell r="B857" t="str">
            <v>Payroll and Timekeeping Clerks</v>
          </cell>
          <cell r="C857">
            <v>156950</v>
          </cell>
          <cell r="D857">
            <v>1.4</v>
          </cell>
          <cell r="E857">
            <v>56870</v>
          </cell>
          <cell r="F857">
            <v>0.3</v>
          </cell>
          <cell r="G857">
            <v>55290</v>
          </cell>
        </row>
        <row r="858">
          <cell r="A858" t="str">
            <v>43-3060</v>
          </cell>
          <cell r="B858" t="str">
            <v>Procurement Clerks</v>
          </cell>
          <cell r="C858">
            <v>59900</v>
          </cell>
          <cell r="D858">
            <v>1.3</v>
          </cell>
          <cell r="E858">
            <v>50430</v>
          </cell>
          <cell r="F858">
            <v>0.3</v>
          </cell>
          <cell r="G858">
            <v>48510</v>
          </cell>
        </row>
        <row r="859">
          <cell r="A859" t="str">
            <v>43-3061</v>
          </cell>
          <cell r="B859" t="str">
            <v>Procurement Clerks</v>
          </cell>
          <cell r="C859">
            <v>59900</v>
          </cell>
          <cell r="D859">
            <v>1.3</v>
          </cell>
          <cell r="E859">
            <v>50430</v>
          </cell>
          <cell r="F859">
            <v>0.3</v>
          </cell>
          <cell r="G859">
            <v>48510</v>
          </cell>
        </row>
        <row r="860">
          <cell r="A860" t="str">
            <v>43-3070</v>
          </cell>
          <cell r="B860" t="str">
            <v>Tellers</v>
          </cell>
          <cell r="C860">
            <v>339340</v>
          </cell>
          <cell r="D860">
            <v>1.3</v>
          </cell>
          <cell r="E860">
            <v>40940</v>
          </cell>
          <cell r="F860">
            <v>0.3</v>
          </cell>
          <cell r="G860">
            <v>39340</v>
          </cell>
        </row>
        <row r="861">
          <cell r="A861" t="str">
            <v>43-3071</v>
          </cell>
          <cell r="B861" t="str">
            <v>Tellers</v>
          </cell>
          <cell r="C861">
            <v>339340</v>
          </cell>
          <cell r="D861">
            <v>1.3</v>
          </cell>
          <cell r="E861">
            <v>40940</v>
          </cell>
          <cell r="F861">
            <v>0.3</v>
          </cell>
          <cell r="G861">
            <v>39340</v>
          </cell>
        </row>
        <row r="862">
          <cell r="A862" t="str">
            <v>43-3090</v>
          </cell>
          <cell r="B862" t="str">
            <v>Miscellaneous Financial Clerks</v>
          </cell>
          <cell r="C862">
            <v>37030</v>
          </cell>
          <cell r="D862">
            <v>3</v>
          </cell>
          <cell r="E862">
            <v>55330</v>
          </cell>
          <cell r="F862">
            <v>0.6</v>
          </cell>
          <cell r="G862">
            <v>52150</v>
          </cell>
        </row>
        <row r="863">
          <cell r="A863" t="str">
            <v>43-3099</v>
          </cell>
          <cell r="B863" t="str">
            <v>Financial Clerks, All Other</v>
          </cell>
          <cell r="C863">
            <v>37030</v>
          </cell>
          <cell r="D863">
            <v>3</v>
          </cell>
          <cell r="E863">
            <v>55330</v>
          </cell>
          <cell r="F863">
            <v>0.6</v>
          </cell>
          <cell r="G863">
            <v>52150</v>
          </cell>
        </row>
        <row r="864">
          <cell r="A864" t="str">
            <v>43-4000</v>
          </cell>
          <cell r="B864" t="str">
            <v>Information and Record Clerks</v>
          </cell>
          <cell r="C864">
            <v>5311310</v>
          </cell>
          <cell r="D864">
            <v>0.4</v>
          </cell>
          <cell r="E864">
            <v>44580</v>
          </cell>
          <cell r="F864">
            <v>0.1</v>
          </cell>
          <cell r="G864">
            <v>41600</v>
          </cell>
        </row>
        <row r="865">
          <cell r="A865" t="str">
            <v>43-4010</v>
          </cell>
          <cell r="B865" t="str">
            <v>Brokerage Clerks</v>
          </cell>
          <cell r="C865">
            <v>40090</v>
          </cell>
          <cell r="D865">
            <v>4</v>
          </cell>
          <cell r="E865">
            <v>67680</v>
          </cell>
          <cell r="F865">
            <v>0.9</v>
          </cell>
          <cell r="G865">
            <v>62940</v>
          </cell>
        </row>
        <row r="866">
          <cell r="A866" t="str">
            <v>43-4011</v>
          </cell>
          <cell r="B866" t="str">
            <v>Brokerage Clerks</v>
          </cell>
          <cell r="C866">
            <v>40090</v>
          </cell>
          <cell r="D866">
            <v>4</v>
          </cell>
          <cell r="E866">
            <v>67680</v>
          </cell>
          <cell r="F866">
            <v>0.9</v>
          </cell>
          <cell r="G866">
            <v>62940</v>
          </cell>
        </row>
        <row r="867">
          <cell r="A867" t="str">
            <v>43-4020</v>
          </cell>
          <cell r="B867" t="str">
            <v>Correspondence Clerks</v>
          </cell>
          <cell r="C867">
            <v>6260</v>
          </cell>
          <cell r="D867">
            <v>9</v>
          </cell>
          <cell r="E867">
            <v>46610</v>
          </cell>
          <cell r="F867">
            <v>2.6</v>
          </cell>
          <cell r="G867">
            <v>46740</v>
          </cell>
        </row>
        <row r="868">
          <cell r="A868" t="str">
            <v>43-4021</v>
          </cell>
          <cell r="B868" t="str">
            <v>Correspondence Clerks</v>
          </cell>
          <cell r="C868">
            <v>6260</v>
          </cell>
          <cell r="D868">
            <v>9</v>
          </cell>
          <cell r="E868">
            <v>46610</v>
          </cell>
          <cell r="F868">
            <v>2.6</v>
          </cell>
          <cell r="G868">
            <v>46740</v>
          </cell>
        </row>
        <row r="869">
          <cell r="A869" t="str">
            <v>43-4030</v>
          </cell>
          <cell r="B869" t="str">
            <v>Court, Municipal, and License Clerks</v>
          </cell>
          <cell r="C869">
            <v>170010</v>
          </cell>
          <cell r="D869">
            <v>0.8</v>
          </cell>
          <cell r="E869">
            <v>51200</v>
          </cell>
          <cell r="F869">
            <v>0.2</v>
          </cell>
          <cell r="G869">
            <v>47700</v>
          </cell>
        </row>
        <row r="870">
          <cell r="A870" t="str">
            <v>43-4031</v>
          </cell>
          <cell r="B870" t="str">
            <v>Court, Municipal, and License Clerks</v>
          </cell>
          <cell r="C870">
            <v>170010</v>
          </cell>
          <cell r="D870">
            <v>0.8</v>
          </cell>
          <cell r="E870">
            <v>51200</v>
          </cell>
          <cell r="F870">
            <v>0.2</v>
          </cell>
          <cell r="G870">
            <v>47700</v>
          </cell>
        </row>
        <row r="871">
          <cell r="A871" t="str">
            <v>43-4040</v>
          </cell>
          <cell r="B871" t="str">
            <v>Credit Authorizers, Checkers, and Clerks</v>
          </cell>
          <cell r="C871">
            <v>11960</v>
          </cell>
          <cell r="D871">
            <v>4.3</v>
          </cell>
          <cell r="E871">
            <v>51270</v>
          </cell>
          <cell r="F871">
            <v>1.2</v>
          </cell>
          <cell r="G871">
            <v>49130</v>
          </cell>
        </row>
        <row r="872">
          <cell r="A872" t="str">
            <v>43-4041</v>
          </cell>
          <cell r="B872" t="str">
            <v>Credit Authorizers, Checkers, and Clerks</v>
          </cell>
          <cell r="C872">
            <v>11960</v>
          </cell>
          <cell r="D872">
            <v>4.3</v>
          </cell>
          <cell r="E872">
            <v>51270</v>
          </cell>
          <cell r="F872">
            <v>1.2</v>
          </cell>
          <cell r="G872">
            <v>49130</v>
          </cell>
        </row>
        <row r="873">
          <cell r="A873" t="str">
            <v>43-4050</v>
          </cell>
          <cell r="B873" t="str">
            <v>Customer Service Representatives</v>
          </cell>
          <cell r="C873">
            <v>2725930</v>
          </cell>
          <cell r="D873">
            <v>0.4</v>
          </cell>
          <cell r="E873">
            <v>45380</v>
          </cell>
          <cell r="F873">
            <v>0.2</v>
          </cell>
          <cell r="G873">
            <v>42830</v>
          </cell>
        </row>
        <row r="874">
          <cell r="A874" t="str">
            <v>43-4051</v>
          </cell>
          <cell r="B874" t="str">
            <v>Customer Service Representatives</v>
          </cell>
          <cell r="C874">
            <v>2725930</v>
          </cell>
          <cell r="D874">
            <v>0.4</v>
          </cell>
          <cell r="E874">
            <v>45380</v>
          </cell>
          <cell r="F874">
            <v>0.2</v>
          </cell>
          <cell r="G874">
            <v>42830</v>
          </cell>
        </row>
        <row r="875">
          <cell r="A875" t="str">
            <v>43-4060</v>
          </cell>
          <cell r="B875" t="str">
            <v>Eligibility Interviewers, Government Programs</v>
          </cell>
          <cell r="C875">
            <v>156260</v>
          </cell>
          <cell r="D875">
            <v>1.1000000000000001</v>
          </cell>
          <cell r="E875">
            <v>53970</v>
          </cell>
          <cell r="F875">
            <v>0.3</v>
          </cell>
          <cell r="G875">
            <v>51500</v>
          </cell>
        </row>
        <row r="876">
          <cell r="A876" t="str">
            <v>43-4061</v>
          </cell>
          <cell r="B876" t="str">
            <v>Eligibility Interviewers, Government Programs</v>
          </cell>
          <cell r="C876">
            <v>156260</v>
          </cell>
          <cell r="D876">
            <v>1.1000000000000001</v>
          </cell>
          <cell r="E876">
            <v>53970</v>
          </cell>
          <cell r="F876">
            <v>0.3</v>
          </cell>
          <cell r="G876">
            <v>51500</v>
          </cell>
        </row>
        <row r="877">
          <cell r="A877" t="str">
            <v>43-4070</v>
          </cell>
          <cell r="B877" t="str">
            <v>File Clerks</v>
          </cell>
          <cell r="C877">
            <v>78980</v>
          </cell>
          <cell r="D877">
            <v>2.8</v>
          </cell>
          <cell r="E877">
            <v>43700</v>
          </cell>
          <cell r="F877">
            <v>0.5</v>
          </cell>
          <cell r="G877">
            <v>41270</v>
          </cell>
        </row>
        <row r="878">
          <cell r="A878" t="str">
            <v>43-4071</v>
          </cell>
          <cell r="B878" t="str">
            <v>File Clerks</v>
          </cell>
          <cell r="C878">
            <v>78980</v>
          </cell>
          <cell r="D878">
            <v>2.8</v>
          </cell>
          <cell r="E878">
            <v>43700</v>
          </cell>
          <cell r="F878">
            <v>0.5</v>
          </cell>
          <cell r="G878">
            <v>41270</v>
          </cell>
        </row>
        <row r="879">
          <cell r="A879" t="str">
            <v>43-4080</v>
          </cell>
          <cell r="B879" t="str">
            <v>Hotel, Motel, and Resort Desk Clerks</v>
          </cell>
          <cell r="C879">
            <v>261430</v>
          </cell>
          <cell r="D879">
            <v>0.9</v>
          </cell>
          <cell r="E879">
            <v>34740</v>
          </cell>
          <cell r="F879">
            <v>0.3</v>
          </cell>
          <cell r="G879">
            <v>34270</v>
          </cell>
        </row>
        <row r="880">
          <cell r="A880" t="str">
            <v>43-4081</v>
          </cell>
          <cell r="B880" t="str">
            <v>Hotel, Motel, and Resort Desk Clerks</v>
          </cell>
          <cell r="C880">
            <v>261430</v>
          </cell>
          <cell r="D880">
            <v>0.9</v>
          </cell>
          <cell r="E880">
            <v>34740</v>
          </cell>
          <cell r="F880">
            <v>0.3</v>
          </cell>
          <cell r="G880">
            <v>34270</v>
          </cell>
        </row>
        <row r="881">
          <cell r="A881" t="str">
            <v>43-4110</v>
          </cell>
          <cell r="B881" t="str">
            <v>Interviewers, Except Eligibility and Loan</v>
          </cell>
          <cell r="C881">
            <v>157310</v>
          </cell>
          <cell r="D881">
            <v>1.5</v>
          </cell>
          <cell r="E881">
            <v>45400</v>
          </cell>
          <cell r="F881">
            <v>0.5</v>
          </cell>
          <cell r="G881">
            <v>43830</v>
          </cell>
        </row>
        <row r="882">
          <cell r="A882" t="str">
            <v>43-4111</v>
          </cell>
          <cell r="B882" t="str">
            <v>Interviewers, Except Eligibility and Loan</v>
          </cell>
          <cell r="C882">
            <v>157310</v>
          </cell>
          <cell r="D882">
            <v>1.5</v>
          </cell>
          <cell r="E882">
            <v>45400</v>
          </cell>
          <cell r="F882">
            <v>0.5</v>
          </cell>
          <cell r="G882">
            <v>43830</v>
          </cell>
        </row>
        <row r="883">
          <cell r="A883" t="str">
            <v>43-4120</v>
          </cell>
          <cell r="B883" t="str">
            <v>Library Assistants, Clerical</v>
          </cell>
          <cell r="C883">
            <v>80070</v>
          </cell>
          <cell r="D883">
            <v>1.8</v>
          </cell>
          <cell r="E883">
            <v>37910</v>
          </cell>
          <cell r="F883">
            <v>0.4</v>
          </cell>
          <cell r="G883">
            <v>36010</v>
          </cell>
        </row>
        <row r="884">
          <cell r="A884" t="str">
            <v>43-4121</v>
          </cell>
          <cell r="B884" t="str">
            <v>Library Assistants, Clerical</v>
          </cell>
          <cell r="C884">
            <v>80070</v>
          </cell>
          <cell r="D884">
            <v>1.8</v>
          </cell>
          <cell r="E884">
            <v>37910</v>
          </cell>
          <cell r="F884">
            <v>0.4</v>
          </cell>
          <cell r="G884">
            <v>36010</v>
          </cell>
        </row>
        <row r="885">
          <cell r="A885" t="str">
            <v>43-4130</v>
          </cell>
          <cell r="B885" t="str">
            <v>Loan Interviewers and Clerks</v>
          </cell>
          <cell r="C885">
            <v>173100</v>
          </cell>
          <cell r="D885">
            <v>4.0999999999999996</v>
          </cell>
          <cell r="E885">
            <v>51050</v>
          </cell>
          <cell r="F885">
            <v>1.1000000000000001</v>
          </cell>
          <cell r="G885">
            <v>48950</v>
          </cell>
        </row>
        <row r="886">
          <cell r="A886" t="str">
            <v>43-4131</v>
          </cell>
          <cell r="B886" t="str">
            <v>Loan Interviewers and Clerks</v>
          </cell>
          <cell r="C886">
            <v>173100</v>
          </cell>
          <cell r="D886">
            <v>4.0999999999999996</v>
          </cell>
          <cell r="E886">
            <v>51050</v>
          </cell>
          <cell r="F886">
            <v>1.1000000000000001</v>
          </cell>
          <cell r="G886">
            <v>48950</v>
          </cell>
        </row>
        <row r="887">
          <cell r="A887" t="str">
            <v>43-4140</v>
          </cell>
          <cell r="B887" t="str">
            <v>New Accounts Clerks</v>
          </cell>
          <cell r="C887">
            <v>38030</v>
          </cell>
          <cell r="D887">
            <v>3.5</v>
          </cell>
          <cell r="E887">
            <v>47610</v>
          </cell>
          <cell r="F887">
            <v>0.6</v>
          </cell>
          <cell r="G887">
            <v>46610</v>
          </cell>
        </row>
        <row r="888">
          <cell r="A888" t="str">
            <v>43-4141</v>
          </cell>
          <cell r="B888" t="str">
            <v>New Accounts Clerks</v>
          </cell>
          <cell r="C888">
            <v>38030</v>
          </cell>
          <cell r="D888">
            <v>3.5</v>
          </cell>
          <cell r="E888">
            <v>47610</v>
          </cell>
          <cell r="F888">
            <v>0.6</v>
          </cell>
          <cell r="G888">
            <v>46610</v>
          </cell>
        </row>
        <row r="889">
          <cell r="A889" t="str">
            <v>43-4150</v>
          </cell>
          <cell r="B889" t="str">
            <v>Order Clerks</v>
          </cell>
          <cell r="C889">
            <v>83420</v>
          </cell>
          <cell r="D889">
            <v>3.6</v>
          </cell>
          <cell r="E889">
            <v>46270</v>
          </cell>
          <cell r="F889">
            <v>0.5</v>
          </cell>
          <cell r="G889">
            <v>44660</v>
          </cell>
        </row>
        <row r="890">
          <cell r="A890" t="str">
            <v>43-4151</v>
          </cell>
          <cell r="B890" t="str">
            <v>Order Clerks</v>
          </cell>
          <cell r="C890">
            <v>83420</v>
          </cell>
          <cell r="D890">
            <v>3.6</v>
          </cell>
          <cell r="E890">
            <v>46270</v>
          </cell>
          <cell r="F890">
            <v>0.5</v>
          </cell>
          <cell r="G890">
            <v>44660</v>
          </cell>
        </row>
        <row r="891">
          <cell r="A891" t="str">
            <v>43-4160</v>
          </cell>
          <cell r="B891" t="str">
            <v>Human Resources Assistants, Except Payroll and Timekeeping</v>
          </cell>
          <cell r="C891">
            <v>92580</v>
          </cell>
          <cell r="D891">
            <v>1.1000000000000001</v>
          </cell>
          <cell r="E891">
            <v>50950</v>
          </cell>
          <cell r="F891">
            <v>0.3</v>
          </cell>
          <cell r="G891">
            <v>49440</v>
          </cell>
        </row>
        <row r="892">
          <cell r="A892" t="str">
            <v>43-4161</v>
          </cell>
          <cell r="B892" t="str">
            <v>Human Resources Assistants, Except Payroll and Timekeeping</v>
          </cell>
          <cell r="C892">
            <v>92580</v>
          </cell>
          <cell r="D892">
            <v>1.1000000000000001</v>
          </cell>
          <cell r="E892">
            <v>50950</v>
          </cell>
          <cell r="F892">
            <v>0.3</v>
          </cell>
          <cell r="G892">
            <v>49440</v>
          </cell>
        </row>
        <row r="893">
          <cell r="A893" t="str">
            <v>43-4170</v>
          </cell>
          <cell r="B893" t="str">
            <v>Receptionists and Information Clerks</v>
          </cell>
          <cell r="C893">
            <v>964530</v>
          </cell>
          <cell r="D893">
            <v>0.8</v>
          </cell>
          <cell r="E893">
            <v>38480</v>
          </cell>
          <cell r="F893">
            <v>0.2</v>
          </cell>
          <cell r="G893">
            <v>37230</v>
          </cell>
        </row>
        <row r="894">
          <cell r="A894" t="str">
            <v>43-4171</v>
          </cell>
          <cell r="B894" t="str">
            <v>Receptionists and Information Clerks</v>
          </cell>
          <cell r="C894">
            <v>964530</v>
          </cell>
          <cell r="D894">
            <v>0.8</v>
          </cell>
          <cell r="E894">
            <v>38480</v>
          </cell>
          <cell r="F894">
            <v>0.2</v>
          </cell>
          <cell r="G894">
            <v>37230</v>
          </cell>
        </row>
        <row r="895">
          <cell r="A895" t="str">
            <v>43-4180</v>
          </cell>
          <cell r="B895" t="str">
            <v>Reservation and Transportation Ticket Agents and Travel Clerks</v>
          </cell>
          <cell r="C895">
            <v>127440</v>
          </cell>
          <cell r="D895">
            <v>1.3</v>
          </cell>
          <cell r="E895">
            <v>47720</v>
          </cell>
          <cell r="F895">
            <v>0.4</v>
          </cell>
          <cell r="G895">
            <v>41460</v>
          </cell>
        </row>
        <row r="896">
          <cell r="A896" t="str">
            <v>43-4181</v>
          </cell>
          <cell r="B896" t="str">
            <v>Reservation and Transportation Ticket Agents and Travel Clerks</v>
          </cell>
          <cell r="C896">
            <v>127440</v>
          </cell>
          <cell r="D896">
            <v>1.3</v>
          </cell>
          <cell r="E896">
            <v>47720</v>
          </cell>
          <cell r="F896">
            <v>0.4</v>
          </cell>
          <cell r="G896">
            <v>41460</v>
          </cell>
        </row>
        <row r="897">
          <cell r="A897" t="str">
            <v>43-4190</v>
          </cell>
          <cell r="B897" t="str">
            <v>Miscellaneous Information and Record Clerks</v>
          </cell>
          <cell r="C897">
            <v>143910</v>
          </cell>
          <cell r="D897">
            <v>0.9</v>
          </cell>
          <cell r="E897">
            <v>50200</v>
          </cell>
          <cell r="F897">
            <v>0.3</v>
          </cell>
          <cell r="G897">
            <v>48360</v>
          </cell>
        </row>
        <row r="898">
          <cell r="A898" t="str">
            <v>43-4199</v>
          </cell>
          <cell r="B898" t="str">
            <v>Information and Record Clerks, All Other</v>
          </cell>
          <cell r="C898">
            <v>143910</v>
          </cell>
          <cell r="D898">
            <v>0.9</v>
          </cell>
          <cell r="E898">
            <v>50200</v>
          </cell>
          <cell r="F898">
            <v>0.3</v>
          </cell>
          <cell r="G898">
            <v>48360</v>
          </cell>
        </row>
        <row r="899">
          <cell r="A899" t="str">
            <v>43-5000</v>
          </cell>
          <cell r="B899" t="str">
            <v>Material Recording, Scheduling, Dispatching, and Distributing Workers</v>
          </cell>
          <cell r="C899">
            <v>2319860</v>
          </cell>
          <cell r="D899">
            <v>0.3</v>
          </cell>
          <cell r="E899">
            <v>52440</v>
          </cell>
          <cell r="F899">
            <v>0.1</v>
          </cell>
          <cell r="G899">
            <v>48090</v>
          </cell>
        </row>
        <row r="900">
          <cell r="A900" t="str">
            <v>43-5010</v>
          </cell>
          <cell r="B900" t="str">
            <v>Cargo and Freight Agents</v>
          </cell>
          <cell r="C900">
            <v>97800</v>
          </cell>
          <cell r="D900">
            <v>2.2000000000000002</v>
          </cell>
          <cell r="E900">
            <v>55420</v>
          </cell>
          <cell r="F900">
            <v>1</v>
          </cell>
          <cell r="G900">
            <v>49900</v>
          </cell>
        </row>
        <row r="901">
          <cell r="A901" t="str">
            <v>43-5011</v>
          </cell>
          <cell r="B901" t="str">
            <v>Cargo and Freight Agents</v>
          </cell>
          <cell r="C901">
            <v>97800</v>
          </cell>
          <cell r="D901">
            <v>2.2000000000000002</v>
          </cell>
          <cell r="E901">
            <v>55420</v>
          </cell>
          <cell r="F901">
            <v>1</v>
          </cell>
          <cell r="G901">
            <v>49900</v>
          </cell>
        </row>
        <row r="902">
          <cell r="A902" t="str">
            <v>43-5020</v>
          </cell>
          <cell r="B902" t="str">
            <v>Couriers and Messengers</v>
          </cell>
          <cell r="C902">
            <v>71920</v>
          </cell>
          <cell r="D902">
            <v>2.9</v>
          </cell>
          <cell r="E902">
            <v>40060</v>
          </cell>
          <cell r="F902">
            <v>0.4</v>
          </cell>
          <cell r="G902">
            <v>38340</v>
          </cell>
        </row>
        <row r="903">
          <cell r="A903" t="str">
            <v>43-5021</v>
          </cell>
          <cell r="B903" t="str">
            <v>Couriers and Messengers</v>
          </cell>
          <cell r="C903">
            <v>71920</v>
          </cell>
          <cell r="D903">
            <v>2.9</v>
          </cell>
          <cell r="E903">
            <v>40060</v>
          </cell>
          <cell r="F903">
            <v>0.4</v>
          </cell>
          <cell r="G903">
            <v>38340</v>
          </cell>
        </row>
        <row r="904">
          <cell r="A904" t="str">
            <v>43-5030</v>
          </cell>
          <cell r="B904" t="str">
            <v>Dispatchers</v>
          </cell>
          <cell r="C904">
            <v>312140</v>
          </cell>
          <cell r="D904">
            <v>1.2</v>
          </cell>
          <cell r="E904">
            <v>53680</v>
          </cell>
          <cell r="F904">
            <v>0.3</v>
          </cell>
          <cell r="G904">
            <v>49500</v>
          </cell>
        </row>
        <row r="905">
          <cell r="A905" t="str">
            <v>43-5031</v>
          </cell>
          <cell r="B905" t="str">
            <v>Public Safety Telecommunicators</v>
          </cell>
          <cell r="C905">
            <v>101140</v>
          </cell>
          <cell r="D905">
            <v>1.4</v>
          </cell>
          <cell r="E905">
            <v>54800</v>
          </cell>
          <cell r="F905">
            <v>0.5</v>
          </cell>
          <cell r="G905">
            <v>50730</v>
          </cell>
        </row>
        <row r="906">
          <cell r="A906" t="str">
            <v>43-5032</v>
          </cell>
          <cell r="B906" t="str">
            <v>Dispatchers, Except Police, Fire, and Ambulance</v>
          </cell>
          <cell r="C906">
            <v>211000</v>
          </cell>
          <cell r="D906">
            <v>1.9</v>
          </cell>
          <cell r="E906">
            <v>53150</v>
          </cell>
          <cell r="F906">
            <v>0.4</v>
          </cell>
          <cell r="G906">
            <v>48880</v>
          </cell>
        </row>
        <row r="907">
          <cell r="A907" t="str">
            <v>43-5040</v>
          </cell>
          <cell r="B907" t="str">
            <v>Meter Readers, Utilities</v>
          </cell>
          <cell r="C907">
            <v>19620</v>
          </cell>
          <cell r="D907">
            <v>3.6</v>
          </cell>
          <cell r="E907">
            <v>55810</v>
          </cell>
          <cell r="F907">
            <v>0.9</v>
          </cell>
          <cell r="G907">
            <v>49180</v>
          </cell>
        </row>
        <row r="908">
          <cell r="A908" t="str">
            <v>43-5041</v>
          </cell>
          <cell r="B908" t="str">
            <v>Meter Readers, Utilities</v>
          </cell>
          <cell r="C908">
            <v>19620</v>
          </cell>
          <cell r="D908">
            <v>3.6</v>
          </cell>
          <cell r="E908">
            <v>55810</v>
          </cell>
          <cell r="F908">
            <v>0.9</v>
          </cell>
          <cell r="G908">
            <v>49180</v>
          </cell>
        </row>
        <row r="909">
          <cell r="A909" t="str">
            <v>43-5050</v>
          </cell>
          <cell r="B909" t="str">
            <v>Postal Service Workers</v>
          </cell>
          <cell r="C909">
            <v>526030</v>
          </cell>
          <cell r="D909">
            <v>0</v>
          </cell>
          <cell r="E909">
            <v>59720</v>
          </cell>
          <cell r="F909">
            <v>0</v>
          </cell>
          <cell r="G909">
            <v>57870</v>
          </cell>
        </row>
        <row r="910">
          <cell r="A910" t="str">
            <v>43-5051</v>
          </cell>
          <cell r="B910" t="str">
            <v>Postal Service Clerks</v>
          </cell>
          <cell r="C910">
            <v>78060</v>
          </cell>
          <cell r="D910">
            <v>0</v>
          </cell>
          <cell r="E910">
            <v>61070</v>
          </cell>
          <cell r="F910">
            <v>0</v>
          </cell>
          <cell r="G910">
            <v>61630</v>
          </cell>
        </row>
        <row r="911">
          <cell r="A911" t="str">
            <v>43-5052</v>
          </cell>
          <cell r="B911" t="str">
            <v>Postal Service Mail Carriers</v>
          </cell>
          <cell r="C911">
            <v>336040</v>
          </cell>
          <cell r="D911">
            <v>0</v>
          </cell>
          <cell r="E911">
            <v>59880</v>
          </cell>
          <cell r="F911">
            <v>0</v>
          </cell>
          <cell r="G911">
            <v>57490</v>
          </cell>
        </row>
        <row r="912">
          <cell r="A912" t="str">
            <v>43-5053</v>
          </cell>
          <cell r="B912" t="str">
            <v>Postal Service Mail Sorters, Processors, and Processing Machine Operators</v>
          </cell>
          <cell r="C912">
            <v>111930</v>
          </cell>
          <cell r="D912">
            <v>0</v>
          </cell>
          <cell r="E912">
            <v>58310</v>
          </cell>
          <cell r="F912">
            <v>0</v>
          </cell>
          <cell r="G912">
            <v>56530</v>
          </cell>
        </row>
        <row r="913">
          <cell r="A913" t="str">
            <v>43-5060</v>
          </cell>
          <cell r="B913" t="str">
            <v>Production, Planning, and Expediting Clerks</v>
          </cell>
          <cell r="C913">
            <v>385000</v>
          </cell>
          <cell r="D913">
            <v>0.9</v>
          </cell>
          <cell r="E913">
            <v>60420</v>
          </cell>
          <cell r="F913">
            <v>0.2</v>
          </cell>
          <cell r="G913">
            <v>57770</v>
          </cell>
        </row>
        <row r="914">
          <cell r="A914" t="str">
            <v>43-5061</v>
          </cell>
          <cell r="B914" t="str">
            <v>Production, Planning, and Expediting Clerks</v>
          </cell>
          <cell r="C914">
            <v>385000</v>
          </cell>
          <cell r="D914">
            <v>0.9</v>
          </cell>
          <cell r="E914">
            <v>60420</v>
          </cell>
          <cell r="F914">
            <v>0.2</v>
          </cell>
          <cell r="G914">
            <v>57770</v>
          </cell>
        </row>
        <row r="915">
          <cell r="A915" t="str">
            <v>43-5070</v>
          </cell>
          <cell r="B915" t="str">
            <v>Shipping, Receiving, and Inventory Clerks</v>
          </cell>
          <cell r="C915">
            <v>857630</v>
          </cell>
          <cell r="D915">
            <v>0.6</v>
          </cell>
          <cell r="E915">
            <v>44890</v>
          </cell>
          <cell r="F915">
            <v>0.2</v>
          </cell>
          <cell r="G915">
            <v>43190</v>
          </cell>
        </row>
        <row r="916">
          <cell r="A916" t="str">
            <v>43-5071</v>
          </cell>
          <cell r="B916" t="str">
            <v>Shipping, Receiving, and Inventory Clerks</v>
          </cell>
          <cell r="C916">
            <v>857630</v>
          </cell>
          <cell r="D916">
            <v>0.6</v>
          </cell>
          <cell r="E916">
            <v>44890</v>
          </cell>
          <cell r="F916">
            <v>0.2</v>
          </cell>
          <cell r="G916">
            <v>43190</v>
          </cell>
        </row>
        <row r="917">
          <cell r="A917" t="str">
            <v>43-5110</v>
          </cell>
          <cell r="B917" t="str">
            <v>Weighers, Measurers, Checkers, and Samplers, Recordkeeping</v>
          </cell>
          <cell r="C917">
            <v>49720</v>
          </cell>
          <cell r="D917">
            <v>1.8</v>
          </cell>
          <cell r="E917">
            <v>46660</v>
          </cell>
          <cell r="F917">
            <v>0.4</v>
          </cell>
          <cell r="G917">
            <v>45650</v>
          </cell>
        </row>
        <row r="918">
          <cell r="A918" t="str">
            <v>43-5111</v>
          </cell>
          <cell r="B918" t="str">
            <v>Weighers, Measurers, Checkers, and Samplers, Recordkeeping</v>
          </cell>
          <cell r="C918">
            <v>49720</v>
          </cell>
          <cell r="D918">
            <v>1.8</v>
          </cell>
          <cell r="E918">
            <v>46660</v>
          </cell>
          <cell r="F918">
            <v>0.4</v>
          </cell>
          <cell r="G918">
            <v>45650</v>
          </cell>
        </row>
        <row r="919">
          <cell r="A919" t="str">
            <v>43-6000</v>
          </cell>
          <cell r="B919" t="str">
            <v>Secretaries and Administrative Assistants</v>
          </cell>
          <cell r="C919">
            <v>3195900</v>
          </cell>
          <cell r="D919">
            <v>0.7</v>
          </cell>
          <cell r="E919">
            <v>52070</v>
          </cell>
          <cell r="F919">
            <v>0.2</v>
          </cell>
          <cell r="G919">
            <v>47460</v>
          </cell>
        </row>
        <row r="920">
          <cell r="A920" t="str">
            <v>43-6010</v>
          </cell>
          <cell r="B920" t="str">
            <v>Secretaries and Administrative Assistants</v>
          </cell>
          <cell r="C920">
            <v>3195900</v>
          </cell>
          <cell r="D920">
            <v>0.7</v>
          </cell>
          <cell r="E920">
            <v>52070</v>
          </cell>
          <cell r="F920">
            <v>0.2</v>
          </cell>
          <cell r="G920">
            <v>47460</v>
          </cell>
        </row>
        <row r="921">
          <cell r="A921" t="str">
            <v>43-6011</v>
          </cell>
          <cell r="B921" t="str">
            <v>Executive Secretaries and Executive Administrative Assistants</v>
          </cell>
          <cell r="C921">
            <v>472770</v>
          </cell>
          <cell r="D921">
            <v>1.1000000000000001</v>
          </cell>
          <cell r="E921">
            <v>77060</v>
          </cell>
          <cell r="F921">
            <v>0.3</v>
          </cell>
          <cell r="G921">
            <v>74260</v>
          </cell>
        </row>
        <row r="922">
          <cell r="A922" t="str">
            <v>43-6012</v>
          </cell>
          <cell r="B922" t="str">
            <v>Legal Secretaries and Administrative Assistants</v>
          </cell>
          <cell r="C922">
            <v>154540</v>
          </cell>
          <cell r="D922">
            <v>3</v>
          </cell>
          <cell r="E922">
            <v>60320</v>
          </cell>
          <cell r="F922">
            <v>2.6</v>
          </cell>
          <cell r="G922">
            <v>54140</v>
          </cell>
        </row>
        <row r="923">
          <cell r="A923" t="str">
            <v>43-6013</v>
          </cell>
          <cell r="B923" t="str">
            <v>Medical Secretaries and Administrative Assistants</v>
          </cell>
          <cell r="C923">
            <v>830760</v>
          </cell>
          <cell r="D923">
            <v>0.7</v>
          </cell>
          <cell r="E923">
            <v>45580</v>
          </cell>
          <cell r="F923">
            <v>0.2</v>
          </cell>
          <cell r="G923">
            <v>44640</v>
          </cell>
        </row>
        <row r="924">
          <cell r="A924" t="str">
            <v>43-6014</v>
          </cell>
          <cell r="B924" t="str">
            <v>Secretaries and Administrative Assistants, Except Legal, Medical, and Executive</v>
          </cell>
          <cell r="C924">
            <v>1737820</v>
          </cell>
          <cell r="D924">
            <v>1</v>
          </cell>
          <cell r="E924">
            <v>47640</v>
          </cell>
          <cell r="F924">
            <v>0.2</v>
          </cell>
          <cell r="G924">
            <v>46290</v>
          </cell>
        </row>
        <row r="925">
          <cell r="A925" t="str">
            <v>43-9000</v>
          </cell>
          <cell r="B925" t="str">
            <v>Other Office and Administrative Support Workers</v>
          </cell>
          <cell r="C925">
            <v>3209350</v>
          </cell>
          <cell r="D925">
            <v>0.3</v>
          </cell>
          <cell r="E925">
            <v>45950</v>
          </cell>
          <cell r="F925">
            <v>0.1</v>
          </cell>
          <cell r="G925">
            <v>44030</v>
          </cell>
        </row>
        <row r="926">
          <cell r="A926" t="str">
            <v>43-9020</v>
          </cell>
          <cell r="B926" t="str">
            <v>Data Entry and Information Processing Workers</v>
          </cell>
          <cell r="C926">
            <v>171310</v>
          </cell>
          <cell r="D926">
            <v>1.7</v>
          </cell>
          <cell r="E926">
            <v>43680</v>
          </cell>
          <cell r="F926">
            <v>0.5</v>
          </cell>
          <cell r="G926">
            <v>41480</v>
          </cell>
        </row>
        <row r="927">
          <cell r="A927" t="str">
            <v>43-9021</v>
          </cell>
          <cell r="B927" t="str">
            <v>Data Entry Keyers</v>
          </cell>
          <cell r="C927">
            <v>135280</v>
          </cell>
          <cell r="D927">
            <v>2</v>
          </cell>
          <cell r="E927">
            <v>42070</v>
          </cell>
          <cell r="F927">
            <v>0.5</v>
          </cell>
          <cell r="G927">
            <v>39850</v>
          </cell>
        </row>
        <row r="928">
          <cell r="A928" t="str">
            <v>43-9022</v>
          </cell>
          <cell r="B928" t="str">
            <v>Word Processors and Typists</v>
          </cell>
          <cell r="C928">
            <v>36030</v>
          </cell>
          <cell r="D928">
            <v>2.8</v>
          </cell>
          <cell r="E928">
            <v>49730</v>
          </cell>
          <cell r="F928">
            <v>0.9</v>
          </cell>
          <cell r="G928">
            <v>47850</v>
          </cell>
        </row>
        <row r="929">
          <cell r="A929" t="str">
            <v>43-9030</v>
          </cell>
          <cell r="B929" t="str">
            <v>Desktop Publishers</v>
          </cell>
          <cell r="C929">
            <v>4000</v>
          </cell>
          <cell r="D929">
            <v>7.5</v>
          </cell>
          <cell r="E929">
            <v>60250</v>
          </cell>
          <cell r="F929">
            <v>2.1</v>
          </cell>
          <cell r="G929">
            <v>53620</v>
          </cell>
        </row>
        <row r="930">
          <cell r="A930" t="str">
            <v>43-9031</v>
          </cell>
          <cell r="B930" t="str">
            <v>Desktop Publishers</v>
          </cell>
          <cell r="C930">
            <v>4000</v>
          </cell>
          <cell r="D930">
            <v>7.5</v>
          </cell>
          <cell r="E930">
            <v>60250</v>
          </cell>
          <cell r="F930">
            <v>2.1</v>
          </cell>
          <cell r="G930">
            <v>53620</v>
          </cell>
        </row>
        <row r="931">
          <cell r="A931" t="str">
            <v>43-9040</v>
          </cell>
          <cell r="B931" t="str">
            <v>Insurance Claims and Policy Processing Clerks</v>
          </cell>
          <cell r="C931">
            <v>229070</v>
          </cell>
          <cell r="D931">
            <v>1.5</v>
          </cell>
          <cell r="E931">
            <v>51980</v>
          </cell>
          <cell r="F931">
            <v>0.4</v>
          </cell>
          <cell r="G931">
            <v>48450</v>
          </cell>
        </row>
        <row r="932">
          <cell r="A932" t="str">
            <v>43-9041</v>
          </cell>
          <cell r="B932" t="str">
            <v>Insurance Claims and Policy Processing Clerks</v>
          </cell>
          <cell r="C932">
            <v>229070</v>
          </cell>
          <cell r="D932">
            <v>1.5</v>
          </cell>
          <cell r="E932">
            <v>51980</v>
          </cell>
          <cell r="F932">
            <v>0.4</v>
          </cell>
          <cell r="G932">
            <v>48450</v>
          </cell>
        </row>
        <row r="933">
          <cell r="A933" t="str">
            <v>43-9050</v>
          </cell>
          <cell r="B933" t="str">
            <v>Mail Clerks and Mail Machine Operators, Except Postal Service</v>
          </cell>
          <cell r="C933">
            <v>62730</v>
          </cell>
          <cell r="D933">
            <v>2.5</v>
          </cell>
          <cell r="E933">
            <v>40200</v>
          </cell>
          <cell r="F933">
            <v>0.5</v>
          </cell>
          <cell r="G933">
            <v>38150</v>
          </cell>
        </row>
        <row r="934">
          <cell r="A934" t="str">
            <v>43-9051</v>
          </cell>
          <cell r="B934" t="str">
            <v>Mail Clerks and Mail Machine Operators, Except Postal Service</v>
          </cell>
          <cell r="C934">
            <v>62730</v>
          </cell>
          <cell r="D934">
            <v>2.5</v>
          </cell>
          <cell r="E934">
            <v>40200</v>
          </cell>
          <cell r="F934">
            <v>0.5</v>
          </cell>
          <cell r="G934">
            <v>38150</v>
          </cell>
        </row>
        <row r="935">
          <cell r="A935" t="str">
            <v>43-9060</v>
          </cell>
          <cell r="B935" t="str">
            <v>Office Clerks, General</v>
          </cell>
          <cell r="C935">
            <v>2510550</v>
          </cell>
          <cell r="D935">
            <v>0.4</v>
          </cell>
          <cell r="E935">
            <v>45470</v>
          </cell>
          <cell r="F935">
            <v>0.1</v>
          </cell>
          <cell r="G935">
            <v>43630</v>
          </cell>
        </row>
        <row r="936">
          <cell r="A936" t="str">
            <v>43-9061</v>
          </cell>
          <cell r="B936" t="str">
            <v>Office Clerks, General</v>
          </cell>
          <cell r="C936">
            <v>2510550</v>
          </cell>
          <cell r="D936">
            <v>0.4</v>
          </cell>
          <cell r="E936">
            <v>45470</v>
          </cell>
          <cell r="F936">
            <v>0.1</v>
          </cell>
          <cell r="G936">
            <v>43630</v>
          </cell>
        </row>
        <row r="937">
          <cell r="A937" t="str">
            <v>43-9070</v>
          </cell>
          <cell r="B937" t="str">
            <v>Office Machine Operators, Except Computer</v>
          </cell>
          <cell r="C937">
            <v>24740</v>
          </cell>
          <cell r="D937">
            <v>5.0999999999999996</v>
          </cell>
          <cell r="E937">
            <v>41620</v>
          </cell>
          <cell r="F937">
            <v>1.1000000000000001</v>
          </cell>
          <cell r="G937">
            <v>39020</v>
          </cell>
        </row>
        <row r="938">
          <cell r="A938" t="str">
            <v>43-9071</v>
          </cell>
          <cell r="B938" t="str">
            <v>Office Machine Operators, Except Computer</v>
          </cell>
          <cell r="C938">
            <v>24740</v>
          </cell>
          <cell r="D938">
            <v>5.0999999999999996</v>
          </cell>
          <cell r="E938">
            <v>41620</v>
          </cell>
          <cell r="F938">
            <v>1.1000000000000001</v>
          </cell>
          <cell r="G938">
            <v>39020</v>
          </cell>
        </row>
        <row r="939">
          <cell r="A939" t="str">
            <v>43-9080</v>
          </cell>
          <cell r="B939" t="str">
            <v>Proofreaders and Copy Markers</v>
          </cell>
          <cell r="C939">
            <v>5160</v>
          </cell>
          <cell r="D939">
            <v>9.3000000000000007</v>
          </cell>
          <cell r="E939">
            <v>52730</v>
          </cell>
          <cell r="F939">
            <v>1.7</v>
          </cell>
          <cell r="G939">
            <v>49210</v>
          </cell>
        </row>
        <row r="940">
          <cell r="A940" t="str">
            <v>43-9081</v>
          </cell>
          <cell r="B940" t="str">
            <v>Proofreaders and Copy Markers</v>
          </cell>
          <cell r="C940">
            <v>5160</v>
          </cell>
          <cell r="D940">
            <v>9.3000000000000007</v>
          </cell>
          <cell r="E940">
            <v>52730</v>
          </cell>
          <cell r="F940">
            <v>1.7</v>
          </cell>
          <cell r="G940">
            <v>49210</v>
          </cell>
        </row>
        <row r="941">
          <cell r="A941" t="str">
            <v>43-9110</v>
          </cell>
          <cell r="B941" t="str">
            <v>Statistical Assistants</v>
          </cell>
          <cell r="C941">
            <v>5900</v>
          </cell>
          <cell r="D941">
            <v>5.7</v>
          </cell>
          <cell r="E941">
            <v>55470</v>
          </cell>
          <cell r="F941">
            <v>1.4</v>
          </cell>
          <cell r="G941">
            <v>51440</v>
          </cell>
        </row>
        <row r="942">
          <cell r="A942" t="str">
            <v>43-9111</v>
          </cell>
          <cell r="B942" t="str">
            <v>Statistical Assistants</v>
          </cell>
          <cell r="C942">
            <v>5900</v>
          </cell>
          <cell r="D942">
            <v>5.7</v>
          </cell>
          <cell r="E942">
            <v>55470</v>
          </cell>
          <cell r="F942">
            <v>1.4</v>
          </cell>
          <cell r="G942">
            <v>51440</v>
          </cell>
        </row>
        <row r="943">
          <cell r="A943" t="str">
            <v>43-9190</v>
          </cell>
          <cell r="B943" t="str">
            <v>Miscellaneous Office and Administrative Support Workers</v>
          </cell>
          <cell r="C943">
            <v>195890</v>
          </cell>
          <cell r="D943">
            <v>1.5</v>
          </cell>
          <cell r="E943">
            <v>48700</v>
          </cell>
          <cell r="F943">
            <v>0.3</v>
          </cell>
          <cell r="G943">
            <v>46040</v>
          </cell>
        </row>
        <row r="944">
          <cell r="A944" t="str">
            <v>43-9199</v>
          </cell>
          <cell r="B944" t="str">
            <v>Office and Administrative Support Workers, All Other</v>
          </cell>
          <cell r="C944">
            <v>195890</v>
          </cell>
          <cell r="D944">
            <v>1.5</v>
          </cell>
          <cell r="E944">
            <v>48700</v>
          </cell>
          <cell r="F944">
            <v>0.3</v>
          </cell>
          <cell r="G944">
            <v>46040</v>
          </cell>
        </row>
        <row r="945">
          <cell r="A945" t="str">
            <v>45-0000</v>
          </cell>
          <cell r="B945" t="str">
            <v>Farming, Fishing, and Forestry Occupations</v>
          </cell>
          <cell r="C945">
            <v>442050</v>
          </cell>
          <cell r="D945">
            <v>0.7</v>
          </cell>
          <cell r="E945">
            <v>41730</v>
          </cell>
          <cell r="F945">
            <v>0.5</v>
          </cell>
          <cell r="G945">
            <v>36750</v>
          </cell>
        </row>
        <row r="946">
          <cell r="A946" t="str">
            <v>45-1000</v>
          </cell>
          <cell r="B946" t="str">
            <v>Supervisors of Farming, Fishing, and Forestry Workers</v>
          </cell>
          <cell r="C946">
            <v>29530</v>
          </cell>
          <cell r="D946">
            <v>2.4</v>
          </cell>
          <cell r="E946">
            <v>63360</v>
          </cell>
          <cell r="F946">
            <v>0.9</v>
          </cell>
          <cell r="G946">
            <v>59330</v>
          </cell>
        </row>
        <row r="947">
          <cell r="A947" t="str">
            <v>45-1010</v>
          </cell>
          <cell r="B947" t="str">
            <v>First-Line Supervisors of Farming, Fishing, and Forestry Workers</v>
          </cell>
          <cell r="C947">
            <v>29530</v>
          </cell>
          <cell r="D947">
            <v>2.4</v>
          </cell>
          <cell r="E947">
            <v>63360</v>
          </cell>
          <cell r="F947">
            <v>0.9</v>
          </cell>
          <cell r="G947">
            <v>59330</v>
          </cell>
        </row>
        <row r="948">
          <cell r="A948" t="str">
            <v>45-1011</v>
          </cell>
          <cell r="B948" t="str">
            <v>First-Line Supervisors of Farming, Fishing, and Forestry Workers</v>
          </cell>
          <cell r="C948">
            <v>29530</v>
          </cell>
          <cell r="D948">
            <v>2.4</v>
          </cell>
          <cell r="E948">
            <v>63360</v>
          </cell>
          <cell r="F948">
            <v>0.9</v>
          </cell>
          <cell r="G948">
            <v>59330</v>
          </cell>
        </row>
        <row r="949">
          <cell r="A949" t="str">
            <v>45-2000</v>
          </cell>
          <cell r="B949" t="str">
            <v>Agricultural Workers</v>
          </cell>
          <cell r="C949">
            <v>373730</v>
          </cell>
          <cell r="D949">
            <v>0.8</v>
          </cell>
          <cell r="E949">
            <v>39060</v>
          </cell>
          <cell r="F949">
            <v>0.5</v>
          </cell>
          <cell r="G949">
            <v>36020</v>
          </cell>
        </row>
        <row r="950">
          <cell r="A950" t="str">
            <v>45-2010</v>
          </cell>
          <cell r="B950" t="str">
            <v>Agricultural Inspectors</v>
          </cell>
          <cell r="C950">
            <v>12090</v>
          </cell>
          <cell r="D950">
            <v>2.6</v>
          </cell>
          <cell r="E950">
            <v>55650</v>
          </cell>
          <cell r="F950">
            <v>0.6</v>
          </cell>
          <cell r="G950">
            <v>50990</v>
          </cell>
        </row>
        <row r="951">
          <cell r="A951" t="str">
            <v>45-2011</v>
          </cell>
          <cell r="B951" t="str">
            <v>Agricultural Inspectors</v>
          </cell>
          <cell r="C951">
            <v>12090</v>
          </cell>
          <cell r="D951">
            <v>2.6</v>
          </cell>
          <cell r="E951">
            <v>55650</v>
          </cell>
          <cell r="F951">
            <v>0.6</v>
          </cell>
          <cell r="G951">
            <v>50990</v>
          </cell>
        </row>
        <row r="952">
          <cell r="A952" t="str">
            <v>45-2020</v>
          </cell>
          <cell r="B952" t="str">
            <v>Animal Breeders</v>
          </cell>
          <cell r="C952">
            <v>1730</v>
          </cell>
          <cell r="D952">
            <v>17.399999999999999</v>
          </cell>
          <cell r="E952">
            <v>56150</v>
          </cell>
          <cell r="F952">
            <v>5.4</v>
          </cell>
          <cell r="G952">
            <v>52000</v>
          </cell>
        </row>
        <row r="953">
          <cell r="A953" t="str">
            <v>45-2021</v>
          </cell>
          <cell r="B953" t="str">
            <v>Animal Breeders</v>
          </cell>
          <cell r="C953">
            <v>1730</v>
          </cell>
          <cell r="D953">
            <v>17.399999999999999</v>
          </cell>
          <cell r="E953">
            <v>56150</v>
          </cell>
          <cell r="F953">
            <v>5.4</v>
          </cell>
          <cell r="G953">
            <v>52000</v>
          </cell>
        </row>
        <row r="954">
          <cell r="A954" t="str">
            <v>45-2040</v>
          </cell>
          <cell r="B954" t="str">
            <v>Graders and Sorters, Agricultural Products</v>
          </cell>
          <cell r="C954">
            <v>26870</v>
          </cell>
          <cell r="D954">
            <v>4</v>
          </cell>
          <cell r="E954">
            <v>36080</v>
          </cell>
          <cell r="F954">
            <v>0.7</v>
          </cell>
          <cell r="G954">
            <v>35430</v>
          </cell>
        </row>
        <row r="955">
          <cell r="A955" t="str">
            <v>45-2041</v>
          </cell>
          <cell r="B955" t="str">
            <v>Graders and Sorters, Agricultural Products</v>
          </cell>
          <cell r="C955">
            <v>26870</v>
          </cell>
          <cell r="D955">
            <v>4</v>
          </cell>
          <cell r="E955">
            <v>36080</v>
          </cell>
          <cell r="F955">
            <v>0.7</v>
          </cell>
          <cell r="G955">
            <v>35430</v>
          </cell>
        </row>
        <row r="956">
          <cell r="A956" t="str">
            <v>45-2090</v>
          </cell>
          <cell r="B956" t="str">
            <v>Miscellaneous Agricultural Workers</v>
          </cell>
          <cell r="C956">
            <v>333040</v>
          </cell>
          <cell r="D956">
            <v>0.9</v>
          </cell>
          <cell r="E956">
            <v>38610</v>
          </cell>
          <cell r="F956">
            <v>0.5</v>
          </cell>
          <cell r="G956">
            <v>35960</v>
          </cell>
        </row>
        <row r="957">
          <cell r="A957" t="str">
            <v>45-2091</v>
          </cell>
          <cell r="B957" t="str">
            <v>Agricultural Equipment Operators</v>
          </cell>
          <cell r="C957">
            <v>30940</v>
          </cell>
          <cell r="D957">
            <v>3.3</v>
          </cell>
          <cell r="E957">
            <v>43920</v>
          </cell>
          <cell r="F957">
            <v>0.8</v>
          </cell>
          <cell r="G957">
            <v>42580</v>
          </cell>
        </row>
        <row r="958">
          <cell r="A958" t="str">
            <v>45-2092</v>
          </cell>
          <cell r="B958" t="str">
            <v>Farmworkers and Laborers, Crop, Nursery, and Greenhouse</v>
          </cell>
          <cell r="C958">
            <v>261690</v>
          </cell>
          <cell r="D958">
            <v>1.1000000000000001</v>
          </cell>
          <cell r="E958">
            <v>37850</v>
          </cell>
          <cell r="F958">
            <v>0.5</v>
          </cell>
          <cell r="G958">
            <v>35690</v>
          </cell>
        </row>
        <row r="959">
          <cell r="A959" t="str">
            <v>45-2093</v>
          </cell>
          <cell r="B959" t="str">
            <v>Farmworkers, Farm, Ranch, and Aquacultural Animals</v>
          </cell>
          <cell r="C959">
            <v>35420</v>
          </cell>
          <cell r="D959">
            <v>3</v>
          </cell>
          <cell r="E959">
            <v>38580</v>
          </cell>
          <cell r="F959">
            <v>0.9</v>
          </cell>
          <cell r="G959">
            <v>36150</v>
          </cell>
        </row>
        <row r="960">
          <cell r="A960" t="str">
            <v>45-2099</v>
          </cell>
          <cell r="B960" t="str">
            <v>Agricultural Workers, All Other</v>
          </cell>
          <cell r="C960">
            <v>4980</v>
          </cell>
          <cell r="D960">
            <v>7.7</v>
          </cell>
          <cell r="E960">
            <v>45780</v>
          </cell>
          <cell r="F960">
            <v>2.2999999999999998</v>
          </cell>
          <cell r="G960">
            <v>40390</v>
          </cell>
        </row>
        <row r="961">
          <cell r="A961" t="str">
            <v>45-4000</v>
          </cell>
          <cell r="B961" t="str">
            <v>Forest, Conservation, and Logging Workers</v>
          </cell>
          <cell r="C961">
            <v>37740</v>
          </cell>
          <cell r="D961">
            <v>1.9</v>
          </cell>
          <cell r="E961">
            <v>51180</v>
          </cell>
          <cell r="F961">
            <v>0.8</v>
          </cell>
          <cell r="G961">
            <v>48390</v>
          </cell>
        </row>
        <row r="962">
          <cell r="A962" t="str">
            <v>45-4010</v>
          </cell>
          <cell r="B962" t="str">
            <v>Forest and Conservation Workers</v>
          </cell>
          <cell r="C962">
            <v>5630</v>
          </cell>
          <cell r="D962">
            <v>4.2</v>
          </cell>
          <cell r="E962">
            <v>42830</v>
          </cell>
          <cell r="F962">
            <v>1</v>
          </cell>
          <cell r="G962">
            <v>43680</v>
          </cell>
        </row>
        <row r="963">
          <cell r="A963" t="str">
            <v>45-4011</v>
          </cell>
          <cell r="B963" t="str">
            <v>Forest and Conservation Workers</v>
          </cell>
          <cell r="C963">
            <v>5630</v>
          </cell>
          <cell r="D963">
            <v>4.2</v>
          </cell>
          <cell r="E963">
            <v>42830</v>
          </cell>
          <cell r="F963">
            <v>1</v>
          </cell>
          <cell r="G963">
            <v>43680</v>
          </cell>
        </row>
        <row r="964">
          <cell r="A964" t="str">
            <v>45-4020</v>
          </cell>
          <cell r="B964" t="str">
            <v>Logging Workers</v>
          </cell>
          <cell r="C964">
            <v>32110</v>
          </cell>
          <cell r="D964">
            <v>2.1</v>
          </cell>
          <cell r="E964">
            <v>52650</v>
          </cell>
          <cell r="F964">
            <v>0.8</v>
          </cell>
          <cell r="G964">
            <v>49540</v>
          </cell>
        </row>
        <row r="965">
          <cell r="A965" t="str">
            <v>45-4021</v>
          </cell>
          <cell r="B965" t="str">
            <v>Fallers</v>
          </cell>
          <cell r="C965">
            <v>4110</v>
          </cell>
          <cell r="D965">
            <v>9.3000000000000007</v>
          </cell>
          <cell r="E965">
            <v>59120</v>
          </cell>
          <cell r="F965">
            <v>2.7</v>
          </cell>
          <cell r="G965">
            <v>53900</v>
          </cell>
        </row>
        <row r="966">
          <cell r="A966" t="str">
            <v>45-4022</v>
          </cell>
          <cell r="B966" t="str">
            <v>Logging Equipment Operators</v>
          </cell>
          <cell r="C966">
            <v>22520</v>
          </cell>
          <cell r="D966">
            <v>2.2999999999999998</v>
          </cell>
          <cell r="E966">
            <v>52020</v>
          </cell>
          <cell r="F966">
            <v>0.9</v>
          </cell>
          <cell r="G966">
            <v>49210</v>
          </cell>
        </row>
        <row r="967">
          <cell r="A967" t="str">
            <v>45-4023</v>
          </cell>
          <cell r="B967" t="str">
            <v>Log Graders and Scalers</v>
          </cell>
          <cell r="C967">
            <v>3310</v>
          </cell>
          <cell r="D967">
            <v>5.8</v>
          </cell>
          <cell r="E967">
            <v>48130</v>
          </cell>
          <cell r="F967">
            <v>1.3</v>
          </cell>
          <cell r="G967">
            <v>46710</v>
          </cell>
        </row>
        <row r="968">
          <cell r="A968" t="str">
            <v>45-4029</v>
          </cell>
          <cell r="B968" t="str">
            <v>Logging Workers, All Other</v>
          </cell>
          <cell r="C968">
            <v>2160</v>
          </cell>
          <cell r="D968">
            <v>7.5</v>
          </cell>
          <cell r="E968">
            <v>53820</v>
          </cell>
          <cell r="F968">
            <v>1.7</v>
          </cell>
          <cell r="G968">
            <v>52000</v>
          </cell>
        </row>
        <row r="969">
          <cell r="A969" t="str">
            <v>47-0000</v>
          </cell>
          <cell r="B969" t="str">
            <v>Construction and Extraction Occupations</v>
          </cell>
          <cell r="C969">
            <v>6361720</v>
          </cell>
          <cell r="D969">
            <v>0.2</v>
          </cell>
          <cell r="E969">
            <v>63920</v>
          </cell>
          <cell r="F969">
            <v>0.3</v>
          </cell>
          <cell r="G969">
            <v>58360</v>
          </cell>
        </row>
        <row r="970">
          <cell r="A970" t="str">
            <v>47-1000</v>
          </cell>
          <cell r="B970" t="str">
            <v>Supervisors of Construction and Extraction Workers</v>
          </cell>
          <cell r="C970">
            <v>806080</v>
          </cell>
          <cell r="D970">
            <v>0.6</v>
          </cell>
          <cell r="E970">
            <v>84500</v>
          </cell>
          <cell r="F970">
            <v>0.4</v>
          </cell>
          <cell r="G970">
            <v>78690</v>
          </cell>
        </row>
        <row r="971">
          <cell r="A971" t="str">
            <v>47-1010</v>
          </cell>
          <cell r="B971" t="str">
            <v>First-Line Supervisors of Construction Trades and Extraction Workers</v>
          </cell>
          <cell r="C971">
            <v>806080</v>
          </cell>
          <cell r="D971">
            <v>0.6</v>
          </cell>
          <cell r="E971">
            <v>84500</v>
          </cell>
          <cell r="F971">
            <v>0.4</v>
          </cell>
          <cell r="G971">
            <v>78690</v>
          </cell>
        </row>
        <row r="972">
          <cell r="A972" t="str">
            <v>47-1011</v>
          </cell>
          <cell r="B972" t="str">
            <v>First-Line Supervisors of Construction Trades and Extraction Workers</v>
          </cell>
          <cell r="C972">
            <v>806080</v>
          </cell>
          <cell r="D972">
            <v>0.6</v>
          </cell>
          <cell r="E972">
            <v>84500</v>
          </cell>
          <cell r="F972">
            <v>0.4</v>
          </cell>
          <cell r="G972">
            <v>78690</v>
          </cell>
        </row>
        <row r="973">
          <cell r="A973" t="str">
            <v>47-2000</v>
          </cell>
          <cell r="B973" t="str">
            <v>Construction Trades Workers</v>
          </cell>
          <cell r="C973">
            <v>4691890</v>
          </cell>
          <cell r="D973">
            <v>0.3</v>
          </cell>
          <cell r="E973">
            <v>61560</v>
          </cell>
          <cell r="F973">
            <v>0.3</v>
          </cell>
          <cell r="G973">
            <v>56490</v>
          </cell>
        </row>
        <row r="974">
          <cell r="A974" t="str">
            <v>47-2010</v>
          </cell>
          <cell r="B974" t="str">
            <v>Boilermakers</v>
          </cell>
          <cell r="C974">
            <v>10170</v>
          </cell>
          <cell r="D974">
            <v>5.8</v>
          </cell>
          <cell r="E974">
            <v>76900</v>
          </cell>
          <cell r="F974">
            <v>1.6</v>
          </cell>
          <cell r="G974">
            <v>73340</v>
          </cell>
        </row>
        <row r="975">
          <cell r="A975" t="str">
            <v>47-2011</v>
          </cell>
          <cell r="B975" t="str">
            <v>Boilermakers</v>
          </cell>
          <cell r="C975">
            <v>10170</v>
          </cell>
          <cell r="D975">
            <v>5.8</v>
          </cell>
          <cell r="E975">
            <v>76900</v>
          </cell>
          <cell r="F975">
            <v>1.6</v>
          </cell>
          <cell r="G975">
            <v>73340</v>
          </cell>
        </row>
        <row r="976">
          <cell r="A976" t="str">
            <v>47-2020</v>
          </cell>
          <cell r="B976" t="str">
            <v>Brickmasons, Blockmasons, and Stonemasons</v>
          </cell>
          <cell r="C976">
            <v>62260</v>
          </cell>
          <cell r="D976">
            <v>2.9</v>
          </cell>
          <cell r="E976">
            <v>64240</v>
          </cell>
          <cell r="F976">
            <v>1</v>
          </cell>
          <cell r="G976">
            <v>60180</v>
          </cell>
        </row>
        <row r="977">
          <cell r="A977" t="str">
            <v>47-2021</v>
          </cell>
          <cell r="B977" t="str">
            <v>Brickmasons and Blockmasons</v>
          </cell>
          <cell r="C977">
            <v>53520</v>
          </cell>
          <cell r="D977">
            <v>3.1</v>
          </cell>
          <cell r="E977">
            <v>65390</v>
          </cell>
          <cell r="F977">
            <v>1</v>
          </cell>
          <cell r="G977">
            <v>60800</v>
          </cell>
        </row>
        <row r="978">
          <cell r="A978" t="str">
            <v>47-2022</v>
          </cell>
          <cell r="B978" t="str">
            <v>Stonemasons</v>
          </cell>
          <cell r="C978">
            <v>8750</v>
          </cell>
          <cell r="D978">
            <v>6.7</v>
          </cell>
          <cell r="E978">
            <v>57220</v>
          </cell>
          <cell r="F978">
            <v>2</v>
          </cell>
          <cell r="G978">
            <v>51990</v>
          </cell>
        </row>
        <row r="979">
          <cell r="A979" t="str">
            <v>47-2030</v>
          </cell>
          <cell r="B979" t="str">
            <v>Carpenters</v>
          </cell>
          <cell r="C979">
            <v>697740</v>
          </cell>
          <cell r="D979">
            <v>1.2</v>
          </cell>
          <cell r="E979">
            <v>64040</v>
          </cell>
          <cell r="F979">
            <v>0.5</v>
          </cell>
          <cell r="G979">
            <v>59310</v>
          </cell>
        </row>
        <row r="980">
          <cell r="A980" t="str">
            <v>47-2031</v>
          </cell>
          <cell r="B980" t="str">
            <v>Carpenters</v>
          </cell>
          <cell r="C980">
            <v>697740</v>
          </cell>
          <cell r="D980">
            <v>1.2</v>
          </cell>
          <cell r="E980">
            <v>64040</v>
          </cell>
          <cell r="F980">
            <v>0.5</v>
          </cell>
          <cell r="G980">
            <v>59310</v>
          </cell>
        </row>
        <row r="981">
          <cell r="A981" t="str">
            <v>47-2040</v>
          </cell>
          <cell r="B981" t="str">
            <v>Carpet, Floor, and Tile Installers and Finishers</v>
          </cell>
          <cell r="C981">
            <v>82710</v>
          </cell>
          <cell r="D981">
            <v>2.4</v>
          </cell>
          <cell r="E981">
            <v>57830</v>
          </cell>
          <cell r="F981">
            <v>1</v>
          </cell>
          <cell r="G981">
            <v>52000</v>
          </cell>
        </row>
        <row r="982">
          <cell r="A982" t="str">
            <v>47-2041</v>
          </cell>
          <cell r="B982" t="str">
            <v>Carpet Installers</v>
          </cell>
          <cell r="C982">
            <v>14980</v>
          </cell>
          <cell r="D982">
            <v>6.2</v>
          </cell>
          <cell r="E982">
            <v>55860</v>
          </cell>
          <cell r="F982">
            <v>2.1</v>
          </cell>
          <cell r="G982">
            <v>49850</v>
          </cell>
        </row>
        <row r="983">
          <cell r="A983" t="str">
            <v>47-2042</v>
          </cell>
          <cell r="B983" t="str">
            <v>Floor Layers, Except Carpet, Wood, and Hard Tiles</v>
          </cell>
          <cell r="C983">
            <v>24850</v>
          </cell>
          <cell r="D983">
            <v>5.2</v>
          </cell>
          <cell r="E983">
            <v>60550</v>
          </cell>
          <cell r="F983">
            <v>1.7</v>
          </cell>
          <cell r="G983">
            <v>54340</v>
          </cell>
        </row>
        <row r="984">
          <cell r="A984" t="str">
            <v>47-2043</v>
          </cell>
          <cell r="B984" t="str">
            <v>Floor Sanders and Finishers</v>
          </cell>
          <cell r="C984">
            <v>4140</v>
          </cell>
          <cell r="D984">
            <v>12.1</v>
          </cell>
          <cell r="E984">
            <v>50880</v>
          </cell>
          <cell r="F984">
            <v>2.2999999999999998</v>
          </cell>
          <cell r="G984">
            <v>49150</v>
          </cell>
        </row>
        <row r="985">
          <cell r="A985" t="str">
            <v>47-2044</v>
          </cell>
          <cell r="B985" t="str">
            <v>Tile and Stone Setters</v>
          </cell>
          <cell r="C985">
            <v>38740</v>
          </cell>
          <cell r="D985">
            <v>4.0999999999999996</v>
          </cell>
          <cell r="E985">
            <v>57590</v>
          </cell>
          <cell r="F985">
            <v>1.5</v>
          </cell>
          <cell r="G985">
            <v>52240</v>
          </cell>
        </row>
        <row r="986">
          <cell r="A986" t="str">
            <v>47-2050</v>
          </cell>
          <cell r="B986" t="str">
            <v>Cement Masons, Concrete Finishers, and Terrazzo Workers</v>
          </cell>
          <cell r="C986">
            <v>206680</v>
          </cell>
          <cell r="D986">
            <v>1.6</v>
          </cell>
          <cell r="E986">
            <v>59380</v>
          </cell>
          <cell r="F986">
            <v>0.6</v>
          </cell>
          <cell r="G986">
            <v>54700</v>
          </cell>
        </row>
        <row r="987">
          <cell r="A987" t="str">
            <v>47-2051</v>
          </cell>
          <cell r="B987" t="str">
            <v>Cement Masons and Concrete Finishers</v>
          </cell>
          <cell r="C987">
            <v>205230</v>
          </cell>
          <cell r="D987">
            <v>1.6</v>
          </cell>
          <cell r="E987">
            <v>59360</v>
          </cell>
          <cell r="F987">
            <v>0.6</v>
          </cell>
          <cell r="G987">
            <v>54660</v>
          </cell>
        </row>
        <row r="988">
          <cell r="A988" t="str">
            <v>47-2053</v>
          </cell>
          <cell r="B988" t="str">
            <v>Terrazzo Workers and Finishers</v>
          </cell>
          <cell r="C988">
            <v>1450</v>
          </cell>
          <cell r="D988">
            <v>20.100000000000001</v>
          </cell>
          <cell r="E988">
            <v>62330</v>
          </cell>
          <cell r="F988">
            <v>6.5</v>
          </cell>
          <cell r="G988">
            <v>57260</v>
          </cell>
        </row>
        <row r="989">
          <cell r="A989" t="str">
            <v>47-2060</v>
          </cell>
          <cell r="B989" t="str">
            <v>Construction Laborers</v>
          </cell>
          <cell r="C989">
            <v>1057660</v>
          </cell>
          <cell r="D989">
            <v>0.7</v>
          </cell>
          <cell r="E989">
            <v>51260</v>
          </cell>
          <cell r="F989">
            <v>0.4</v>
          </cell>
          <cell r="G989">
            <v>46730</v>
          </cell>
        </row>
        <row r="990">
          <cell r="A990" t="str">
            <v>47-2061</v>
          </cell>
          <cell r="B990" t="str">
            <v>Construction Laborers</v>
          </cell>
          <cell r="C990">
            <v>1057660</v>
          </cell>
          <cell r="D990">
            <v>0.7</v>
          </cell>
          <cell r="E990">
            <v>51260</v>
          </cell>
          <cell r="F990">
            <v>0.4</v>
          </cell>
          <cell r="G990">
            <v>46730</v>
          </cell>
        </row>
        <row r="991">
          <cell r="A991" t="str">
            <v>47-2070</v>
          </cell>
          <cell r="B991" t="str">
            <v>Construction Equipment Operators</v>
          </cell>
          <cell r="C991">
            <v>518000</v>
          </cell>
          <cell r="D991">
            <v>0.7</v>
          </cell>
          <cell r="E991">
            <v>64680</v>
          </cell>
          <cell r="F991">
            <v>0.4</v>
          </cell>
          <cell r="G991">
            <v>58320</v>
          </cell>
        </row>
        <row r="992">
          <cell r="A992" t="str">
            <v>47-2071</v>
          </cell>
          <cell r="B992" t="str">
            <v>Paving, Surfacing, and Tamping Equipment Operators</v>
          </cell>
          <cell r="C992">
            <v>45680</v>
          </cell>
          <cell r="D992">
            <v>3.4</v>
          </cell>
          <cell r="E992">
            <v>58660</v>
          </cell>
          <cell r="F992">
            <v>1.3</v>
          </cell>
          <cell r="G992">
            <v>51650</v>
          </cell>
        </row>
        <row r="993">
          <cell r="A993" t="str">
            <v>47-2072</v>
          </cell>
          <cell r="B993" t="str">
            <v>Pile Driver Operators</v>
          </cell>
          <cell r="C993">
            <v>3040</v>
          </cell>
          <cell r="D993">
            <v>9.9</v>
          </cell>
          <cell r="E993">
            <v>79000</v>
          </cell>
          <cell r="F993">
            <v>3.1</v>
          </cell>
          <cell r="G993">
            <v>70510</v>
          </cell>
        </row>
        <row r="994">
          <cell r="A994" t="str">
            <v>47-2073</v>
          </cell>
          <cell r="B994" t="str">
            <v>Operating Engineers and Other Construction Equipment Operators</v>
          </cell>
          <cell r="C994">
            <v>469270</v>
          </cell>
          <cell r="D994">
            <v>0.8</v>
          </cell>
          <cell r="E994">
            <v>65180</v>
          </cell>
          <cell r="F994">
            <v>0.4</v>
          </cell>
          <cell r="G994">
            <v>58710</v>
          </cell>
        </row>
        <row r="995">
          <cell r="A995" t="str">
            <v>47-2080</v>
          </cell>
          <cell r="B995" t="str">
            <v>Drywall Installers, Ceiling Tile Installers, and Tapers</v>
          </cell>
          <cell r="C995">
            <v>95400</v>
          </cell>
          <cell r="D995">
            <v>2.2000000000000002</v>
          </cell>
          <cell r="E995">
            <v>63800</v>
          </cell>
          <cell r="F995">
            <v>1</v>
          </cell>
          <cell r="G995">
            <v>58800</v>
          </cell>
        </row>
        <row r="996">
          <cell r="A996" t="str">
            <v>47-2081</v>
          </cell>
          <cell r="B996" t="str">
            <v>Drywall and Ceiling Tile Installers</v>
          </cell>
          <cell r="C996">
            <v>82900</v>
          </cell>
          <cell r="D996">
            <v>2.2000000000000002</v>
          </cell>
          <cell r="E996">
            <v>62810</v>
          </cell>
          <cell r="F996">
            <v>1</v>
          </cell>
          <cell r="G996">
            <v>58140</v>
          </cell>
        </row>
        <row r="997">
          <cell r="A997" t="str">
            <v>47-2082</v>
          </cell>
          <cell r="B997" t="str">
            <v>Tapers</v>
          </cell>
          <cell r="C997">
            <v>12500</v>
          </cell>
          <cell r="D997">
            <v>7.6</v>
          </cell>
          <cell r="E997">
            <v>70390</v>
          </cell>
          <cell r="F997">
            <v>2</v>
          </cell>
          <cell r="G997">
            <v>64700</v>
          </cell>
        </row>
        <row r="998">
          <cell r="A998" t="str">
            <v>47-2110</v>
          </cell>
          <cell r="B998" t="str">
            <v>Electricians</v>
          </cell>
          <cell r="C998">
            <v>742580</v>
          </cell>
          <cell r="D998">
            <v>0.7</v>
          </cell>
          <cell r="E998">
            <v>69630</v>
          </cell>
          <cell r="F998">
            <v>0.5</v>
          </cell>
          <cell r="G998">
            <v>62350</v>
          </cell>
        </row>
        <row r="999">
          <cell r="A999" t="str">
            <v>47-2111</v>
          </cell>
          <cell r="B999" t="str">
            <v>Electricians</v>
          </cell>
          <cell r="C999">
            <v>742580</v>
          </cell>
          <cell r="D999">
            <v>0.7</v>
          </cell>
          <cell r="E999">
            <v>69630</v>
          </cell>
          <cell r="F999">
            <v>0.5</v>
          </cell>
          <cell r="G999">
            <v>62350</v>
          </cell>
        </row>
        <row r="1000">
          <cell r="A1000" t="str">
            <v>47-2120</v>
          </cell>
          <cell r="B1000" t="str">
            <v>Glaziers</v>
          </cell>
          <cell r="C1000">
            <v>57000</v>
          </cell>
          <cell r="D1000">
            <v>3.1</v>
          </cell>
          <cell r="E1000">
            <v>60260</v>
          </cell>
          <cell r="F1000">
            <v>1.8</v>
          </cell>
          <cell r="G1000">
            <v>55440</v>
          </cell>
        </row>
        <row r="1001">
          <cell r="A1001" t="str">
            <v>47-2121</v>
          </cell>
          <cell r="B1001" t="str">
            <v>Glaziers</v>
          </cell>
          <cell r="C1001">
            <v>57000</v>
          </cell>
          <cell r="D1001">
            <v>3.1</v>
          </cell>
          <cell r="E1001">
            <v>60260</v>
          </cell>
          <cell r="F1001">
            <v>1.8</v>
          </cell>
          <cell r="G1001">
            <v>55440</v>
          </cell>
        </row>
        <row r="1002">
          <cell r="A1002" t="str">
            <v>47-2130</v>
          </cell>
          <cell r="B1002" t="str">
            <v>Insulation Workers</v>
          </cell>
          <cell r="C1002">
            <v>64250</v>
          </cell>
          <cell r="D1002">
            <v>2.9</v>
          </cell>
          <cell r="E1002">
            <v>57470</v>
          </cell>
          <cell r="F1002">
            <v>1.3</v>
          </cell>
          <cell r="G1002">
            <v>50730</v>
          </cell>
        </row>
        <row r="1003">
          <cell r="A1003" t="str">
            <v>47-2131</v>
          </cell>
          <cell r="B1003" t="str">
            <v>Insulation Workers, Floor, Ceiling, and Wall</v>
          </cell>
          <cell r="C1003">
            <v>38610</v>
          </cell>
          <cell r="D1003">
            <v>3.5</v>
          </cell>
          <cell r="E1003">
            <v>53440</v>
          </cell>
          <cell r="F1003">
            <v>1.5</v>
          </cell>
          <cell r="G1003">
            <v>48680</v>
          </cell>
        </row>
        <row r="1004">
          <cell r="A1004" t="str">
            <v>47-2132</v>
          </cell>
          <cell r="B1004" t="str">
            <v>Insulation Workers, Mechanical</v>
          </cell>
          <cell r="C1004">
            <v>25640</v>
          </cell>
          <cell r="D1004">
            <v>5.4</v>
          </cell>
          <cell r="E1004">
            <v>63540</v>
          </cell>
          <cell r="F1004">
            <v>2.2000000000000002</v>
          </cell>
          <cell r="G1004">
            <v>57250</v>
          </cell>
        </row>
        <row r="1005">
          <cell r="A1005" t="str">
            <v>47-2140</v>
          </cell>
          <cell r="B1005" t="str">
            <v>Painters and Paperhangers</v>
          </cell>
          <cell r="C1005">
            <v>225700</v>
          </cell>
          <cell r="D1005">
            <v>1.6</v>
          </cell>
          <cell r="E1005">
            <v>53700</v>
          </cell>
          <cell r="F1005">
            <v>0.7</v>
          </cell>
          <cell r="G1005">
            <v>48660</v>
          </cell>
        </row>
        <row r="1006">
          <cell r="A1006" t="str">
            <v>47-2141</v>
          </cell>
          <cell r="B1006" t="str">
            <v>Painters, Construction and Maintenance</v>
          </cell>
          <cell r="C1006">
            <v>224180</v>
          </cell>
          <cell r="D1006">
            <v>1.6</v>
          </cell>
          <cell r="E1006">
            <v>53710</v>
          </cell>
          <cell r="F1006">
            <v>0.7</v>
          </cell>
          <cell r="G1006">
            <v>48660</v>
          </cell>
        </row>
        <row r="1007">
          <cell r="A1007" t="str">
            <v>47-2142</v>
          </cell>
          <cell r="B1007" t="str">
            <v>Paperhangers</v>
          </cell>
          <cell r="C1007">
            <v>1520</v>
          </cell>
          <cell r="D1007">
            <v>13.7</v>
          </cell>
          <cell r="E1007">
            <v>51900</v>
          </cell>
          <cell r="F1007">
            <v>3.9</v>
          </cell>
          <cell r="G1007">
            <v>48260</v>
          </cell>
        </row>
        <row r="1008">
          <cell r="A1008" t="str">
            <v>47-2150</v>
          </cell>
          <cell r="B1008" t="str">
            <v>Pipelayers, Plumbers, Pipefitters, and Steamfitters</v>
          </cell>
          <cell r="C1008">
            <v>489520</v>
          </cell>
          <cell r="D1008">
            <v>1.1000000000000001</v>
          </cell>
          <cell r="E1008">
            <v>68870</v>
          </cell>
          <cell r="F1008">
            <v>0.6</v>
          </cell>
          <cell r="G1008">
            <v>62210</v>
          </cell>
        </row>
        <row r="1009">
          <cell r="A1009" t="str">
            <v>47-2151</v>
          </cell>
          <cell r="B1009" t="str">
            <v>Pipelayers</v>
          </cell>
          <cell r="C1009">
            <v>33580</v>
          </cell>
          <cell r="D1009">
            <v>3.9</v>
          </cell>
          <cell r="E1009">
            <v>54270</v>
          </cell>
          <cell r="F1009">
            <v>1.3</v>
          </cell>
          <cell r="G1009">
            <v>48710</v>
          </cell>
        </row>
        <row r="1010">
          <cell r="A1010" t="str">
            <v>47-2152</v>
          </cell>
          <cell r="B1010" t="str">
            <v>Plumbers, Pipefitters, and Steamfitters</v>
          </cell>
          <cell r="C1010">
            <v>455940</v>
          </cell>
          <cell r="D1010">
            <v>1.2</v>
          </cell>
          <cell r="E1010">
            <v>69940</v>
          </cell>
          <cell r="F1010">
            <v>0.6</v>
          </cell>
          <cell r="G1010">
            <v>62970</v>
          </cell>
        </row>
        <row r="1011">
          <cell r="A1011" t="str">
            <v>47-2160</v>
          </cell>
          <cell r="B1011" t="str">
            <v>Plasterers and Stucco Masons</v>
          </cell>
          <cell r="C1011">
            <v>20880</v>
          </cell>
          <cell r="D1011">
            <v>5.2</v>
          </cell>
          <cell r="E1011">
            <v>61000</v>
          </cell>
          <cell r="F1011">
            <v>1.6</v>
          </cell>
          <cell r="G1011">
            <v>56020</v>
          </cell>
        </row>
        <row r="1012">
          <cell r="A1012" t="str">
            <v>47-2161</v>
          </cell>
          <cell r="B1012" t="str">
            <v>Plasterers and Stucco Masons</v>
          </cell>
          <cell r="C1012">
            <v>20880</v>
          </cell>
          <cell r="D1012">
            <v>5.2</v>
          </cell>
          <cell r="E1012">
            <v>61000</v>
          </cell>
          <cell r="F1012">
            <v>1.6</v>
          </cell>
          <cell r="G1012">
            <v>56020</v>
          </cell>
        </row>
        <row r="1013">
          <cell r="A1013" t="str">
            <v>47-2170</v>
          </cell>
          <cell r="B1013" t="str">
            <v>Reinforcing Iron and Rebar Workers</v>
          </cell>
          <cell r="C1013">
            <v>14140</v>
          </cell>
          <cell r="D1013">
            <v>8</v>
          </cell>
          <cell r="E1013">
            <v>62640</v>
          </cell>
          <cell r="F1013">
            <v>2.5</v>
          </cell>
          <cell r="G1013">
            <v>59280</v>
          </cell>
        </row>
        <row r="1014">
          <cell r="A1014" t="str">
            <v>47-2171</v>
          </cell>
          <cell r="B1014" t="str">
            <v>Reinforcing Iron and Rebar Workers</v>
          </cell>
          <cell r="C1014">
            <v>14140</v>
          </cell>
          <cell r="D1014">
            <v>8</v>
          </cell>
          <cell r="E1014">
            <v>62640</v>
          </cell>
          <cell r="F1014">
            <v>2.5</v>
          </cell>
          <cell r="G1014">
            <v>59280</v>
          </cell>
        </row>
        <row r="1015">
          <cell r="A1015" t="str">
            <v>47-2180</v>
          </cell>
          <cell r="B1015" t="str">
            <v>Roofers</v>
          </cell>
          <cell r="C1015">
            <v>136740</v>
          </cell>
          <cell r="D1015">
            <v>1.4</v>
          </cell>
          <cell r="E1015">
            <v>57090</v>
          </cell>
          <cell r="F1015">
            <v>0.8</v>
          </cell>
          <cell r="G1015">
            <v>50970</v>
          </cell>
        </row>
        <row r="1016">
          <cell r="A1016" t="str">
            <v>47-2181</v>
          </cell>
          <cell r="B1016" t="str">
            <v>Roofers</v>
          </cell>
          <cell r="C1016">
            <v>136740</v>
          </cell>
          <cell r="D1016">
            <v>1.4</v>
          </cell>
          <cell r="E1016">
            <v>57090</v>
          </cell>
          <cell r="F1016">
            <v>0.8</v>
          </cell>
          <cell r="G1016">
            <v>50970</v>
          </cell>
        </row>
        <row r="1017">
          <cell r="A1017" t="str">
            <v>47-2210</v>
          </cell>
          <cell r="B1017" t="str">
            <v>Sheet Metal Workers</v>
          </cell>
          <cell r="C1017">
            <v>117470</v>
          </cell>
          <cell r="D1017">
            <v>2</v>
          </cell>
          <cell r="E1017">
            <v>66110</v>
          </cell>
          <cell r="F1017">
            <v>0.8</v>
          </cell>
          <cell r="G1017">
            <v>60850</v>
          </cell>
        </row>
        <row r="1018">
          <cell r="A1018" t="str">
            <v>47-2211</v>
          </cell>
          <cell r="B1018" t="str">
            <v>Sheet Metal Workers</v>
          </cell>
          <cell r="C1018">
            <v>117470</v>
          </cell>
          <cell r="D1018">
            <v>2</v>
          </cell>
          <cell r="E1018">
            <v>66110</v>
          </cell>
          <cell r="F1018">
            <v>0.8</v>
          </cell>
          <cell r="G1018">
            <v>60850</v>
          </cell>
        </row>
        <row r="1019">
          <cell r="A1019" t="str">
            <v>47-2220</v>
          </cell>
          <cell r="B1019" t="str">
            <v>Structural Iron and Steel Workers</v>
          </cell>
          <cell r="C1019">
            <v>64720</v>
          </cell>
          <cell r="D1019">
            <v>3</v>
          </cell>
          <cell r="E1019">
            <v>69270</v>
          </cell>
          <cell r="F1019">
            <v>1.2</v>
          </cell>
          <cell r="G1019">
            <v>62700</v>
          </cell>
        </row>
        <row r="1020">
          <cell r="A1020" t="str">
            <v>47-2221</v>
          </cell>
          <cell r="B1020" t="str">
            <v>Structural Iron and Steel Workers</v>
          </cell>
          <cell r="C1020">
            <v>64720</v>
          </cell>
          <cell r="D1020">
            <v>3</v>
          </cell>
          <cell r="E1020">
            <v>69270</v>
          </cell>
          <cell r="F1020">
            <v>1.2</v>
          </cell>
          <cell r="G1020">
            <v>62700</v>
          </cell>
        </row>
        <row r="1021">
          <cell r="A1021" t="str">
            <v>47-2230</v>
          </cell>
          <cell r="B1021" t="str">
            <v>Solar Photovoltaic Installers</v>
          </cell>
          <cell r="C1021">
            <v>28280</v>
          </cell>
          <cell r="D1021">
            <v>5.2</v>
          </cell>
          <cell r="E1021">
            <v>57380</v>
          </cell>
          <cell r="F1021">
            <v>1.6</v>
          </cell>
          <cell r="G1021">
            <v>51860</v>
          </cell>
        </row>
        <row r="1022">
          <cell r="A1022" t="str">
            <v>47-2231</v>
          </cell>
          <cell r="B1022" t="str">
            <v>Solar Photovoltaic Installers</v>
          </cell>
          <cell r="C1022">
            <v>28280</v>
          </cell>
          <cell r="D1022">
            <v>5.2</v>
          </cell>
          <cell r="E1022">
            <v>57380</v>
          </cell>
          <cell r="F1022">
            <v>1.6</v>
          </cell>
          <cell r="G1022">
            <v>51860</v>
          </cell>
        </row>
        <row r="1023">
          <cell r="A1023" t="str">
            <v>47-3000</v>
          </cell>
          <cell r="B1023" t="str">
            <v>Helpers, Construction Trades</v>
          </cell>
          <cell r="C1023">
            <v>186250</v>
          </cell>
          <cell r="D1023">
            <v>1.6</v>
          </cell>
          <cell r="E1023">
            <v>43140</v>
          </cell>
          <cell r="F1023">
            <v>0.7</v>
          </cell>
          <cell r="G1023">
            <v>40430</v>
          </cell>
        </row>
        <row r="1024">
          <cell r="A1024" t="str">
            <v>47-3010</v>
          </cell>
          <cell r="B1024" t="str">
            <v>Helpers, Construction Trades</v>
          </cell>
          <cell r="C1024">
            <v>186250</v>
          </cell>
          <cell r="D1024">
            <v>1.6</v>
          </cell>
          <cell r="E1024">
            <v>43140</v>
          </cell>
          <cell r="F1024">
            <v>0.7</v>
          </cell>
          <cell r="G1024">
            <v>40430</v>
          </cell>
        </row>
        <row r="1025">
          <cell r="A1025" t="str">
            <v>47-3011</v>
          </cell>
          <cell r="B1025" t="str">
            <v>Helpers--Brickmasons, Blockmasons, Stonemasons, and Tile and Marble Setters</v>
          </cell>
          <cell r="C1025">
            <v>15660</v>
          </cell>
          <cell r="D1025">
            <v>6.3</v>
          </cell>
          <cell r="E1025">
            <v>49730</v>
          </cell>
          <cell r="F1025">
            <v>1.5</v>
          </cell>
          <cell r="G1025">
            <v>46480</v>
          </cell>
        </row>
        <row r="1026">
          <cell r="A1026" t="str">
            <v>47-3012</v>
          </cell>
          <cell r="B1026" t="str">
            <v>Helpers--Carpenters</v>
          </cell>
          <cell r="C1026">
            <v>24610</v>
          </cell>
          <cell r="D1026">
            <v>7.7</v>
          </cell>
          <cell r="E1026">
            <v>42080</v>
          </cell>
          <cell r="F1026">
            <v>1.9</v>
          </cell>
          <cell r="G1026">
            <v>41600</v>
          </cell>
        </row>
        <row r="1027">
          <cell r="A1027" t="str">
            <v>47-3013</v>
          </cell>
          <cell r="B1027" t="str">
            <v>Helpers--Electricians</v>
          </cell>
          <cell r="C1027">
            <v>64440</v>
          </cell>
          <cell r="D1027">
            <v>3</v>
          </cell>
          <cell r="E1027">
            <v>42900</v>
          </cell>
          <cell r="F1027">
            <v>0.9</v>
          </cell>
          <cell r="G1027">
            <v>39890</v>
          </cell>
        </row>
        <row r="1028">
          <cell r="A1028" t="str">
            <v>47-3014</v>
          </cell>
          <cell r="B1028" t="str">
            <v>Helpers--Painters, Paperhangers, Plasterers, and Stucco Masons</v>
          </cell>
          <cell r="C1028">
            <v>7220</v>
          </cell>
          <cell r="D1028">
            <v>8</v>
          </cell>
          <cell r="E1028">
            <v>40880</v>
          </cell>
          <cell r="F1028">
            <v>2.2000000000000002</v>
          </cell>
          <cell r="G1028">
            <v>38140</v>
          </cell>
        </row>
        <row r="1029">
          <cell r="A1029" t="str">
            <v>47-3015</v>
          </cell>
          <cell r="B1029" t="str">
            <v>Helpers--Pipelayers, Plumbers, Pipefitters, and Steamfitters</v>
          </cell>
          <cell r="C1029">
            <v>43640</v>
          </cell>
          <cell r="D1029">
            <v>4</v>
          </cell>
          <cell r="E1029">
            <v>41720</v>
          </cell>
          <cell r="F1029">
            <v>0.9</v>
          </cell>
          <cell r="G1029">
            <v>39270</v>
          </cell>
        </row>
        <row r="1030">
          <cell r="A1030" t="str">
            <v>47-3016</v>
          </cell>
          <cell r="B1030" t="str">
            <v>Helpers--Roofers</v>
          </cell>
          <cell r="C1030">
            <v>5170</v>
          </cell>
          <cell r="D1030">
            <v>10.1</v>
          </cell>
          <cell r="E1030">
            <v>42070</v>
          </cell>
          <cell r="F1030">
            <v>3.1</v>
          </cell>
          <cell r="G1030">
            <v>40590</v>
          </cell>
        </row>
        <row r="1031">
          <cell r="A1031" t="str">
            <v>47-3019</v>
          </cell>
          <cell r="B1031" t="str">
            <v>Helpers, Construction Trades, All Other</v>
          </cell>
          <cell r="C1031">
            <v>25510</v>
          </cell>
          <cell r="D1031">
            <v>4</v>
          </cell>
          <cell r="E1031">
            <v>44040</v>
          </cell>
          <cell r="F1031">
            <v>1.2</v>
          </cell>
          <cell r="G1031">
            <v>40760</v>
          </cell>
        </row>
        <row r="1032">
          <cell r="A1032" t="str">
            <v>47-4000</v>
          </cell>
          <cell r="B1032" t="str">
            <v>Other Construction and Related Workers</v>
          </cell>
          <cell r="C1032">
            <v>464570</v>
          </cell>
          <cell r="D1032">
            <v>0.9</v>
          </cell>
          <cell r="E1032">
            <v>62700</v>
          </cell>
          <cell r="F1032">
            <v>0.4</v>
          </cell>
          <cell r="G1032">
            <v>56520</v>
          </cell>
        </row>
        <row r="1033">
          <cell r="A1033" t="str">
            <v>47-4010</v>
          </cell>
          <cell r="B1033" t="str">
            <v>Construction and Building Inspectors</v>
          </cell>
          <cell r="C1033">
            <v>137210</v>
          </cell>
          <cell r="D1033">
            <v>2</v>
          </cell>
          <cell r="E1033">
            <v>76430</v>
          </cell>
          <cell r="F1033">
            <v>0.8</v>
          </cell>
          <cell r="G1033">
            <v>72120</v>
          </cell>
        </row>
        <row r="1034">
          <cell r="A1034" t="str">
            <v>47-4011</v>
          </cell>
          <cell r="B1034" t="str">
            <v>Construction and Building Inspectors</v>
          </cell>
          <cell r="C1034">
            <v>137210</v>
          </cell>
          <cell r="D1034">
            <v>2</v>
          </cell>
          <cell r="E1034">
            <v>76430</v>
          </cell>
          <cell r="F1034">
            <v>0.8</v>
          </cell>
          <cell r="G1034">
            <v>72120</v>
          </cell>
        </row>
        <row r="1035">
          <cell r="A1035" t="str">
            <v>47-4020</v>
          </cell>
          <cell r="B1035" t="str">
            <v>Elevator and Escalator Installers and Repairers</v>
          </cell>
          <cell r="C1035">
            <v>23340</v>
          </cell>
          <cell r="D1035">
            <v>6.1</v>
          </cell>
          <cell r="E1035">
            <v>104860</v>
          </cell>
          <cell r="F1035">
            <v>1.7</v>
          </cell>
          <cell r="G1035">
            <v>106580</v>
          </cell>
        </row>
        <row r="1036">
          <cell r="A1036" t="str">
            <v>47-4021</v>
          </cell>
          <cell r="B1036" t="str">
            <v>Elevator and Escalator Installers and Repairers</v>
          </cell>
          <cell r="C1036">
            <v>23340</v>
          </cell>
          <cell r="D1036">
            <v>6.1</v>
          </cell>
          <cell r="E1036">
            <v>104860</v>
          </cell>
          <cell r="F1036">
            <v>1.7</v>
          </cell>
          <cell r="G1036">
            <v>106580</v>
          </cell>
        </row>
        <row r="1037">
          <cell r="A1037" t="str">
            <v>47-4030</v>
          </cell>
          <cell r="B1037" t="str">
            <v>Fence Erectors</v>
          </cell>
          <cell r="C1037">
            <v>22640</v>
          </cell>
          <cell r="D1037">
            <v>6.5</v>
          </cell>
          <cell r="E1037">
            <v>50550</v>
          </cell>
          <cell r="F1037">
            <v>1.6</v>
          </cell>
          <cell r="G1037">
            <v>46940</v>
          </cell>
        </row>
        <row r="1038">
          <cell r="A1038" t="str">
            <v>47-4031</v>
          </cell>
          <cell r="B1038" t="str">
            <v>Fence Erectors</v>
          </cell>
          <cell r="C1038">
            <v>22640</v>
          </cell>
          <cell r="D1038">
            <v>6.5</v>
          </cell>
          <cell r="E1038">
            <v>50550</v>
          </cell>
          <cell r="F1038">
            <v>1.6</v>
          </cell>
          <cell r="G1038">
            <v>46940</v>
          </cell>
        </row>
        <row r="1039">
          <cell r="A1039" t="str">
            <v>47-4040</v>
          </cell>
          <cell r="B1039" t="str">
            <v>Hazardous Materials Removal Workers</v>
          </cell>
          <cell r="C1039">
            <v>50570</v>
          </cell>
          <cell r="D1039">
            <v>2.6</v>
          </cell>
          <cell r="E1039">
            <v>55740</v>
          </cell>
          <cell r="F1039">
            <v>1.2</v>
          </cell>
          <cell r="G1039">
            <v>48490</v>
          </cell>
        </row>
        <row r="1040">
          <cell r="A1040" t="str">
            <v>47-4041</v>
          </cell>
          <cell r="B1040" t="str">
            <v>Hazardous Materials Removal Workers</v>
          </cell>
          <cell r="C1040">
            <v>50570</v>
          </cell>
          <cell r="D1040">
            <v>2.6</v>
          </cell>
          <cell r="E1040">
            <v>55740</v>
          </cell>
          <cell r="F1040">
            <v>1.2</v>
          </cell>
          <cell r="G1040">
            <v>48490</v>
          </cell>
        </row>
        <row r="1041">
          <cell r="A1041" t="str">
            <v>47-4050</v>
          </cell>
          <cell r="B1041" t="str">
            <v>Highway Maintenance Workers</v>
          </cell>
          <cell r="C1041">
            <v>151750</v>
          </cell>
          <cell r="D1041">
            <v>1.1000000000000001</v>
          </cell>
          <cell r="E1041">
            <v>51410</v>
          </cell>
          <cell r="F1041">
            <v>0.4</v>
          </cell>
          <cell r="G1041">
            <v>49070</v>
          </cell>
        </row>
        <row r="1042">
          <cell r="A1042" t="str">
            <v>47-4051</v>
          </cell>
          <cell r="B1042" t="str">
            <v>Highway Maintenance Workers</v>
          </cell>
          <cell r="C1042">
            <v>151750</v>
          </cell>
          <cell r="D1042">
            <v>1.1000000000000001</v>
          </cell>
          <cell r="E1042">
            <v>51410</v>
          </cell>
          <cell r="F1042">
            <v>0.4</v>
          </cell>
          <cell r="G1042">
            <v>49070</v>
          </cell>
        </row>
        <row r="1043">
          <cell r="A1043" t="str">
            <v>47-4060</v>
          </cell>
          <cell r="B1043" t="str">
            <v>Rail-Track Laying and Maintenance Equipment Operators</v>
          </cell>
          <cell r="C1043">
            <v>16480</v>
          </cell>
          <cell r="D1043">
            <v>1.6</v>
          </cell>
          <cell r="E1043">
            <v>68270</v>
          </cell>
          <cell r="F1043">
            <v>0.5</v>
          </cell>
          <cell r="G1043">
            <v>67370</v>
          </cell>
        </row>
        <row r="1044">
          <cell r="A1044" t="str">
            <v>47-4061</v>
          </cell>
          <cell r="B1044" t="str">
            <v>Rail-Track Laying and Maintenance Equipment Operators</v>
          </cell>
          <cell r="C1044">
            <v>16480</v>
          </cell>
          <cell r="D1044">
            <v>1.6</v>
          </cell>
          <cell r="E1044">
            <v>68270</v>
          </cell>
          <cell r="F1044">
            <v>0.5</v>
          </cell>
          <cell r="G1044">
            <v>67370</v>
          </cell>
        </row>
        <row r="1045">
          <cell r="A1045" t="str">
            <v>47-4070</v>
          </cell>
          <cell r="B1045" t="str">
            <v>Septic Tank Servicers and Sewer Pipe Cleaners</v>
          </cell>
          <cell r="C1045">
            <v>29050</v>
          </cell>
          <cell r="D1045">
            <v>2.7</v>
          </cell>
          <cell r="E1045">
            <v>52730</v>
          </cell>
          <cell r="F1045">
            <v>0.7</v>
          </cell>
          <cell r="G1045">
            <v>49140</v>
          </cell>
        </row>
        <row r="1046">
          <cell r="A1046" t="str">
            <v>47-4071</v>
          </cell>
          <cell r="B1046" t="str">
            <v>Septic Tank Servicers and Sewer Pipe Cleaners</v>
          </cell>
          <cell r="C1046">
            <v>29050</v>
          </cell>
          <cell r="D1046">
            <v>2.7</v>
          </cell>
          <cell r="E1046">
            <v>52730</v>
          </cell>
          <cell r="F1046">
            <v>0.7</v>
          </cell>
          <cell r="G1046">
            <v>49140</v>
          </cell>
        </row>
        <row r="1047">
          <cell r="A1047" t="str">
            <v>47-4090</v>
          </cell>
          <cell r="B1047" t="str">
            <v>Miscellaneous Construction and Related Workers</v>
          </cell>
          <cell r="C1047">
            <v>33530</v>
          </cell>
          <cell r="D1047">
            <v>4.8</v>
          </cell>
          <cell r="E1047">
            <v>52910</v>
          </cell>
          <cell r="F1047">
            <v>1.9</v>
          </cell>
          <cell r="G1047">
            <v>48120</v>
          </cell>
        </row>
        <row r="1048">
          <cell r="A1048" t="str">
            <v>47-4090</v>
          </cell>
          <cell r="B1048" t="str">
            <v>Miscellaneous Construction and Related Workers</v>
          </cell>
          <cell r="C1048">
            <v>33530</v>
          </cell>
          <cell r="D1048">
            <v>4.8</v>
          </cell>
          <cell r="E1048">
            <v>52910</v>
          </cell>
          <cell r="F1048">
            <v>1.9</v>
          </cell>
          <cell r="G1048">
            <v>48120</v>
          </cell>
        </row>
        <row r="1049">
          <cell r="A1049" t="str">
            <v>47-5000</v>
          </cell>
          <cell r="B1049" t="str">
            <v>Extraction Workers</v>
          </cell>
          <cell r="C1049">
            <v>212920</v>
          </cell>
          <cell r="D1049">
            <v>1.5</v>
          </cell>
          <cell r="E1049">
            <v>59040</v>
          </cell>
          <cell r="F1049">
            <v>0.6</v>
          </cell>
          <cell r="G1049">
            <v>56020</v>
          </cell>
        </row>
        <row r="1050">
          <cell r="A1050" t="str">
            <v>47-5010</v>
          </cell>
          <cell r="B1050" t="str">
            <v>Derrick, Rotary Drill, and Service Unit Operators, Oil and Gas</v>
          </cell>
          <cell r="C1050">
            <v>68250</v>
          </cell>
          <cell r="D1050">
            <v>3</v>
          </cell>
          <cell r="E1050">
            <v>63330</v>
          </cell>
          <cell r="F1050">
            <v>0.9</v>
          </cell>
          <cell r="G1050">
            <v>59660</v>
          </cell>
        </row>
        <row r="1051">
          <cell r="A1051" t="str">
            <v>47-5011</v>
          </cell>
          <cell r="B1051" t="str">
            <v>Derrick Operators, Oil and Gas</v>
          </cell>
          <cell r="C1051">
            <v>11040</v>
          </cell>
          <cell r="D1051">
            <v>6.2</v>
          </cell>
          <cell r="E1051">
            <v>62490</v>
          </cell>
          <cell r="F1051">
            <v>1.6</v>
          </cell>
          <cell r="G1051">
            <v>62740</v>
          </cell>
        </row>
        <row r="1052">
          <cell r="A1052" t="str">
            <v>47-5012</v>
          </cell>
          <cell r="B1052" t="str">
            <v>Rotary Drill Operators, Oil and Gas</v>
          </cell>
          <cell r="C1052">
            <v>13090</v>
          </cell>
          <cell r="D1052">
            <v>8.4</v>
          </cell>
          <cell r="E1052">
            <v>70080</v>
          </cell>
          <cell r="F1052">
            <v>2</v>
          </cell>
          <cell r="G1052">
            <v>65010</v>
          </cell>
        </row>
        <row r="1053">
          <cell r="A1053" t="str">
            <v>47-5013</v>
          </cell>
          <cell r="B1053" t="str">
            <v>Service Unit Operators, Oil and Gas</v>
          </cell>
          <cell r="C1053">
            <v>44120</v>
          </cell>
          <cell r="D1053">
            <v>3.6</v>
          </cell>
          <cell r="E1053">
            <v>61530</v>
          </cell>
          <cell r="F1053">
            <v>1.1000000000000001</v>
          </cell>
          <cell r="G1053">
            <v>57980</v>
          </cell>
        </row>
        <row r="1054">
          <cell r="A1054" t="str">
            <v>47-5020</v>
          </cell>
          <cell r="B1054" t="str">
            <v>Surface Mining Machine Operators and Earth Drillers</v>
          </cell>
          <cell r="C1054">
            <v>51620</v>
          </cell>
          <cell r="D1054">
            <v>2.2999999999999998</v>
          </cell>
          <cell r="E1054">
            <v>59680</v>
          </cell>
          <cell r="F1054">
            <v>0.9</v>
          </cell>
          <cell r="G1054">
            <v>56020</v>
          </cell>
        </row>
        <row r="1055">
          <cell r="A1055" t="str">
            <v>47-5022</v>
          </cell>
          <cell r="B1055" t="str">
            <v>Excavating and Loading Machine and Dragline Operators, Surface Mining</v>
          </cell>
          <cell r="C1055">
            <v>34210</v>
          </cell>
          <cell r="D1055">
            <v>2.8</v>
          </cell>
          <cell r="E1055">
            <v>57860</v>
          </cell>
          <cell r="F1055">
            <v>1.2</v>
          </cell>
          <cell r="G1055">
            <v>52550</v>
          </cell>
        </row>
        <row r="1056">
          <cell r="A1056" t="str">
            <v>47-5023</v>
          </cell>
          <cell r="B1056" t="str">
            <v>Earth Drillers, Except Oil and Gas</v>
          </cell>
          <cell r="C1056">
            <v>17410</v>
          </cell>
          <cell r="D1056">
            <v>4.0999999999999996</v>
          </cell>
          <cell r="E1056">
            <v>63260</v>
          </cell>
          <cell r="F1056">
            <v>0.9</v>
          </cell>
          <cell r="G1056">
            <v>59600</v>
          </cell>
        </row>
        <row r="1057">
          <cell r="A1057" t="str">
            <v>47-5030</v>
          </cell>
          <cell r="B1057" t="str">
            <v>Explosives Workers, Ordnance Handling Experts, and Blasters</v>
          </cell>
          <cell r="C1057">
            <v>5680</v>
          </cell>
          <cell r="D1057">
            <v>11.3</v>
          </cell>
          <cell r="E1057">
            <v>66840</v>
          </cell>
          <cell r="F1057">
            <v>3.1</v>
          </cell>
          <cell r="G1057">
            <v>59110</v>
          </cell>
        </row>
        <row r="1058">
          <cell r="A1058" t="str">
            <v>47-5032</v>
          </cell>
          <cell r="B1058" t="str">
            <v>Explosives Workers, Ordnance Handling Experts, and Blasters</v>
          </cell>
          <cell r="C1058">
            <v>5680</v>
          </cell>
          <cell r="D1058">
            <v>11.3</v>
          </cell>
          <cell r="E1058">
            <v>66840</v>
          </cell>
          <cell r="F1058">
            <v>3.1</v>
          </cell>
          <cell r="G1058">
            <v>59110</v>
          </cell>
        </row>
        <row r="1059">
          <cell r="A1059" t="str">
            <v>47-5040</v>
          </cell>
          <cell r="B1059" t="str">
            <v>Underground Mining Machine Operators</v>
          </cell>
          <cell r="C1059">
            <v>26170</v>
          </cell>
          <cell r="D1059">
            <v>3.1</v>
          </cell>
          <cell r="E1059">
            <v>66430</v>
          </cell>
          <cell r="F1059">
            <v>0.9</v>
          </cell>
          <cell r="G1059">
            <v>66770</v>
          </cell>
        </row>
        <row r="1060">
          <cell r="A1060" t="str">
            <v>47-5041</v>
          </cell>
          <cell r="B1060" t="str">
            <v>Continuous Mining Machine Operators</v>
          </cell>
          <cell r="C1060">
            <v>14340</v>
          </cell>
          <cell r="D1060">
            <v>3.6</v>
          </cell>
          <cell r="E1060">
            <v>63920</v>
          </cell>
          <cell r="F1060">
            <v>1.1000000000000001</v>
          </cell>
          <cell r="G1060">
            <v>63380</v>
          </cell>
        </row>
        <row r="1061">
          <cell r="A1061" t="str">
            <v>47-5043</v>
          </cell>
          <cell r="B1061" t="str">
            <v>Roof Bolters, Mining</v>
          </cell>
          <cell r="C1061">
            <v>2230</v>
          </cell>
          <cell r="D1061">
            <v>5.3</v>
          </cell>
          <cell r="E1061">
            <v>74760</v>
          </cell>
          <cell r="F1061">
            <v>0.9</v>
          </cell>
          <cell r="G1061">
            <v>76640</v>
          </cell>
        </row>
        <row r="1062">
          <cell r="A1062" t="str">
            <v>47-5044</v>
          </cell>
          <cell r="B1062" t="str">
            <v>Loading and Moving Machine Operators, Underground Mining</v>
          </cell>
          <cell r="C1062">
            <v>6130</v>
          </cell>
          <cell r="D1062">
            <v>4.9000000000000004</v>
          </cell>
          <cell r="E1062">
            <v>68470</v>
          </cell>
          <cell r="F1062">
            <v>1.1000000000000001</v>
          </cell>
          <cell r="G1062">
            <v>68860</v>
          </cell>
        </row>
        <row r="1063">
          <cell r="A1063" t="str">
            <v>47-5049</v>
          </cell>
          <cell r="B1063" t="str">
            <v>Underground Mining Machine Operators, All Other</v>
          </cell>
          <cell r="C1063">
            <v>3480</v>
          </cell>
          <cell r="D1063">
            <v>14.5</v>
          </cell>
          <cell r="E1063">
            <v>67830</v>
          </cell>
          <cell r="F1063">
            <v>3.8</v>
          </cell>
          <cell r="G1063">
            <v>67220</v>
          </cell>
        </row>
        <row r="1064">
          <cell r="A1064" t="str">
            <v>47-5050</v>
          </cell>
          <cell r="B1064" t="str">
            <v>Rock Splitters, Quarry</v>
          </cell>
          <cell r="C1064">
            <v>3080</v>
          </cell>
          <cell r="D1064">
            <v>8.3000000000000007</v>
          </cell>
          <cell r="E1064">
            <v>50540</v>
          </cell>
          <cell r="F1064">
            <v>1.8</v>
          </cell>
          <cell r="G1064">
            <v>47460</v>
          </cell>
        </row>
        <row r="1065">
          <cell r="A1065" t="str">
            <v>47-5051</v>
          </cell>
          <cell r="B1065" t="str">
            <v>Rock Splitters, Quarry</v>
          </cell>
          <cell r="C1065">
            <v>3080</v>
          </cell>
          <cell r="D1065">
            <v>8.3000000000000007</v>
          </cell>
          <cell r="E1065">
            <v>50540</v>
          </cell>
          <cell r="F1065">
            <v>1.8</v>
          </cell>
          <cell r="G1065">
            <v>47460</v>
          </cell>
        </row>
        <row r="1066">
          <cell r="A1066" t="str">
            <v>47-5070</v>
          </cell>
          <cell r="B1066" t="str">
            <v>Roustabouts, Oil and Gas</v>
          </cell>
          <cell r="C1066">
            <v>45330</v>
          </cell>
          <cell r="D1066">
            <v>4.5999999999999996</v>
          </cell>
          <cell r="E1066">
            <v>49060</v>
          </cell>
          <cell r="F1066">
            <v>1.2</v>
          </cell>
          <cell r="G1066">
            <v>47510</v>
          </cell>
        </row>
        <row r="1067">
          <cell r="A1067" t="str">
            <v>47-5071</v>
          </cell>
          <cell r="B1067" t="str">
            <v>Roustabouts, Oil and Gas</v>
          </cell>
          <cell r="C1067">
            <v>45330</v>
          </cell>
          <cell r="D1067">
            <v>4.5999999999999996</v>
          </cell>
          <cell r="E1067">
            <v>49060</v>
          </cell>
          <cell r="F1067">
            <v>1.2</v>
          </cell>
          <cell r="G1067">
            <v>47510</v>
          </cell>
        </row>
        <row r="1068">
          <cell r="A1068" t="str">
            <v>47-5080</v>
          </cell>
          <cell r="B1068" t="str">
            <v>Helpers--Extraction Workers</v>
          </cell>
          <cell r="C1068">
            <v>6720</v>
          </cell>
          <cell r="D1068">
            <v>5.6</v>
          </cell>
          <cell r="E1068">
            <v>50330</v>
          </cell>
          <cell r="F1068">
            <v>1.2</v>
          </cell>
          <cell r="G1068">
            <v>48400</v>
          </cell>
        </row>
        <row r="1069">
          <cell r="A1069" t="str">
            <v>47-5081</v>
          </cell>
          <cell r="B1069" t="str">
            <v>Helpers--Extraction Workers</v>
          </cell>
          <cell r="C1069">
            <v>6720</v>
          </cell>
          <cell r="D1069">
            <v>5.6</v>
          </cell>
          <cell r="E1069">
            <v>50330</v>
          </cell>
          <cell r="F1069">
            <v>1.2</v>
          </cell>
          <cell r="G1069">
            <v>48400</v>
          </cell>
        </row>
        <row r="1070">
          <cell r="A1070" t="str">
            <v>47-5090</v>
          </cell>
          <cell r="B1070" t="str">
            <v>Miscellaneous Extraction Workers</v>
          </cell>
          <cell r="C1070">
            <v>6070</v>
          </cell>
          <cell r="D1070">
            <v>8.5</v>
          </cell>
          <cell r="E1070">
            <v>54780</v>
          </cell>
          <cell r="F1070">
            <v>2.2999999999999998</v>
          </cell>
          <cell r="G1070">
            <v>50110</v>
          </cell>
        </row>
        <row r="1071">
          <cell r="A1071" t="str">
            <v>47-5099</v>
          </cell>
          <cell r="B1071" t="str">
            <v>Extraction Workers, All Other</v>
          </cell>
          <cell r="C1071">
            <v>6070</v>
          </cell>
          <cell r="D1071">
            <v>8.5</v>
          </cell>
          <cell r="E1071">
            <v>54780</v>
          </cell>
          <cell r="F1071">
            <v>2.2999999999999998</v>
          </cell>
          <cell r="G1071">
            <v>50110</v>
          </cell>
        </row>
        <row r="1072">
          <cell r="A1072" t="str">
            <v>49-0000</v>
          </cell>
          <cell r="B1072" t="str">
            <v>Installation, Maintenance, and Repair Occupations</v>
          </cell>
          <cell r="C1072">
            <v>6045020</v>
          </cell>
          <cell r="D1072">
            <v>0.2</v>
          </cell>
          <cell r="E1072">
            <v>61640</v>
          </cell>
          <cell r="F1072">
            <v>0.2</v>
          </cell>
          <cell r="G1072">
            <v>58230</v>
          </cell>
        </row>
        <row r="1073">
          <cell r="A1073" t="str">
            <v>49-1000</v>
          </cell>
          <cell r="B1073" t="str">
            <v>Supervisors of Installation, Maintenance, and Repair Workers</v>
          </cell>
          <cell r="C1073">
            <v>600680</v>
          </cell>
          <cell r="D1073">
            <v>0.5</v>
          </cell>
          <cell r="E1073">
            <v>82930</v>
          </cell>
          <cell r="F1073">
            <v>0.3</v>
          </cell>
          <cell r="G1073">
            <v>78300</v>
          </cell>
        </row>
        <row r="1074">
          <cell r="A1074" t="str">
            <v>49-1010</v>
          </cell>
          <cell r="B1074" t="str">
            <v>First-Line Supervisors of Mechanics, Installers, and Repairers</v>
          </cell>
          <cell r="C1074">
            <v>600680</v>
          </cell>
          <cell r="D1074">
            <v>0.5</v>
          </cell>
          <cell r="E1074">
            <v>82930</v>
          </cell>
          <cell r="F1074">
            <v>0.3</v>
          </cell>
          <cell r="G1074">
            <v>78300</v>
          </cell>
        </row>
        <row r="1075">
          <cell r="A1075" t="str">
            <v>49-1011</v>
          </cell>
          <cell r="B1075" t="str">
            <v>First-Line Supervisors of Mechanics, Installers, and Repairers</v>
          </cell>
          <cell r="C1075">
            <v>600680</v>
          </cell>
          <cell r="D1075">
            <v>0.5</v>
          </cell>
          <cell r="E1075">
            <v>82930</v>
          </cell>
          <cell r="F1075">
            <v>0.3</v>
          </cell>
          <cell r="G1075">
            <v>78300</v>
          </cell>
        </row>
        <row r="1076">
          <cell r="A1076" t="str">
            <v>49-2000</v>
          </cell>
          <cell r="B1076" t="str">
            <v>Electrical and Electronic Equipment Mechanics, Installers, and Repairers</v>
          </cell>
          <cell r="C1076">
            <v>479930</v>
          </cell>
          <cell r="D1076">
            <v>1</v>
          </cell>
          <cell r="E1076">
            <v>65000</v>
          </cell>
          <cell r="F1076">
            <v>0.3</v>
          </cell>
          <cell r="G1076">
            <v>60980</v>
          </cell>
        </row>
        <row r="1077">
          <cell r="A1077" t="str">
            <v>49-2010</v>
          </cell>
          <cell r="B1077" t="str">
            <v>Computer, Automated Teller, and Office Machine Repairers</v>
          </cell>
          <cell r="C1077">
            <v>73010</v>
          </cell>
          <cell r="D1077">
            <v>2.6</v>
          </cell>
          <cell r="E1077">
            <v>49820</v>
          </cell>
          <cell r="F1077">
            <v>0.7</v>
          </cell>
          <cell r="G1077">
            <v>46860</v>
          </cell>
        </row>
        <row r="1078">
          <cell r="A1078" t="str">
            <v>49-2011</v>
          </cell>
          <cell r="B1078" t="str">
            <v>Computer, Automated Teller, and Office Machine Repairers</v>
          </cell>
          <cell r="C1078">
            <v>73010</v>
          </cell>
          <cell r="D1078">
            <v>2.6</v>
          </cell>
          <cell r="E1078">
            <v>49820</v>
          </cell>
          <cell r="F1078">
            <v>0.7</v>
          </cell>
          <cell r="G1078">
            <v>46860</v>
          </cell>
        </row>
        <row r="1079">
          <cell r="A1079" t="str">
            <v>49-2020</v>
          </cell>
          <cell r="B1079" t="str">
            <v>Radio and Telecommunications Equipment Installers and Repairers</v>
          </cell>
          <cell r="C1079">
            <v>165290</v>
          </cell>
          <cell r="D1079">
            <v>2</v>
          </cell>
          <cell r="E1079">
            <v>66820</v>
          </cell>
          <cell r="F1079">
            <v>0.5</v>
          </cell>
          <cell r="G1079">
            <v>62710</v>
          </cell>
        </row>
        <row r="1080">
          <cell r="A1080" t="str">
            <v>49-2021</v>
          </cell>
          <cell r="B1080" t="str">
            <v>Radio, Cellular, and Tower Equipment Installers and Repairers</v>
          </cell>
          <cell r="C1080">
            <v>11400</v>
          </cell>
          <cell r="D1080">
            <v>6.6</v>
          </cell>
          <cell r="E1080">
            <v>69180</v>
          </cell>
          <cell r="F1080">
            <v>1.7</v>
          </cell>
          <cell r="G1080">
            <v>64190</v>
          </cell>
        </row>
        <row r="1081">
          <cell r="A1081" t="str">
            <v>49-2022</v>
          </cell>
          <cell r="B1081" t="str">
            <v>Telecommunications Equipment Installers and Repairers, Except Line Installers</v>
          </cell>
          <cell r="C1081">
            <v>153890</v>
          </cell>
          <cell r="D1081">
            <v>2</v>
          </cell>
          <cell r="E1081">
            <v>66650</v>
          </cell>
          <cell r="F1081">
            <v>0.5</v>
          </cell>
          <cell r="G1081">
            <v>62630</v>
          </cell>
        </row>
        <row r="1082">
          <cell r="A1082" t="str">
            <v>49-2090</v>
          </cell>
          <cell r="B1082" t="str">
            <v>Miscellaneous Electrical and Electronic Equipment Mechanics, Installers, and Repairers</v>
          </cell>
          <cell r="C1082">
            <v>241630</v>
          </cell>
          <cell r="D1082">
            <v>1.3</v>
          </cell>
          <cell r="E1082">
            <v>68350</v>
          </cell>
          <cell r="F1082">
            <v>0.4</v>
          </cell>
          <cell r="G1082">
            <v>63120</v>
          </cell>
        </row>
        <row r="1083">
          <cell r="A1083" t="str">
            <v>49-2091</v>
          </cell>
          <cell r="B1083" t="str">
            <v>Avionics Technicians</v>
          </cell>
          <cell r="C1083">
            <v>20900</v>
          </cell>
          <cell r="D1083">
            <v>3</v>
          </cell>
          <cell r="E1083">
            <v>82350</v>
          </cell>
          <cell r="F1083">
            <v>0.7</v>
          </cell>
          <cell r="G1083">
            <v>81390</v>
          </cell>
        </row>
        <row r="1084">
          <cell r="A1084" t="str">
            <v>49-2092</v>
          </cell>
          <cell r="B1084" t="str">
            <v>Electric Motor, Power Tool, and Related Repairers</v>
          </cell>
          <cell r="C1084">
            <v>16570</v>
          </cell>
          <cell r="D1084">
            <v>6.2</v>
          </cell>
          <cell r="E1084">
            <v>56820</v>
          </cell>
          <cell r="F1084">
            <v>1.3</v>
          </cell>
          <cell r="G1084">
            <v>53990</v>
          </cell>
        </row>
        <row r="1085">
          <cell r="A1085" t="str">
            <v>49-2093</v>
          </cell>
          <cell r="B1085" t="str">
            <v>Electrical and Electronics Installers and Repairers, Transportation Equipment</v>
          </cell>
          <cell r="C1085">
            <v>7310</v>
          </cell>
          <cell r="D1085">
            <v>5.3</v>
          </cell>
          <cell r="E1085">
            <v>80980</v>
          </cell>
          <cell r="F1085">
            <v>2.1</v>
          </cell>
          <cell r="G1085">
            <v>82730</v>
          </cell>
        </row>
        <row r="1086">
          <cell r="A1086" t="str">
            <v>49-2094</v>
          </cell>
          <cell r="B1086" t="str">
            <v>Electrical and Electronics Repairers, Commercial and Industrial Equipment</v>
          </cell>
          <cell r="C1086">
            <v>59990</v>
          </cell>
          <cell r="D1086">
            <v>2.4</v>
          </cell>
          <cell r="E1086">
            <v>72950</v>
          </cell>
          <cell r="F1086">
            <v>0.7</v>
          </cell>
          <cell r="G1086">
            <v>71300</v>
          </cell>
        </row>
        <row r="1087">
          <cell r="A1087" t="str">
            <v>49-2095</v>
          </cell>
          <cell r="B1087" t="str">
            <v>Electrical and Electronics Repairers, Powerhouse, Substation, and Relay</v>
          </cell>
          <cell r="C1087">
            <v>23040</v>
          </cell>
          <cell r="D1087">
            <v>2.4</v>
          </cell>
          <cell r="E1087">
            <v>97460</v>
          </cell>
          <cell r="F1087">
            <v>0.7</v>
          </cell>
          <cell r="G1087">
            <v>100940</v>
          </cell>
        </row>
        <row r="1088">
          <cell r="A1088" t="str">
            <v>49-2096</v>
          </cell>
          <cell r="B1088" t="str">
            <v>Electronic Equipment Installers and Repairers, Motor Vehicles</v>
          </cell>
          <cell r="C1088">
            <v>10140</v>
          </cell>
          <cell r="D1088">
            <v>6.7</v>
          </cell>
          <cell r="E1088">
            <v>50240</v>
          </cell>
          <cell r="F1088">
            <v>2.5</v>
          </cell>
          <cell r="G1088">
            <v>47940</v>
          </cell>
        </row>
        <row r="1089">
          <cell r="A1089" t="str">
            <v>49-2097</v>
          </cell>
          <cell r="B1089" t="str">
            <v>Audiovisual Equipment Installers and Repairers</v>
          </cell>
          <cell r="C1089">
            <v>22170</v>
          </cell>
          <cell r="D1089">
            <v>5.7</v>
          </cell>
          <cell r="E1089">
            <v>55740</v>
          </cell>
          <cell r="F1089">
            <v>2.2000000000000002</v>
          </cell>
          <cell r="G1089">
            <v>50620</v>
          </cell>
        </row>
        <row r="1090">
          <cell r="A1090" t="str">
            <v>49-2098</v>
          </cell>
          <cell r="B1090" t="str">
            <v>Security and Fire Alarm Systems Installers</v>
          </cell>
          <cell r="C1090">
            <v>81510</v>
          </cell>
          <cell r="D1090">
            <v>2.2999999999999998</v>
          </cell>
          <cell r="E1090">
            <v>60040</v>
          </cell>
          <cell r="F1090">
            <v>0.8</v>
          </cell>
          <cell r="G1090">
            <v>59300</v>
          </cell>
        </row>
        <row r="1091">
          <cell r="A1091" t="str">
            <v>49-3000</v>
          </cell>
          <cell r="B1091" t="str">
            <v>Vehicle and Mobile Equipment Mechanics, Installers, and Repairers</v>
          </cell>
          <cell r="C1091">
            <v>1732480</v>
          </cell>
          <cell r="D1091">
            <v>0.4</v>
          </cell>
          <cell r="E1091">
            <v>58880</v>
          </cell>
          <cell r="F1091">
            <v>0.3</v>
          </cell>
          <cell r="G1091">
            <v>56220</v>
          </cell>
        </row>
        <row r="1092">
          <cell r="A1092" t="str">
            <v>49-3010</v>
          </cell>
          <cell r="B1092" t="str">
            <v>Aircraft Mechanics and Service Technicians</v>
          </cell>
          <cell r="C1092">
            <v>136390</v>
          </cell>
          <cell r="D1092">
            <v>1.2</v>
          </cell>
          <cell r="E1092">
            <v>80780</v>
          </cell>
          <cell r="F1092">
            <v>0.8</v>
          </cell>
          <cell r="G1092">
            <v>78680</v>
          </cell>
        </row>
        <row r="1093">
          <cell r="A1093" t="str">
            <v>49-3011</v>
          </cell>
          <cell r="B1093" t="str">
            <v>Aircraft Mechanics and Service Technicians</v>
          </cell>
          <cell r="C1093">
            <v>136390</v>
          </cell>
          <cell r="D1093">
            <v>1.2</v>
          </cell>
          <cell r="E1093">
            <v>80780</v>
          </cell>
          <cell r="F1093">
            <v>0.8</v>
          </cell>
          <cell r="G1093">
            <v>78680</v>
          </cell>
        </row>
        <row r="1094">
          <cell r="A1094" t="str">
            <v>49-3020</v>
          </cell>
          <cell r="B1094" t="str">
            <v>Automotive Technicians and Repairers</v>
          </cell>
          <cell r="C1094">
            <v>863000</v>
          </cell>
          <cell r="D1094">
            <v>0.6</v>
          </cell>
          <cell r="E1094">
            <v>55780</v>
          </cell>
          <cell r="F1094">
            <v>0.3</v>
          </cell>
          <cell r="G1094">
            <v>49950</v>
          </cell>
        </row>
        <row r="1095">
          <cell r="A1095" t="str">
            <v>49-3021</v>
          </cell>
          <cell r="B1095" t="str">
            <v>Automotive Body and Related Repairers</v>
          </cell>
          <cell r="C1095">
            <v>155220</v>
          </cell>
          <cell r="D1095">
            <v>1.5</v>
          </cell>
          <cell r="E1095">
            <v>58830</v>
          </cell>
          <cell r="F1095">
            <v>0.7</v>
          </cell>
          <cell r="G1095">
            <v>51680</v>
          </cell>
        </row>
        <row r="1096">
          <cell r="A1096" t="str">
            <v>49-3022</v>
          </cell>
          <cell r="B1096" t="str">
            <v>Automotive Glass Installers and Repairers</v>
          </cell>
          <cell r="C1096">
            <v>18940</v>
          </cell>
          <cell r="D1096">
            <v>4.5</v>
          </cell>
          <cell r="E1096">
            <v>49580</v>
          </cell>
          <cell r="F1096">
            <v>0.9</v>
          </cell>
          <cell r="G1096">
            <v>47260</v>
          </cell>
        </row>
        <row r="1097">
          <cell r="A1097" t="str">
            <v>49-3023</v>
          </cell>
          <cell r="B1097" t="str">
            <v>Automotive Service Technicians and Mechanics</v>
          </cell>
          <cell r="C1097">
            <v>688840</v>
          </cell>
          <cell r="D1097">
            <v>0.6</v>
          </cell>
          <cell r="E1097">
            <v>55260</v>
          </cell>
          <cell r="F1097">
            <v>0.3</v>
          </cell>
          <cell r="G1097">
            <v>49670</v>
          </cell>
        </row>
        <row r="1098">
          <cell r="A1098" t="str">
            <v>49-3030</v>
          </cell>
          <cell r="B1098" t="str">
            <v>Bus and Truck Mechanics and Diesel Engine Specialists</v>
          </cell>
          <cell r="C1098">
            <v>287230</v>
          </cell>
          <cell r="D1098">
            <v>1</v>
          </cell>
          <cell r="E1098">
            <v>62480</v>
          </cell>
          <cell r="F1098">
            <v>0.3</v>
          </cell>
          <cell r="G1098">
            <v>60640</v>
          </cell>
        </row>
        <row r="1099">
          <cell r="A1099" t="str">
            <v>49-3031</v>
          </cell>
          <cell r="B1099" t="str">
            <v>Bus and Truck Mechanics and Diesel Engine Specialists</v>
          </cell>
          <cell r="C1099">
            <v>287230</v>
          </cell>
          <cell r="D1099">
            <v>1</v>
          </cell>
          <cell r="E1099">
            <v>62480</v>
          </cell>
          <cell r="F1099">
            <v>0.3</v>
          </cell>
          <cell r="G1099">
            <v>60640</v>
          </cell>
        </row>
        <row r="1100">
          <cell r="A1100" t="str">
            <v>49-3040</v>
          </cell>
          <cell r="B1100" t="str">
            <v>Heavy Vehicle and Mobile Equipment Service Technicians and Mechanics</v>
          </cell>
          <cell r="C1100">
            <v>235450</v>
          </cell>
          <cell r="D1100">
            <v>1.2</v>
          </cell>
          <cell r="E1100">
            <v>65660</v>
          </cell>
          <cell r="F1100">
            <v>0.7</v>
          </cell>
          <cell r="G1100">
            <v>62740</v>
          </cell>
        </row>
        <row r="1101">
          <cell r="A1101" t="str">
            <v>49-3041</v>
          </cell>
          <cell r="B1101" t="str">
            <v>Farm Equipment Mechanics and Service Technicians</v>
          </cell>
          <cell r="C1101">
            <v>36880</v>
          </cell>
          <cell r="D1101">
            <v>2</v>
          </cell>
          <cell r="E1101">
            <v>55290</v>
          </cell>
          <cell r="F1101">
            <v>0.6</v>
          </cell>
          <cell r="G1101">
            <v>52080</v>
          </cell>
        </row>
        <row r="1102">
          <cell r="A1102" t="str">
            <v>49-3042</v>
          </cell>
          <cell r="B1102" t="str">
            <v>Mobile Heavy Equipment Mechanics, Except Engines</v>
          </cell>
          <cell r="C1102">
            <v>180270</v>
          </cell>
          <cell r="D1102">
            <v>1.6</v>
          </cell>
          <cell r="E1102">
            <v>67580</v>
          </cell>
          <cell r="F1102">
            <v>0.9</v>
          </cell>
          <cell r="G1102">
            <v>63980</v>
          </cell>
        </row>
        <row r="1103">
          <cell r="A1103" t="str">
            <v>49-3043</v>
          </cell>
          <cell r="B1103" t="str">
            <v>Rail Car Repairers</v>
          </cell>
          <cell r="C1103">
            <v>18300</v>
          </cell>
          <cell r="D1103">
            <v>2.1</v>
          </cell>
          <cell r="E1103">
            <v>67610</v>
          </cell>
          <cell r="F1103">
            <v>0.5</v>
          </cell>
          <cell r="G1103">
            <v>65680</v>
          </cell>
        </row>
        <row r="1104">
          <cell r="A1104" t="str">
            <v>49-3050</v>
          </cell>
          <cell r="B1104" t="str">
            <v>Small Engine Mechanics</v>
          </cell>
          <cell r="C1104">
            <v>72500</v>
          </cell>
          <cell r="D1104">
            <v>1.7</v>
          </cell>
          <cell r="E1104">
            <v>51240</v>
          </cell>
          <cell r="F1104">
            <v>0.6</v>
          </cell>
          <cell r="G1104">
            <v>48240</v>
          </cell>
        </row>
        <row r="1105">
          <cell r="A1105" t="str">
            <v>49-3051</v>
          </cell>
          <cell r="B1105" t="str">
            <v>Motorboat Mechanics and Service Technicians</v>
          </cell>
          <cell r="C1105">
            <v>24250</v>
          </cell>
          <cell r="D1105">
            <v>3.1</v>
          </cell>
          <cell r="E1105">
            <v>56450</v>
          </cell>
          <cell r="F1105">
            <v>1.3</v>
          </cell>
          <cell r="G1105">
            <v>54950</v>
          </cell>
        </row>
        <row r="1106">
          <cell r="A1106" t="str">
            <v>49-3052</v>
          </cell>
          <cell r="B1106" t="str">
            <v>Motorcycle Mechanics</v>
          </cell>
          <cell r="C1106">
            <v>14010</v>
          </cell>
          <cell r="D1106">
            <v>3.6</v>
          </cell>
          <cell r="E1106">
            <v>49650</v>
          </cell>
          <cell r="F1106">
            <v>0.7</v>
          </cell>
          <cell r="G1106">
            <v>47200</v>
          </cell>
        </row>
        <row r="1107">
          <cell r="A1107" t="str">
            <v>49-3053</v>
          </cell>
          <cell r="B1107" t="str">
            <v>Outdoor Power Equipment and Other Small Engine Mechanics</v>
          </cell>
          <cell r="C1107">
            <v>34240</v>
          </cell>
          <cell r="D1107">
            <v>2.2000000000000002</v>
          </cell>
          <cell r="E1107">
            <v>48200</v>
          </cell>
          <cell r="F1107">
            <v>0.6</v>
          </cell>
          <cell r="G1107">
            <v>46560</v>
          </cell>
        </row>
        <row r="1108">
          <cell r="A1108" t="str">
            <v>49-3090</v>
          </cell>
          <cell r="B1108" t="str">
            <v>Miscellaneous Vehicle and Mobile Equipment Mechanics, Installers, and Repairers</v>
          </cell>
          <cell r="C1108">
            <v>137920</v>
          </cell>
          <cell r="D1108">
            <v>1.2</v>
          </cell>
          <cell r="E1108">
            <v>41560</v>
          </cell>
          <cell r="F1108">
            <v>0.4</v>
          </cell>
          <cell r="G1108">
            <v>37960</v>
          </cell>
        </row>
        <row r="1109">
          <cell r="A1109" t="str">
            <v>49-3091</v>
          </cell>
          <cell r="B1109" t="str">
            <v>Bicycle Repairers</v>
          </cell>
          <cell r="C1109">
            <v>12590</v>
          </cell>
          <cell r="D1109">
            <v>5.0999999999999996</v>
          </cell>
          <cell r="E1109">
            <v>41550</v>
          </cell>
          <cell r="F1109">
            <v>0.8</v>
          </cell>
          <cell r="G1109">
            <v>40360</v>
          </cell>
        </row>
        <row r="1110">
          <cell r="A1110" t="str">
            <v>49-3092</v>
          </cell>
          <cell r="B1110" t="str">
            <v>Recreational Vehicle Service Technicians</v>
          </cell>
          <cell r="C1110">
            <v>18710</v>
          </cell>
          <cell r="D1110">
            <v>4.3</v>
          </cell>
          <cell r="E1110">
            <v>55380</v>
          </cell>
          <cell r="F1110">
            <v>1.2</v>
          </cell>
          <cell r="G1110">
            <v>50540</v>
          </cell>
        </row>
        <row r="1111">
          <cell r="A1111" t="str">
            <v>49-3093</v>
          </cell>
          <cell r="B1111" t="str">
            <v>Tire Repairers and Changers</v>
          </cell>
          <cell r="C1111">
            <v>106620</v>
          </cell>
          <cell r="D1111">
            <v>1.4</v>
          </cell>
          <cell r="E1111">
            <v>39140</v>
          </cell>
          <cell r="F1111">
            <v>0.4</v>
          </cell>
          <cell r="G1111">
            <v>37120</v>
          </cell>
        </row>
        <row r="1112">
          <cell r="A1112" t="str">
            <v>49-9000</v>
          </cell>
          <cell r="B1112" t="str">
            <v>Other Installation, Maintenance, and Repair Occupations</v>
          </cell>
          <cell r="C1112">
            <v>3231930</v>
          </cell>
          <cell r="D1112">
            <v>0.3</v>
          </cell>
          <cell r="E1112">
            <v>58660</v>
          </cell>
          <cell r="F1112">
            <v>0.2</v>
          </cell>
          <cell r="G1112">
            <v>54790</v>
          </cell>
        </row>
        <row r="1113">
          <cell r="A1113" t="str">
            <v>49-9010</v>
          </cell>
          <cell r="B1113" t="str">
            <v>Control and Valve Installers and Repairers</v>
          </cell>
          <cell r="C1113">
            <v>74890</v>
          </cell>
          <cell r="D1113">
            <v>2.8</v>
          </cell>
          <cell r="E1113">
            <v>67810</v>
          </cell>
          <cell r="F1113">
            <v>0.8</v>
          </cell>
          <cell r="G1113">
            <v>61600</v>
          </cell>
        </row>
        <row r="1114">
          <cell r="A1114" t="str">
            <v>49-9011</v>
          </cell>
          <cell r="B1114" t="str">
            <v>Mechanical Door Repairers</v>
          </cell>
          <cell r="C1114">
            <v>27970</v>
          </cell>
          <cell r="D1114">
            <v>6</v>
          </cell>
          <cell r="E1114">
            <v>54110</v>
          </cell>
          <cell r="F1114">
            <v>1.1000000000000001</v>
          </cell>
          <cell r="G1114">
            <v>51050</v>
          </cell>
        </row>
        <row r="1115">
          <cell r="A1115" t="str">
            <v>49-9012</v>
          </cell>
          <cell r="B1115" t="str">
            <v>Control and Valve Installers and Repairers, Except Mechanical Door</v>
          </cell>
          <cell r="C1115">
            <v>46920</v>
          </cell>
          <cell r="D1115">
            <v>2.6</v>
          </cell>
          <cell r="E1115">
            <v>75970</v>
          </cell>
          <cell r="F1115">
            <v>0.7</v>
          </cell>
          <cell r="G1115">
            <v>74690</v>
          </cell>
        </row>
        <row r="1116">
          <cell r="A1116" t="str">
            <v>49-9020</v>
          </cell>
          <cell r="B1116" t="str">
            <v>Heating, Air Conditioning, and Refrigeration Mechanics and Installers</v>
          </cell>
          <cell r="C1116">
            <v>396870</v>
          </cell>
          <cell r="D1116">
            <v>1.2</v>
          </cell>
          <cell r="E1116">
            <v>62690</v>
          </cell>
          <cell r="F1116">
            <v>0.5</v>
          </cell>
          <cell r="G1116">
            <v>59810</v>
          </cell>
        </row>
        <row r="1117">
          <cell r="A1117" t="str">
            <v>49-9021</v>
          </cell>
          <cell r="B1117" t="str">
            <v>Heating, Air Conditioning, and Refrigeration Mechanics and Installers</v>
          </cell>
          <cell r="C1117">
            <v>396870</v>
          </cell>
          <cell r="D1117">
            <v>1.2</v>
          </cell>
          <cell r="E1117">
            <v>62690</v>
          </cell>
          <cell r="F1117">
            <v>0.5</v>
          </cell>
          <cell r="G1117">
            <v>59810</v>
          </cell>
        </row>
        <row r="1118">
          <cell r="A1118" t="str">
            <v>49-9030</v>
          </cell>
          <cell r="B1118" t="str">
            <v>Home Appliance Repairers</v>
          </cell>
          <cell r="C1118">
            <v>31940</v>
          </cell>
          <cell r="D1118">
            <v>4.5</v>
          </cell>
          <cell r="E1118">
            <v>53580</v>
          </cell>
          <cell r="F1118">
            <v>1.5</v>
          </cell>
          <cell r="G1118">
            <v>49410</v>
          </cell>
        </row>
        <row r="1119">
          <cell r="A1119" t="str">
            <v>49-9031</v>
          </cell>
          <cell r="B1119" t="str">
            <v>Home Appliance Repairers</v>
          </cell>
          <cell r="C1119">
            <v>31940</v>
          </cell>
          <cell r="D1119">
            <v>4.5</v>
          </cell>
          <cell r="E1119">
            <v>53580</v>
          </cell>
          <cell r="F1119">
            <v>1.5</v>
          </cell>
          <cell r="G1119">
            <v>49410</v>
          </cell>
        </row>
        <row r="1120">
          <cell r="A1120" t="str">
            <v>49-9040</v>
          </cell>
          <cell r="B1120" t="str">
            <v>Industrial Machinery Installation, Repair, and Maintenance Workers</v>
          </cell>
          <cell r="C1120">
            <v>520240</v>
          </cell>
          <cell r="D1120">
            <v>0.8</v>
          </cell>
          <cell r="E1120">
            <v>66680</v>
          </cell>
          <cell r="F1120">
            <v>0.2</v>
          </cell>
          <cell r="G1120">
            <v>63500</v>
          </cell>
        </row>
        <row r="1121">
          <cell r="A1121" t="str">
            <v>49-9041</v>
          </cell>
          <cell r="B1121" t="str">
            <v>Industrial Machinery Mechanics</v>
          </cell>
          <cell r="C1121">
            <v>421940</v>
          </cell>
          <cell r="D1121">
            <v>0.8</v>
          </cell>
          <cell r="E1121">
            <v>67160</v>
          </cell>
          <cell r="F1121">
            <v>0.3</v>
          </cell>
          <cell r="G1121">
            <v>63760</v>
          </cell>
        </row>
        <row r="1122">
          <cell r="A1122" t="str">
            <v>49-9043</v>
          </cell>
          <cell r="B1122" t="str">
            <v>Maintenance Workers, Machinery</v>
          </cell>
          <cell r="C1122">
            <v>56540</v>
          </cell>
          <cell r="D1122">
            <v>1.8</v>
          </cell>
          <cell r="E1122">
            <v>61820</v>
          </cell>
          <cell r="F1122">
            <v>0.5</v>
          </cell>
          <cell r="G1122">
            <v>60500</v>
          </cell>
        </row>
        <row r="1123">
          <cell r="A1123" t="str">
            <v>49-9044</v>
          </cell>
          <cell r="B1123" t="str">
            <v>Millwrights</v>
          </cell>
          <cell r="C1123">
            <v>40660</v>
          </cell>
          <cell r="D1123">
            <v>2.8</v>
          </cell>
          <cell r="E1123">
            <v>68640</v>
          </cell>
          <cell r="F1123">
            <v>1</v>
          </cell>
          <cell r="G1123">
            <v>65170</v>
          </cell>
        </row>
        <row r="1124">
          <cell r="A1124" t="str">
            <v>49-9045</v>
          </cell>
          <cell r="B1124" t="str">
            <v>Refractory Materials Repairers, Except Brickmasons</v>
          </cell>
          <cell r="C1124">
            <v>1100</v>
          </cell>
          <cell r="D1124">
            <v>11.5</v>
          </cell>
          <cell r="E1124">
            <v>61480</v>
          </cell>
          <cell r="F1124">
            <v>4.9000000000000004</v>
          </cell>
          <cell r="G1124">
            <v>58540</v>
          </cell>
        </row>
        <row r="1125">
          <cell r="A1125" t="str">
            <v>49-9050</v>
          </cell>
          <cell r="B1125" t="str">
            <v>Line Installers and Repairers</v>
          </cell>
          <cell r="C1125">
            <v>222040</v>
          </cell>
          <cell r="D1125">
            <v>1.3</v>
          </cell>
          <cell r="E1125">
            <v>82280</v>
          </cell>
          <cell r="F1125">
            <v>0.4</v>
          </cell>
          <cell r="G1125">
            <v>81110</v>
          </cell>
        </row>
        <row r="1126">
          <cell r="A1126" t="str">
            <v>49-9051</v>
          </cell>
          <cell r="B1126" t="str">
            <v>Electrical Power-Line Installers and Repairers</v>
          </cell>
          <cell r="C1126">
            <v>123680</v>
          </cell>
          <cell r="D1126">
            <v>1.7</v>
          </cell>
          <cell r="E1126">
            <v>90110</v>
          </cell>
          <cell r="F1126">
            <v>0.4</v>
          </cell>
          <cell r="G1126">
            <v>92560</v>
          </cell>
        </row>
        <row r="1127">
          <cell r="A1127" t="str">
            <v>49-9052</v>
          </cell>
          <cell r="B1127" t="str">
            <v>Telecommunications Line Installers and Repairers</v>
          </cell>
          <cell r="C1127">
            <v>98360</v>
          </cell>
          <cell r="D1127">
            <v>2.2000000000000002</v>
          </cell>
          <cell r="E1127">
            <v>72440</v>
          </cell>
          <cell r="F1127">
            <v>0.8</v>
          </cell>
          <cell r="G1127">
            <v>70500</v>
          </cell>
        </row>
        <row r="1128">
          <cell r="A1128" t="str">
            <v>49-9060</v>
          </cell>
          <cell r="B1128" t="str">
            <v>Precision Instrument and Equipment Repairers</v>
          </cell>
          <cell r="C1128">
            <v>79540</v>
          </cell>
          <cell r="D1128">
            <v>2.2000000000000002</v>
          </cell>
          <cell r="E1128">
            <v>65560</v>
          </cell>
          <cell r="F1128">
            <v>0.7</v>
          </cell>
          <cell r="G1128">
            <v>61430</v>
          </cell>
        </row>
        <row r="1129">
          <cell r="A1129" t="str">
            <v>49-9061</v>
          </cell>
          <cell r="B1129" t="str">
            <v>Camera and Photographic Equipment Repairers</v>
          </cell>
          <cell r="C1129">
            <v>2010</v>
          </cell>
          <cell r="D1129">
            <v>20.3</v>
          </cell>
          <cell r="E1129">
            <v>53420</v>
          </cell>
          <cell r="F1129">
            <v>3.4</v>
          </cell>
          <cell r="G1129">
            <v>49300</v>
          </cell>
        </row>
        <row r="1130">
          <cell r="A1130" t="str">
            <v>49-9062</v>
          </cell>
          <cell r="B1130" t="str">
            <v>Medical Equipment Repairers</v>
          </cell>
          <cell r="C1130">
            <v>60830</v>
          </cell>
          <cell r="D1130">
            <v>2.7</v>
          </cell>
          <cell r="E1130">
            <v>66810</v>
          </cell>
          <cell r="F1130">
            <v>0.8</v>
          </cell>
          <cell r="G1130">
            <v>62630</v>
          </cell>
        </row>
        <row r="1131">
          <cell r="A1131" t="str">
            <v>49-9063</v>
          </cell>
          <cell r="B1131" t="str">
            <v>Musical Instrument Repairers and Tuners</v>
          </cell>
          <cell r="C1131">
            <v>5730</v>
          </cell>
          <cell r="D1131">
            <v>5.2</v>
          </cell>
          <cell r="E1131">
            <v>49020</v>
          </cell>
          <cell r="F1131">
            <v>2</v>
          </cell>
          <cell r="G1131">
            <v>45320</v>
          </cell>
        </row>
        <row r="1132">
          <cell r="A1132" t="str">
            <v>49-9064</v>
          </cell>
          <cell r="B1132" t="str">
            <v>Watch and Clock Repairers</v>
          </cell>
          <cell r="C1132">
            <v>1300</v>
          </cell>
          <cell r="D1132">
            <v>12.8</v>
          </cell>
          <cell r="E1132">
            <v>62450</v>
          </cell>
          <cell r="F1132">
            <v>3.4</v>
          </cell>
          <cell r="G1132">
            <v>60690</v>
          </cell>
        </row>
        <row r="1133">
          <cell r="A1133" t="str">
            <v>49-9069</v>
          </cell>
          <cell r="B1133" t="str">
            <v>Precision Instrument and Equipment Repairers, All Other</v>
          </cell>
          <cell r="C1133">
            <v>9680</v>
          </cell>
          <cell r="D1133">
            <v>4.9000000000000004</v>
          </cell>
          <cell r="E1133">
            <v>70420</v>
          </cell>
          <cell r="F1133">
            <v>1.2</v>
          </cell>
          <cell r="G1133">
            <v>67080</v>
          </cell>
        </row>
        <row r="1134">
          <cell r="A1134" t="str">
            <v>49-9070</v>
          </cell>
          <cell r="B1134" t="str">
            <v>Maintenance and Repair Workers, General</v>
          </cell>
          <cell r="C1134">
            <v>1531700</v>
          </cell>
          <cell r="D1134">
            <v>0.4</v>
          </cell>
          <cell r="E1134">
            <v>52430</v>
          </cell>
          <cell r="F1134">
            <v>0.2</v>
          </cell>
          <cell r="G1134">
            <v>48620</v>
          </cell>
        </row>
        <row r="1135">
          <cell r="A1135" t="str">
            <v>49-9071</v>
          </cell>
          <cell r="B1135" t="str">
            <v>Maintenance and Repair Workers, General</v>
          </cell>
          <cell r="C1135">
            <v>1531700</v>
          </cell>
          <cell r="D1135">
            <v>0.4</v>
          </cell>
          <cell r="E1135">
            <v>52430</v>
          </cell>
          <cell r="F1135">
            <v>0.2</v>
          </cell>
          <cell r="G1135">
            <v>48620</v>
          </cell>
        </row>
        <row r="1136">
          <cell r="A1136" t="str">
            <v>49-9080</v>
          </cell>
          <cell r="B1136" t="str">
            <v>Wind Turbine Service Technicians</v>
          </cell>
          <cell r="C1136">
            <v>11220</v>
          </cell>
          <cell r="D1136">
            <v>8.6999999999999993</v>
          </cell>
          <cell r="E1136">
            <v>67580</v>
          </cell>
          <cell r="F1136">
            <v>1.4</v>
          </cell>
          <cell r="G1136">
            <v>62580</v>
          </cell>
        </row>
        <row r="1137">
          <cell r="A1137" t="str">
            <v>49-9081</v>
          </cell>
          <cell r="B1137" t="str">
            <v>Wind Turbine Service Technicians</v>
          </cell>
          <cell r="C1137">
            <v>11220</v>
          </cell>
          <cell r="D1137">
            <v>8.6999999999999993</v>
          </cell>
          <cell r="E1137">
            <v>67580</v>
          </cell>
          <cell r="F1137">
            <v>1.4</v>
          </cell>
          <cell r="G1137">
            <v>62580</v>
          </cell>
        </row>
        <row r="1138">
          <cell r="A1138" t="str">
            <v>49-9090</v>
          </cell>
          <cell r="B1138" t="str">
            <v>Miscellaneous Installation, Maintenance, and Repair Workers</v>
          </cell>
          <cell r="C1138">
            <v>363490</v>
          </cell>
          <cell r="D1138">
            <v>1.1000000000000001</v>
          </cell>
          <cell r="E1138">
            <v>51380</v>
          </cell>
          <cell r="F1138">
            <v>0.4</v>
          </cell>
          <cell r="G1138">
            <v>46970</v>
          </cell>
        </row>
        <row r="1139">
          <cell r="A1139" t="str">
            <v>49-9091</v>
          </cell>
          <cell r="B1139" t="str">
            <v>Coin, Vending, and Amusement Machine Servicers and Repairers</v>
          </cell>
          <cell r="C1139">
            <v>28260</v>
          </cell>
          <cell r="D1139">
            <v>3.8</v>
          </cell>
          <cell r="E1139">
            <v>48530</v>
          </cell>
          <cell r="F1139">
            <v>0.9</v>
          </cell>
          <cell r="G1139">
            <v>47350</v>
          </cell>
        </row>
        <row r="1140">
          <cell r="A1140" t="str">
            <v>49-9092</v>
          </cell>
          <cell r="B1140" t="str">
            <v>Commercial Divers</v>
          </cell>
          <cell r="C1140">
            <v>3430</v>
          </cell>
          <cell r="D1140">
            <v>12.6</v>
          </cell>
          <cell r="E1140">
            <v>78110</v>
          </cell>
          <cell r="F1140">
            <v>5.0999999999999996</v>
          </cell>
          <cell r="G1140">
            <v>61130</v>
          </cell>
        </row>
        <row r="1141">
          <cell r="A1141" t="str">
            <v>49-9094</v>
          </cell>
          <cell r="B1141" t="str">
            <v>Locksmiths and Safe Repairers</v>
          </cell>
          <cell r="C1141">
            <v>15550</v>
          </cell>
          <cell r="D1141">
            <v>2</v>
          </cell>
          <cell r="E1141">
            <v>55200</v>
          </cell>
          <cell r="F1141">
            <v>1</v>
          </cell>
          <cell r="G1141">
            <v>50490</v>
          </cell>
        </row>
        <row r="1142">
          <cell r="A1142" t="str">
            <v>49-9095</v>
          </cell>
          <cell r="B1142" t="str">
            <v>Manufactured Building and Mobile Home Installers</v>
          </cell>
          <cell r="C1142">
            <v>2610</v>
          </cell>
          <cell r="D1142">
            <v>13</v>
          </cell>
          <cell r="E1142">
            <v>42620</v>
          </cell>
          <cell r="F1142">
            <v>2.9</v>
          </cell>
          <cell r="G1142">
            <v>41080</v>
          </cell>
        </row>
        <row r="1143">
          <cell r="A1143" t="str">
            <v>49-9096</v>
          </cell>
          <cell r="B1143" t="str">
            <v>Riggers</v>
          </cell>
          <cell r="C1143">
            <v>24190</v>
          </cell>
          <cell r="D1143">
            <v>4.8</v>
          </cell>
          <cell r="E1143">
            <v>66600</v>
          </cell>
          <cell r="F1143">
            <v>1.6</v>
          </cell>
          <cell r="G1143">
            <v>62060</v>
          </cell>
        </row>
        <row r="1144">
          <cell r="A1144" t="str">
            <v>49-9097</v>
          </cell>
          <cell r="B1144" t="str">
            <v>Signal and Track Switch Repairers</v>
          </cell>
          <cell r="C1144">
            <v>8210</v>
          </cell>
          <cell r="D1144">
            <v>2.8</v>
          </cell>
          <cell r="E1144">
            <v>84940</v>
          </cell>
          <cell r="F1144">
            <v>1.1000000000000001</v>
          </cell>
          <cell r="G1144">
            <v>83600</v>
          </cell>
        </row>
        <row r="1145">
          <cell r="A1145" t="str">
            <v>49-9098</v>
          </cell>
          <cell r="B1145" t="str">
            <v>Helpers--Installation, Maintenance, and Repair Workers</v>
          </cell>
          <cell r="C1145">
            <v>97540</v>
          </cell>
          <cell r="D1145">
            <v>2</v>
          </cell>
          <cell r="E1145">
            <v>40750</v>
          </cell>
          <cell r="F1145">
            <v>0.5</v>
          </cell>
          <cell r="G1145">
            <v>38860</v>
          </cell>
        </row>
        <row r="1146">
          <cell r="A1146" t="str">
            <v>49-9099</v>
          </cell>
          <cell r="B1146" t="str">
            <v>Installation, Maintenance, and Repair Workers, All Other</v>
          </cell>
          <cell r="C1146">
            <v>183690</v>
          </cell>
          <cell r="D1146">
            <v>1.7</v>
          </cell>
          <cell r="E1146">
            <v>53270</v>
          </cell>
          <cell r="F1146">
            <v>0.5</v>
          </cell>
          <cell r="G1146">
            <v>48640</v>
          </cell>
        </row>
        <row r="1147">
          <cell r="A1147" t="str">
            <v>51-0000</v>
          </cell>
          <cell r="B1147" t="str">
            <v>Production Occupations</v>
          </cell>
          <cell r="C1147">
            <v>8743450</v>
          </cell>
          <cell r="D1147">
            <v>0.2</v>
          </cell>
          <cell r="E1147">
            <v>50090</v>
          </cell>
          <cell r="F1147">
            <v>0.1</v>
          </cell>
          <cell r="G1147">
            <v>45960</v>
          </cell>
        </row>
        <row r="1148">
          <cell r="A1148" t="str">
            <v>51-1000</v>
          </cell>
          <cell r="B1148" t="str">
            <v>Supervisors of Production Workers</v>
          </cell>
          <cell r="C1148">
            <v>685140</v>
          </cell>
          <cell r="D1148">
            <v>0.3</v>
          </cell>
          <cell r="E1148">
            <v>74540</v>
          </cell>
          <cell r="F1148">
            <v>0.2</v>
          </cell>
          <cell r="G1148">
            <v>71190</v>
          </cell>
        </row>
        <row r="1149">
          <cell r="A1149" t="str">
            <v>51-1010</v>
          </cell>
          <cell r="B1149" t="str">
            <v>First-Line Supervisors of Production and Operating Workers</v>
          </cell>
          <cell r="C1149">
            <v>685140</v>
          </cell>
          <cell r="D1149">
            <v>0.3</v>
          </cell>
          <cell r="E1149">
            <v>74540</v>
          </cell>
          <cell r="F1149">
            <v>0.2</v>
          </cell>
          <cell r="G1149">
            <v>71190</v>
          </cell>
        </row>
        <row r="1150">
          <cell r="A1150" t="str">
            <v>51-1011</v>
          </cell>
          <cell r="B1150" t="str">
            <v>First-Line Supervisors of Production and Operating Workers</v>
          </cell>
          <cell r="C1150">
            <v>685140</v>
          </cell>
          <cell r="D1150">
            <v>0.3</v>
          </cell>
          <cell r="E1150">
            <v>74540</v>
          </cell>
          <cell r="F1150">
            <v>0.2</v>
          </cell>
          <cell r="G1150">
            <v>71190</v>
          </cell>
        </row>
        <row r="1151">
          <cell r="A1151" t="str">
            <v>51-2000</v>
          </cell>
          <cell r="B1151" t="str">
            <v>Assemblers and Fabricators</v>
          </cell>
          <cell r="C1151">
            <v>1874550</v>
          </cell>
          <cell r="D1151">
            <v>0.4</v>
          </cell>
          <cell r="E1151">
            <v>45890</v>
          </cell>
          <cell r="F1151">
            <v>0.2</v>
          </cell>
          <cell r="G1151">
            <v>43570</v>
          </cell>
        </row>
        <row r="1152">
          <cell r="A1152" t="str">
            <v>51-2010</v>
          </cell>
          <cell r="B1152" t="str">
            <v>Aircraft Structure, Surfaces, Rigging, and Systems Assemblers</v>
          </cell>
          <cell r="C1152">
            <v>32890</v>
          </cell>
          <cell r="D1152">
            <v>2.1</v>
          </cell>
          <cell r="E1152">
            <v>66510</v>
          </cell>
          <cell r="F1152">
            <v>0.6</v>
          </cell>
          <cell r="G1152">
            <v>61680</v>
          </cell>
        </row>
        <row r="1153">
          <cell r="A1153" t="str">
            <v>51-2011</v>
          </cell>
          <cell r="B1153" t="str">
            <v>Aircraft Structure, Surfaces, Rigging, and Systems Assemblers</v>
          </cell>
          <cell r="C1153">
            <v>32890</v>
          </cell>
          <cell r="D1153">
            <v>2.1</v>
          </cell>
          <cell r="E1153">
            <v>66510</v>
          </cell>
          <cell r="F1153">
            <v>0.6</v>
          </cell>
          <cell r="G1153">
            <v>61680</v>
          </cell>
        </row>
        <row r="1154">
          <cell r="A1154" t="str">
            <v>51-2020</v>
          </cell>
          <cell r="B1154" t="str">
            <v>Electrical, Electronics, and Electromechanical Assemblers</v>
          </cell>
          <cell r="C1154">
            <v>273300</v>
          </cell>
          <cell r="D1154">
            <v>1.2</v>
          </cell>
          <cell r="E1154">
            <v>46070</v>
          </cell>
          <cell r="F1154">
            <v>0.4</v>
          </cell>
          <cell r="G1154">
            <v>44210</v>
          </cell>
        </row>
        <row r="1155">
          <cell r="A1155" t="str">
            <v>51-2021</v>
          </cell>
          <cell r="B1155" t="str">
            <v>Coil Winders, Tapers, and Finishers</v>
          </cell>
          <cell r="C1155">
            <v>12170</v>
          </cell>
          <cell r="D1155">
            <v>4</v>
          </cell>
          <cell r="E1155">
            <v>48940</v>
          </cell>
          <cell r="F1155">
            <v>1.3</v>
          </cell>
          <cell r="G1155">
            <v>47260</v>
          </cell>
        </row>
        <row r="1156">
          <cell r="A1156" t="str">
            <v>51-2028</v>
          </cell>
          <cell r="B1156" t="str">
            <v>Electrical, Electronic, and Electromechanical Assemblers, Except Coil Winders, Tapers, and Finishers</v>
          </cell>
          <cell r="C1156">
            <v>261140</v>
          </cell>
          <cell r="D1156">
            <v>1.2</v>
          </cell>
          <cell r="E1156">
            <v>45930</v>
          </cell>
          <cell r="F1156">
            <v>0.4</v>
          </cell>
          <cell r="G1156">
            <v>44040</v>
          </cell>
        </row>
        <row r="1157">
          <cell r="A1157" t="str">
            <v>51-2030</v>
          </cell>
          <cell r="B1157" t="str">
            <v>Engine and Other Machine Assemblers</v>
          </cell>
          <cell r="C1157">
            <v>38420</v>
          </cell>
          <cell r="D1157">
            <v>1.6</v>
          </cell>
          <cell r="E1157">
            <v>56040</v>
          </cell>
          <cell r="F1157">
            <v>0.5</v>
          </cell>
          <cell r="G1157">
            <v>52540</v>
          </cell>
        </row>
        <row r="1158">
          <cell r="A1158" t="str">
            <v>51-2031</v>
          </cell>
          <cell r="B1158" t="str">
            <v>Engine and Other Machine Assemblers</v>
          </cell>
          <cell r="C1158">
            <v>38420</v>
          </cell>
          <cell r="D1158">
            <v>1.6</v>
          </cell>
          <cell r="E1158">
            <v>56040</v>
          </cell>
          <cell r="F1158">
            <v>0.5</v>
          </cell>
          <cell r="G1158">
            <v>52540</v>
          </cell>
        </row>
        <row r="1159">
          <cell r="A1159" t="str">
            <v>51-2040</v>
          </cell>
          <cell r="B1159" t="str">
            <v>Structural Metal Fabricators and Fitters</v>
          </cell>
          <cell r="C1159">
            <v>53380</v>
          </cell>
          <cell r="D1159">
            <v>2.8</v>
          </cell>
          <cell r="E1159">
            <v>52740</v>
          </cell>
          <cell r="F1159">
            <v>0.7</v>
          </cell>
          <cell r="G1159">
            <v>49900</v>
          </cell>
        </row>
        <row r="1160">
          <cell r="A1160" t="str">
            <v>51-2041</v>
          </cell>
          <cell r="B1160" t="str">
            <v>Structural Metal Fabricators and Fitters</v>
          </cell>
          <cell r="C1160">
            <v>53380</v>
          </cell>
          <cell r="D1160">
            <v>2.8</v>
          </cell>
          <cell r="E1160">
            <v>52740</v>
          </cell>
          <cell r="F1160">
            <v>0.7</v>
          </cell>
          <cell r="G1160">
            <v>49900</v>
          </cell>
        </row>
        <row r="1161">
          <cell r="A1161" t="str">
            <v>51-2050</v>
          </cell>
          <cell r="B1161" t="str">
            <v>Fiberglass Laminators and Fabricators</v>
          </cell>
          <cell r="C1161">
            <v>18520</v>
          </cell>
          <cell r="D1161">
            <v>3.3</v>
          </cell>
          <cell r="E1161">
            <v>47320</v>
          </cell>
          <cell r="F1161">
            <v>0.8</v>
          </cell>
          <cell r="G1161">
            <v>45760</v>
          </cell>
        </row>
        <row r="1162">
          <cell r="A1162" t="str">
            <v>51-2051</v>
          </cell>
          <cell r="B1162" t="str">
            <v>Fiberglass Laminators and Fabricators</v>
          </cell>
          <cell r="C1162">
            <v>18520</v>
          </cell>
          <cell r="D1162">
            <v>3.3</v>
          </cell>
          <cell r="E1162">
            <v>47320</v>
          </cell>
          <cell r="F1162">
            <v>0.8</v>
          </cell>
          <cell r="G1162">
            <v>45760</v>
          </cell>
        </row>
        <row r="1163">
          <cell r="A1163" t="str">
            <v>51-2060</v>
          </cell>
          <cell r="B1163" t="str">
            <v>Timing Device Assemblers and Adjusters</v>
          </cell>
          <cell r="C1163">
            <v>230</v>
          </cell>
          <cell r="D1163">
            <v>38.4</v>
          </cell>
          <cell r="E1163">
            <v>42410</v>
          </cell>
          <cell r="F1163">
            <v>15.1</v>
          </cell>
          <cell r="G1163">
            <v>40790</v>
          </cell>
        </row>
        <row r="1164">
          <cell r="A1164" t="str">
            <v>51-2061</v>
          </cell>
          <cell r="B1164" t="str">
            <v>Timing Device Assemblers and Adjusters</v>
          </cell>
          <cell r="C1164">
            <v>230</v>
          </cell>
          <cell r="D1164">
            <v>38.4</v>
          </cell>
          <cell r="E1164">
            <v>42410</v>
          </cell>
          <cell r="F1164">
            <v>15.1</v>
          </cell>
          <cell r="G1164">
            <v>40790</v>
          </cell>
        </row>
        <row r="1165">
          <cell r="A1165" t="str">
            <v>51-2090</v>
          </cell>
          <cell r="B1165" t="str">
            <v>Miscellaneous Assemblers and Fabricators</v>
          </cell>
          <cell r="C1165">
            <v>1457800</v>
          </cell>
          <cell r="D1165">
            <v>0.5</v>
          </cell>
          <cell r="E1165">
            <v>44860</v>
          </cell>
          <cell r="F1165">
            <v>0.2</v>
          </cell>
          <cell r="G1165">
            <v>42210</v>
          </cell>
        </row>
        <row r="1166">
          <cell r="A1166" t="str">
            <v>51-2090</v>
          </cell>
          <cell r="B1166" t="str">
            <v>Miscellaneous Assemblers and Fabricators</v>
          </cell>
          <cell r="C1166">
            <v>1457800</v>
          </cell>
          <cell r="D1166">
            <v>0.5</v>
          </cell>
          <cell r="E1166">
            <v>44860</v>
          </cell>
          <cell r="F1166">
            <v>0.2</v>
          </cell>
          <cell r="G1166">
            <v>42210</v>
          </cell>
        </row>
        <row r="1167">
          <cell r="A1167" t="str">
            <v>51-3000</v>
          </cell>
          <cell r="B1167" t="str">
            <v>Food Processing Workers</v>
          </cell>
          <cell r="C1167">
            <v>857260</v>
          </cell>
          <cell r="D1167">
            <v>0.8</v>
          </cell>
          <cell r="E1167">
            <v>40090</v>
          </cell>
          <cell r="F1167">
            <v>0.2</v>
          </cell>
          <cell r="G1167">
            <v>38200</v>
          </cell>
        </row>
        <row r="1168">
          <cell r="A1168" t="str">
            <v>51-3010</v>
          </cell>
          <cell r="B1168" t="str">
            <v>Bakers</v>
          </cell>
          <cell r="C1168">
            <v>231890</v>
          </cell>
          <cell r="D1168">
            <v>2.2000000000000002</v>
          </cell>
          <cell r="E1168">
            <v>37670</v>
          </cell>
          <cell r="F1168">
            <v>0.5</v>
          </cell>
          <cell r="G1168">
            <v>36650</v>
          </cell>
        </row>
        <row r="1169">
          <cell r="A1169" t="str">
            <v>51-3011</v>
          </cell>
          <cell r="B1169" t="str">
            <v>Bakers</v>
          </cell>
          <cell r="C1169">
            <v>231890</v>
          </cell>
          <cell r="D1169">
            <v>2.2000000000000002</v>
          </cell>
          <cell r="E1169">
            <v>37670</v>
          </cell>
          <cell r="F1169">
            <v>0.5</v>
          </cell>
          <cell r="G1169">
            <v>36650</v>
          </cell>
        </row>
        <row r="1170">
          <cell r="A1170" t="str">
            <v>51-3020</v>
          </cell>
          <cell r="B1170" t="str">
            <v>Butchers and Other Meat, Poultry, and Fish Processing Workers</v>
          </cell>
          <cell r="C1170">
            <v>348630</v>
          </cell>
          <cell r="D1170">
            <v>0.9</v>
          </cell>
          <cell r="E1170">
            <v>40110</v>
          </cell>
          <cell r="F1170">
            <v>0.2</v>
          </cell>
          <cell r="G1170">
            <v>38500</v>
          </cell>
        </row>
        <row r="1171">
          <cell r="A1171" t="str">
            <v>51-3021</v>
          </cell>
          <cell r="B1171" t="str">
            <v>Butchers and Meat Cutters</v>
          </cell>
          <cell r="C1171">
            <v>140040</v>
          </cell>
          <cell r="D1171">
            <v>1.7</v>
          </cell>
          <cell r="E1171">
            <v>41300</v>
          </cell>
          <cell r="F1171">
            <v>0.4</v>
          </cell>
          <cell r="G1171">
            <v>38960</v>
          </cell>
        </row>
        <row r="1172">
          <cell r="A1172" t="str">
            <v>51-3022</v>
          </cell>
          <cell r="B1172" t="str">
            <v>Meat, Poultry, and Fish Cutters and Trimmers</v>
          </cell>
          <cell r="C1172">
            <v>141090</v>
          </cell>
          <cell r="D1172">
            <v>1.2</v>
          </cell>
          <cell r="E1172">
            <v>38640</v>
          </cell>
          <cell r="F1172">
            <v>0.3</v>
          </cell>
          <cell r="G1172">
            <v>37700</v>
          </cell>
        </row>
        <row r="1173">
          <cell r="A1173" t="str">
            <v>51-3023</v>
          </cell>
          <cell r="B1173" t="str">
            <v>Slaughterers and Meat Packers</v>
          </cell>
          <cell r="C1173">
            <v>67500</v>
          </cell>
          <cell r="D1173">
            <v>1.7</v>
          </cell>
          <cell r="E1173">
            <v>40710</v>
          </cell>
          <cell r="F1173">
            <v>0.4</v>
          </cell>
          <cell r="G1173">
            <v>39790</v>
          </cell>
        </row>
        <row r="1174">
          <cell r="A1174" t="str">
            <v>51-3090</v>
          </cell>
          <cell r="B1174" t="str">
            <v>Miscellaneous Food Processing Workers</v>
          </cell>
          <cell r="C1174">
            <v>276740</v>
          </cell>
          <cell r="D1174">
            <v>1.2</v>
          </cell>
          <cell r="E1174">
            <v>42090</v>
          </cell>
          <cell r="F1174">
            <v>0.4</v>
          </cell>
          <cell r="G1174">
            <v>40050</v>
          </cell>
        </row>
        <row r="1175">
          <cell r="A1175" t="str">
            <v>51-3091</v>
          </cell>
          <cell r="B1175" t="str">
            <v>Food and Tobacco Roasting, Baking, and Drying Machine Operators and Tenders</v>
          </cell>
          <cell r="C1175">
            <v>19500</v>
          </cell>
          <cell r="D1175">
            <v>3.6</v>
          </cell>
          <cell r="E1175">
            <v>44140</v>
          </cell>
          <cell r="F1175">
            <v>0.9</v>
          </cell>
          <cell r="G1175">
            <v>42730</v>
          </cell>
        </row>
        <row r="1176">
          <cell r="A1176" t="str">
            <v>51-3092</v>
          </cell>
          <cell r="B1176" t="str">
            <v>Food Batchmakers</v>
          </cell>
          <cell r="C1176">
            <v>171660</v>
          </cell>
          <cell r="D1176">
            <v>1.6</v>
          </cell>
          <cell r="E1176">
            <v>42830</v>
          </cell>
          <cell r="F1176">
            <v>0.6</v>
          </cell>
          <cell r="G1176">
            <v>40790</v>
          </cell>
        </row>
        <row r="1177">
          <cell r="A1177" t="str">
            <v>51-3093</v>
          </cell>
          <cell r="B1177" t="str">
            <v>Food Cooking Machine Operators and Tenders</v>
          </cell>
          <cell r="C1177">
            <v>27660</v>
          </cell>
          <cell r="D1177">
            <v>3.8</v>
          </cell>
          <cell r="E1177">
            <v>41930</v>
          </cell>
          <cell r="F1177">
            <v>0.8</v>
          </cell>
          <cell r="G1177">
            <v>40550</v>
          </cell>
        </row>
        <row r="1178">
          <cell r="A1178" t="str">
            <v>51-3099</v>
          </cell>
          <cell r="B1178" t="str">
            <v>Food Processing Workers, All Other</v>
          </cell>
          <cell r="C1178">
            <v>57920</v>
          </cell>
          <cell r="D1178">
            <v>2.2999999999999998</v>
          </cell>
          <cell r="E1178">
            <v>39260</v>
          </cell>
          <cell r="F1178">
            <v>0.4</v>
          </cell>
          <cell r="G1178">
            <v>38420</v>
          </cell>
        </row>
        <row r="1179">
          <cell r="A1179" t="str">
            <v>51-4000</v>
          </cell>
          <cell r="B1179" t="str">
            <v>Metal Workers and Plastic Workers</v>
          </cell>
          <cell r="C1179">
            <v>1599780</v>
          </cell>
          <cell r="D1179">
            <v>0.4</v>
          </cell>
          <cell r="E1179">
            <v>52050</v>
          </cell>
          <cell r="F1179">
            <v>0.2</v>
          </cell>
          <cell r="G1179">
            <v>48660</v>
          </cell>
        </row>
        <row r="1180">
          <cell r="A1180" t="str">
            <v>51-4020</v>
          </cell>
          <cell r="B1180" t="str">
            <v>Forming Machine Setters, Operators, and Tenders, Metal and Plastic</v>
          </cell>
          <cell r="C1180">
            <v>96810</v>
          </cell>
          <cell r="D1180">
            <v>1.7</v>
          </cell>
          <cell r="E1180">
            <v>49060</v>
          </cell>
          <cell r="F1180">
            <v>0.4</v>
          </cell>
          <cell r="G1180">
            <v>47460</v>
          </cell>
        </row>
        <row r="1181">
          <cell r="A1181" t="str">
            <v>51-4021</v>
          </cell>
          <cell r="B1181" t="str">
            <v>Extruding and Drawing Machine Setters, Operators, and Tenders, Metal and Plastic</v>
          </cell>
          <cell r="C1181">
            <v>65700</v>
          </cell>
          <cell r="D1181">
            <v>2.1</v>
          </cell>
          <cell r="E1181">
            <v>48170</v>
          </cell>
          <cell r="F1181">
            <v>0.5</v>
          </cell>
          <cell r="G1181">
            <v>46980</v>
          </cell>
        </row>
        <row r="1182">
          <cell r="A1182" t="str">
            <v>51-4022</v>
          </cell>
          <cell r="B1182" t="str">
            <v>Forging Machine Setters, Operators, and Tenders, Metal and Plastic</v>
          </cell>
          <cell r="C1182">
            <v>8760</v>
          </cell>
          <cell r="D1182">
            <v>5.6</v>
          </cell>
          <cell r="E1182">
            <v>50900</v>
          </cell>
          <cell r="F1182">
            <v>0.8</v>
          </cell>
          <cell r="G1182">
            <v>49240</v>
          </cell>
        </row>
        <row r="1183">
          <cell r="A1183" t="str">
            <v>51-4023</v>
          </cell>
          <cell r="B1183" t="str">
            <v>Rolling Machine Setters, Operators, and Tenders, Metal and Plastic</v>
          </cell>
          <cell r="C1183">
            <v>22350</v>
          </cell>
          <cell r="D1183">
            <v>3.1</v>
          </cell>
          <cell r="E1183">
            <v>50940</v>
          </cell>
          <cell r="F1183">
            <v>0.7</v>
          </cell>
          <cell r="G1183">
            <v>48630</v>
          </cell>
        </row>
        <row r="1184">
          <cell r="A1184" t="str">
            <v>51-4030</v>
          </cell>
          <cell r="B1184" t="str">
            <v>Machine Tool Cutting Setters, Operators, and Tenders, Metal and Plastic</v>
          </cell>
          <cell r="C1184">
            <v>282640</v>
          </cell>
          <cell r="D1184">
            <v>0.9</v>
          </cell>
          <cell r="E1184">
            <v>47500</v>
          </cell>
          <cell r="F1184">
            <v>0.2</v>
          </cell>
          <cell r="G1184">
            <v>45870</v>
          </cell>
        </row>
        <row r="1185">
          <cell r="A1185" t="str">
            <v>51-4031</v>
          </cell>
          <cell r="B1185" t="str">
            <v>Cutting, Punching, and Press Machine Setters, Operators, and Tenders, Metal and Plastic</v>
          </cell>
          <cell r="C1185">
            <v>174430</v>
          </cell>
          <cell r="D1185">
            <v>1.2</v>
          </cell>
          <cell r="E1185">
            <v>47060</v>
          </cell>
          <cell r="F1185">
            <v>0.3</v>
          </cell>
          <cell r="G1185">
            <v>45590</v>
          </cell>
        </row>
        <row r="1186">
          <cell r="A1186" t="str">
            <v>51-4032</v>
          </cell>
          <cell r="B1186" t="str">
            <v>Drilling and Boring Machine Tool Setters, Operators, and Tenders, Metal and Plastic</v>
          </cell>
          <cell r="C1186">
            <v>5310</v>
          </cell>
          <cell r="D1186">
            <v>4.9000000000000004</v>
          </cell>
          <cell r="E1186">
            <v>50330</v>
          </cell>
          <cell r="F1186">
            <v>1.2</v>
          </cell>
          <cell r="G1186">
            <v>46630</v>
          </cell>
        </row>
        <row r="1187">
          <cell r="A1187" t="str">
            <v>51-4033</v>
          </cell>
          <cell r="B1187" t="str">
            <v>Grinding, Lapping, Polishing, and Buffing Machine Tool Setters, Operators, and Tenders, Metal and Plastic</v>
          </cell>
          <cell r="C1187">
            <v>70110</v>
          </cell>
          <cell r="D1187">
            <v>1.5</v>
          </cell>
          <cell r="E1187">
            <v>46600</v>
          </cell>
          <cell r="F1187">
            <v>0.3</v>
          </cell>
          <cell r="G1187">
            <v>45190</v>
          </cell>
        </row>
        <row r="1188">
          <cell r="A1188" t="str">
            <v>51-4034</v>
          </cell>
          <cell r="B1188" t="str">
            <v>Lathe and Turning Machine Tool Setters, Operators, and Tenders, Metal and Plastic</v>
          </cell>
          <cell r="C1188">
            <v>18970</v>
          </cell>
          <cell r="D1188">
            <v>3.4</v>
          </cell>
          <cell r="E1188">
            <v>50190</v>
          </cell>
          <cell r="F1188">
            <v>0.7</v>
          </cell>
          <cell r="G1188">
            <v>48620</v>
          </cell>
        </row>
        <row r="1189">
          <cell r="A1189" t="str">
            <v>51-4035</v>
          </cell>
          <cell r="B1189" t="str">
            <v>Milling and Planing Machine Setters, Operators, and Tenders, Metal and Plastic</v>
          </cell>
          <cell r="C1189">
            <v>13810</v>
          </cell>
          <cell r="D1189">
            <v>4.8</v>
          </cell>
          <cell r="E1189">
            <v>52940</v>
          </cell>
          <cell r="F1189">
            <v>1.1000000000000001</v>
          </cell>
          <cell r="G1189">
            <v>48310</v>
          </cell>
        </row>
        <row r="1190">
          <cell r="A1190" t="str">
            <v>51-4040</v>
          </cell>
          <cell r="B1190" t="str">
            <v>Machinists</v>
          </cell>
          <cell r="C1190">
            <v>298790</v>
          </cell>
          <cell r="D1190">
            <v>1</v>
          </cell>
          <cell r="E1190">
            <v>57390</v>
          </cell>
          <cell r="F1190">
            <v>0.3</v>
          </cell>
          <cell r="G1190">
            <v>56150</v>
          </cell>
        </row>
        <row r="1191">
          <cell r="A1191" t="str">
            <v>51-4041</v>
          </cell>
          <cell r="B1191" t="str">
            <v>Machinists</v>
          </cell>
          <cell r="C1191">
            <v>298790</v>
          </cell>
          <cell r="D1191">
            <v>1</v>
          </cell>
          <cell r="E1191">
            <v>57390</v>
          </cell>
          <cell r="F1191">
            <v>0.3</v>
          </cell>
          <cell r="G1191">
            <v>56150</v>
          </cell>
        </row>
        <row r="1192">
          <cell r="A1192" t="str">
            <v>51-4050</v>
          </cell>
          <cell r="B1192" t="str">
            <v>Metal Furnace Operators, Tenders, Pourers, and Casters</v>
          </cell>
          <cell r="C1192">
            <v>26160</v>
          </cell>
          <cell r="D1192">
            <v>2.4</v>
          </cell>
          <cell r="E1192">
            <v>55960</v>
          </cell>
          <cell r="F1192">
            <v>0.5</v>
          </cell>
          <cell r="G1192">
            <v>54100</v>
          </cell>
        </row>
        <row r="1193">
          <cell r="A1193" t="str">
            <v>51-4051</v>
          </cell>
          <cell r="B1193" t="str">
            <v>Metal-Refining Furnace Operators and Tenders</v>
          </cell>
          <cell r="C1193">
            <v>20330</v>
          </cell>
          <cell r="D1193">
            <v>2.4</v>
          </cell>
          <cell r="E1193">
            <v>57290</v>
          </cell>
          <cell r="F1193">
            <v>0.6</v>
          </cell>
          <cell r="G1193">
            <v>55770</v>
          </cell>
        </row>
        <row r="1194">
          <cell r="A1194" t="str">
            <v>51-4052</v>
          </cell>
          <cell r="B1194" t="str">
            <v>Pourers and Casters, Metal</v>
          </cell>
          <cell r="C1194">
            <v>5830</v>
          </cell>
          <cell r="D1194">
            <v>4.5999999999999996</v>
          </cell>
          <cell r="E1194">
            <v>51320</v>
          </cell>
          <cell r="F1194">
            <v>0.7</v>
          </cell>
          <cell r="G1194">
            <v>48940</v>
          </cell>
        </row>
        <row r="1195">
          <cell r="A1195" t="str">
            <v>51-4060</v>
          </cell>
          <cell r="B1195" t="str">
            <v>Model Makers and Patternmakers, Metal and Plastic</v>
          </cell>
          <cell r="C1195">
            <v>4800</v>
          </cell>
          <cell r="D1195">
            <v>6</v>
          </cell>
          <cell r="E1195">
            <v>63250</v>
          </cell>
          <cell r="F1195">
            <v>1.1000000000000001</v>
          </cell>
          <cell r="G1195">
            <v>59530</v>
          </cell>
        </row>
        <row r="1196">
          <cell r="A1196" t="str">
            <v>51-4061</v>
          </cell>
          <cell r="B1196" t="str">
            <v>Model Makers, Metal and Plastic</v>
          </cell>
          <cell r="C1196">
            <v>3230</v>
          </cell>
          <cell r="D1196">
            <v>7.8</v>
          </cell>
          <cell r="E1196">
            <v>65840</v>
          </cell>
          <cell r="F1196">
            <v>1.5</v>
          </cell>
          <cell r="G1196">
            <v>62700</v>
          </cell>
        </row>
        <row r="1197">
          <cell r="A1197" t="str">
            <v>51-4062</v>
          </cell>
          <cell r="B1197" t="str">
            <v>Patternmakers, Metal and Plastic</v>
          </cell>
          <cell r="C1197">
            <v>1570</v>
          </cell>
          <cell r="D1197">
            <v>8.8000000000000007</v>
          </cell>
          <cell r="E1197">
            <v>57930</v>
          </cell>
          <cell r="F1197">
            <v>2</v>
          </cell>
          <cell r="G1197">
            <v>54540</v>
          </cell>
        </row>
        <row r="1198">
          <cell r="A1198" t="str">
            <v>51-4070</v>
          </cell>
          <cell r="B1198" t="str">
            <v>Molders and Molding Machine Setters, Operators, and Tenders, Metal and Plastic</v>
          </cell>
          <cell r="C1198">
            <v>167540</v>
          </cell>
          <cell r="D1198">
            <v>1.4</v>
          </cell>
          <cell r="E1198">
            <v>44340</v>
          </cell>
          <cell r="F1198">
            <v>0.4</v>
          </cell>
          <cell r="G1198">
            <v>41890</v>
          </cell>
        </row>
        <row r="1199">
          <cell r="A1199" t="str">
            <v>51-4071</v>
          </cell>
          <cell r="B1199" t="str">
            <v>Foundry Mold and Coremakers</v>
          </cell>
          <cell r="C1199">
            <v>12720</v>
          </cell>
          <cell r="D1199">
            <v>3.8</v>
          </cell>
          <cell r="E1199">
            <v>46910</v>
          </cell>
          <cell r="F1199">
            <v>0.6</v>
          </cell>
          <cell r="G1199">
            <v>45700</v>
          </cell>
        </row>
        <row r="1200">
          <cell r="A1200" t="str">
            <v>51-4072</v>
          </cell>
          <cell r="B1200" t="str">
            <v>Molding, Coremaking, and Casting Machine Setters, Operators, and Tenders, Metal and Plastic</v>
          </cell>
          <cell r="C1200">
            <v>154820</v>
          </cell>
          <cell r="D1200">
            <v>1.5</v>
          </cell>
          <cell r="E1200">
            <v>44130</v>
          </cell>
          <cell r="F1200">
            <v>0.4</v>
          </cell>
          <cell r="G1200">
            <v>41230</v>
          </cell>
        </row>
        <row r="1201">
          <cell r="A1201" t="str">
            <v>51-4080</v>
          </cell>
          <cell r="B1201" t="str">
            <v>Multiple Machine Tool Setters, Operators, and Tenders, Metal and Plastic</v>
          </cell>
          <cell r="C1201">
            <v>129850</v>
          </cell>
          <cell r="D1201">
            <v>1.9</v>
          </cell>
          <cell r="E1201">
            <v>48590</v>
          </cell>
          <cell r="F1201">
            <v>0.5</v>
          </cell>
          <cell r="G1201">
            <v>46060</v>
          </cell>
        </row>
        <row r="1202">
          <cell r="A1202" t="str">
            <v>51-4081</v>
          </cell>
          <cell r="B1202" t="str">
            <v>Multiple Machine Tool Setters, Operators, and Tenders, Metal and Plastic</v>
          </cell>
          <cell r="C1202">
            <v>129850</v>
          </cell>
          <cell r="D1202">
            <v>1.9</v>
          </cell>
          <cell r="E1202">
            <v>48590</v>
          </cell>
          <cell r="F1202">
            <v>0.5</v>
          </cell>
          <cell r="G1202">
            <v>46060</v>
          </cell>
        </row>
        <row r="1203">
          <cell r="A1203" t="str">
            <v>51-4110</v>
          </cell>
          <cell r="B1203" t="str">
            <v>Tool and Die Makers</v>
          </cell>
          <cell r="C1203">
            <v>55130</v>
          </cell>
          <cell r="D1203">
            <v>1.4</v>
          </cell>
          <cell r="E1203">
            <v>65100</v>
          </cell>
          <cell r="F1203">
            <v>0.4</v>
          </cell>
          <cell r="G1203">
            <v>63180</v>
          </cell>
        </row>
        <row r="1204">
          <cell r="A1204" t="str">
            <v>51-4111</v>
          </cell>
          <cell r="B1204" t="str">
            <v>Tool and Die Makers</v>
          </cell>
          <cell r="C1204">
            <v>55130</v>
          </cell>
          <cell r="D1204">
            <v>1.4</v>
          </cell>
          <cell r="E1204">
            <v>65100</v>
          </cell>
          <cell r="F1204">
            <v>0.4</v>
          </cell>
          <cell r="G1204">
            <v>63180</v>
          </cell>
        </row>
        <row r="1205">
          <cell r="A1205" t="str">
            <v>51-4120</v>
          </cell>
          <cell r="B1205" t="str">
            <v>Welding, Soldering, and Brazing Workers</v>
          </cell>
          <cell r="C1205">
            <v>460340</v>
          </cell>
          <cell r="D1205">
            <v>0.7</v>
          </cell>
          <cell r="E1205">
            <v>54640</v>
          </cell>
          <cell r="F1205">
            <v>0.3</v>
          </cell>
          <cell r="G1205">
            <v>50560</v>
          </cell>
        </row>
        <row r="1206">
          <cell r="A1206" t="str">
            <v>51-4121</v>
          </cell>
          <cell r="B1206" t="str">
            <v>Welders, Cutters, Solderers, and Brazers</v>
          </cell>
          <cell r="C1206">
            <v>424040</v>
          </cell>
          <cell r="D1206">
            <v>0.7</v>
          </cell>
          <cell r="E1206">
            <v>55100</v>
          </cell>
          <cell r="F1206">
            <v>0.3</v>
          </cell>
          <cell r="G1206">
            <v>51000</v>
          </cell>
        </row>
        <row r="1207">
          <cell r="A1207" t="str">
            <v>51-4122</v>
          </cell>
          <cell r="B1207" t="str">
            <v>Welding, Soldering, and Brazing Machine Setters, Operators, and Tenders</v>
          </cell>
          <cell r="C1207">
            <v>36290</v>
          </cell>
          <cell r="D1207">
            <v>2.6</v>
          </cell>
          <cell r="E1207">
            <v>49270</v>
          </cell>
          <cell r="F1207">
            <v>0.5</v>
          </cell>
          <cell r="G1207">
            <v>47060</v>
          </cell>
        </row>
        <row r="1208">
          <cell r="A1208" t="str">
            <v>51-4190</v>
          </cell>
          <cell r="B1208" t="str">
            <v>Miscellaneous Metal Workers and Plastic Workers</v>
          </cell>
          <cell r="C1208">
            <v>77710</v>
          </cell>
          <cell r="D1208">
            <v>1.8</v>
          </cell>
          <cell r="E1208">
            <v>47500</v>
          </cell>
          <cell r="F1208">
            <v>0.5</v>
          </cell>
          <cell r="G1208">
            <v>45050</v>
          </cell>
        </row>
        <row r="1209">
          <cell r="A1209" t="str">
            <v>51-4191</v>
          </cell>
          <cell r="B1209" t="str">
            <v>Heat Treating Equipment Setters, Operators, and Tenders, Metal and Plastic</v>
          </cell>
          <cell r="C1209">
            <v>14590</v>
          </cell>
          <cell r="D1209">
            <v>3.1</v>
          </cell>
          <cell r="E1209">
            <v>49030</v>
          </cell>
          <cell r="F1209">
            <v>0.7</v>
          </cell>
          <cell r="G1209">
            <v>47450</v>
          </cell>
        </row>
        <row r="1210">
          <cell r="A1210" t="str">
            <v>51-4192</v>
          </cell>
          <cell r="B1210" t="str">
            <v>Layout Workers, Metal and Plastic</v>
          </cell>
          <cell r="C1210">
            <v>5610</v>
          </cell>
          <cell r="D1210">
            <v>4.9000000000000004</v>
          </cell>
          <cell r="E1210">
            <v>65770</v>
          </cell>
          <cell r="F1210">
            <v>1.9</v>
          </cell>
          <cell r="G1210">
            <v>61870</v>
          </cell>
        </row>
        <row r="1211">
          <cell r="A1211" t="str">
            <v>51-4193</v>
          </cell>
          <cell r="B1211" t="str">
            <v>Plating Machine Setters, Operators, and Tenders, Metal and Plastic</v>
          </cell>
          <cell r="C1211">
            <v>31510</v>
          </cell>
          <cell r="D1211">
            <v>2.7</v>
          </cell>
          <cell r="E1211">
            <v>43820</v>
          </cell>
          <cell r="F1211">
            <v>0.7</v>
          </cell>
          <cell r="G1211">
            <v>41600</v>
          </cell>
        </row>
        <row r="1212">
          <cell r="A1212" t="str">
            <v>51-4194</v>
          </cell>
          <cell r="B1212" t="str">
            <v>Tool Grinders, Filers, and Sharpeners</v>
          </cell>
          <cell r="C1212">
            <v>5730</v>
          </cell>
          <cell r="D1212">
            <v>4.8</v>
          </cell>
          <cell r="E1212">
            <v>51790</v>
          </cell>
          <cell r="F1212">
            <v>1.1000000000000001</v>
          </cell>
          <cell r="G1212">
            <v>48970</v>
          </cell>
        </row>
        <row r="1213">
          <cell r="A1213" t="str">
            <v>51-4199</v>
          </cell>
          <cell r="B1213" t="str">
            <v>Metal Workers and Plastic Workers, All Other</v>
          </cell>
          <cell r="C1213">
            <v>20270</v>
          </cell>
          <cell r="D1213">
            <v>4.5999999999999996</v>
          </cell>
          <cell r="E1213">
            <v>45850</v>
          </cell>
          <cell r="F1213">
            <v>1.1000000000000001</v>
          </cell>
          <cell r="G1213">
            <v>42750</v>
          </cell>
        </row>
        <row r="1214">
          <cell r="A1214" t="str">
            <v>51-5100</v>
          </cell>
          <cell r="B1214" t="str">
            <v>Printing Workers</v>
          </cell>
          <cell r="C1214">
            <v>204640</v>
          </cell>
          <cell r="D1214">
            <v>1</v>
          </cell>
          <cell r="E1214">
            <v>46260</v>
          </cell>
          <cell r="F1214">
            <v>0.3</v>
          </cell>
          <cell r="G1214">
            <v>44830</v>
          </cell>
        </row>
        <row r="1215">
          <cell r="A1215" t="str">
            <v>51-5110</v>
          </cell>
          <cell r="B1215" t="str">
            <v>Printing Workers</v>
          </cell>
          <cell r="C1215">
            <v>204640</v>
          </cell>
          <cell r="D1215">
            <v>1</v>
          </cell>
          <cell r="E1215">
            <v>46260</v>
          </cell>
          <cell r="F1215">
            <v>0.3</v>
          </cell>
          <cell r="G1215">
            <v>44830</v>
          </cell>
        </row>
        <row r="1216">
          <cell r="A1216" t="str">
            <v>51-5111</v>
          </cell>
          <cell r="B1216" t="str">
            <v>Prepress Technicians and Workers</v>
          </cell>
          <cell r="C1216">
            <v>23070</v>
          </cell>
          <cell r="D1216">
            <v>2.6</v>
          </cell>
          <cell r="E1216">
            <v>49130</v>
          </cell>
          <cell r="F1216">
            <v>0.7</v>
          </cell>
          <cell r="G1216">
            <v>47300</v>
          </cell>
        </row>
        <row r="1217">
          <cell r="A1217" t="str">
            <v>51-5112</v>
          </cell>
          <cell r="B1217" t="str">
            <v>Printing Press Operators</v>
          </cell>
          <cell r="C1217">
            <v>145110</v>
          </cell>
          <cell r="D1217">
            <v>1.3</v>
          </cell>
          <cell r="E1217">
            <v>46620</v>
          </cell>
          <cell r="F1217">
            <v>0.4</v>
          </cell>
          <cell r="G1217">
            <v>45160</v>
          </cell>
        </row>
        <row r="1218">
          <cell r="A1218" t="str">
            <v>51-5113</v>
          </cell>
          <cell r="B1218" t="str">
            <v>Print Binding and Finishing Workers</v>
          </cell>
          <cell r="C1218">
            <v>36470</v>
          </cell>
          <cell r="D1218">
            <v>2.5</v>
          </cell>
          <cell r="E1218">
            <v>43040</v>
          </cell>
          <cell r="F1218">
            <v>0.5</v>
          </cell>
          <cell r="G1218">
            <v>39820</v>
          </cell>
        </row>
        <row r="1219">
          <cell r="A1219" t="str">
            <v>51-6000</v>
          </cell>
          <cell r="B1219" t="str">
            <v>Textile, Apparel, and Furnishings Workers</v>
          </cell>
          <cell r="C1219">
            <v>464330</v>
          </cell>
          <cell r="D1219">
            <v>1.1000000000000001</v>
          </cell>
          <cell r="E1219">
            <v>36970</v>
          </cell>
          <cell r="F1219">
            <v>0.2</v>
          </cell>
          <cell r="G1219">
            <v>35580</v>
          </cell>
        </row>
        <row r="1220">
          <cell r="A1220" t="str">
            <v>51-6010</v>
          </cell>
          <cell r="B1220" t="str">
            <v>Laundry and Dry-Cleaning Workers</v>
          </cell>
          <cell r="C1220">
            <v>195360</v>
          </cell>
          <cell r="D1220">
            <v>1.9</v>
          </cell>
          <cell r="E1220">
            <v>33990</v>
          </cell>
          <cell r="F1220">
            <v>0.4</v>
          </cell>
          <cell r="G1220">
            <v>33800</v>
          </cell>
        </row>
        <row r="1221">
          <cell r="A1221" t="str">
            <v>51-6011</v>
          </cell>
          <cell r="B1221" t="str">
            <v>Laundry and Dry-Cleaning Workers</v>
          </cell>
          <cell r="C1221">
            <v>195360</v>
          </cell>
          <cell r="D1221">
            <v>1.9</v>
          </cell>
          <cell r="E1221">
            <v>33990</v>
          </cell>
          <cell r="F1221">
            <v>0.4</v>
          </cell>
          <cell r="G1221">
            <v>33800</v>
          </cell>
        </row>
        <row r="1222">
          <cell r="A1222" t="str">
            <v>51-6020</v>
          </cell>
          <cell r="B1222" t="str">
            <v>Pressers, Textile, Garment, and Related Materials</v>
          </cell>
          <cell r="C1222">
            <v>26830</v>
          </cell>
          <cell r="D1222">
            <v>3.6</v>
          </cell>
          <cell r="E1222">
            <v>33370</v>
          </cell>
          <cell r="F1222">
            <v>0.7</v>
          </cell>
          <cell r="G1222">
            <v>33880</v>
          </cell>
        </row>
        <row r="1223">
          <cell r="A1223" t="str">
            <v>51-6021</v>
          </cell>
          <cell r="B1223" t="str">
            <v>Pressers, Textile, Garment, and Related Materials</v>
          </cell>
          <cell r="C1223">
            <v>26830</v>
          </cell>
          <cell r="D1223">
            <v>3.6</v>
          </cell>
          <cell r="E1223">
            <v>33370</v>
          </cell>
          <cell r="F1223">
            <v>0.7</v>
          </cell>
          <cell r="G1223">
            <v>33880</v>
          </cell>
        </row>
        <row r="1224">
          <cell r="A1224" t="str">
            <v>51-6030</v>
          </cell>
          <cell r="B1224" t="str">
            <v>Sewing Machine Operators</v>
          </cell>
          <cell r="C1224">
            <v>109590</v>
          </cell>
          <cell r="D1224">
            <v>1.9</v>
          </cell>
          <cell r="E1224">
            <v>36680</v>
          </cell>
          <cell r="F1224">
            <v>0.4</v>
          </cell>
          <cell r="G1224">
            <v>36000</v>
          </cell>
        </row>
        <row r="1225">
          <cell r="A1225" t="str">
            <v>51-6031</v>
          </cell>
          <cell r="B1225" t="str">
            <v>Sewing Machine Operators</v>
          </cell>
          <cell r="C1225">
            <v>109590</v>
          </cell>
          <cell r="D1225">
            <v>1.9</v>
          </cell>
          <cell r="E1225">
            <v>36680</v>
          </cell>
          <cell r="F1225">
            <v>0.4</v>
          </cell>
          <cell r="G1225">
            <v>36000</v>
          </cell>
        </row>
        <row r="1226">
          <cell r="A1226" t="str">
            <v>51-6040</v>
          </cell>
          <cell r="B1226" t="str">
            <v>Shoe and Leather Workers</v>
          </cell>
          <cell r="C1226">
            <v>10910</v>
          </cell>
          <cell r="D1226">
            <v>3.9</v>
          </cell>
          <cell r="E1226">
            <v>36560</v>
          </cell>
          <cell r="F1226">
            <v>1</v>
          </cell>
          <cell r="G1226">
            <v>36460</v>
          </cell>
        </row>
        <row r="1227">
          <cell r="A1227" t="str">
            <v>51-6041</v>
          </cell>
          <cell r="B1227" t="str">
            <v>Shoe and Leather Workers and Repairers</v>
          </cell>
          <cell r="C1227">
            <v>7640</v>
          </cell>
          <cell r="D1227">
            <v>5.9</v>
          </cell>
          <cell r="E1227">
            <v>36280</v>
          </cell>
          <cell r="F1227">
            <v>1.2</v>
          </cell>
          <cell r="G1227">
            <v>35950</v>
          </cell>
        </row>
        <row r="1228">
          <cell r="A1228" t="str">
            <v>51-6042</v>
          </cell>
          <cell r="B1228" t="str">
            <v>Shoe Machine Operators and Tenders</v>
          </cell>
          <cell r="C1228">
            <v>3270</v>
          </cell>
          <cell r="D1228">
            <v>8.6999999999999993</v>
          </cell>
          <cell r="E1228">
            <v>37230</v>
          </cell>
          <cell r="F1228">
            <v>2</v>
          </cell>
          <cell r="G1228">
            <v>38160</v>
          </cell>
        </row>
        <row r="1229">
          <cell r="A1229" t="str">
            <v>51-6050</v>
          </cell>
          <cell r="B1229" t="str">
            <v>Tailors, Dressmakers, and Sewers</v>
          </cell>
          <cell r="C1229">
            <v>18540</v>
          </cell>
          <cell r="D1229">
            <v>5.3</v>
          </cell>
          <cell r="E1229">
            <v>42930</v>
          </cell>
          <cell r="F1229">
            <v>1.5</v>
          </cell>
          <cell r="G1229">
            <v>39590</v>
          </cell>
        </row>
        <row r="1230">
          <cell r="A1230" t="str">
            <v>51-6051</v>
          </cell>
          <cell r="B1230" t="str">
            <v>Sewers, Hand</v>
          </cell>
          <cell r="C1230">
            <v>2240</v>
          </cell>
          <cell r="D1230">
            <v>11.8</v>
          </cell>
          <cell r="E1230">
            <v>34810</v>
          </cell>
          <cell r="F1230">
            <v>1.9</v>
          </cell>
          <cell r="G1230">
            <v>33760</v>
          </cell>
        </row>
        <row r="1231">
          <cell r="A1231" t="str">
            <v>51-6052</v>
          </cell>
          <cell r="B1231" t="str">
            <v>Tailors, Dressmakers, and Custom Sewers</v>
          </cell>
          <cell r="C1231">
            <v>16290</v>
          </cell>
          <cell r="D1231">
            <v>5.7</v>
          </cell>
          <cell r="E1231">
            <v>44050</v>
          </cell>
          <cell r="F1231">
            <v>1.7</v>
          </cell>
          <cell r="G1231">
            <v>40860</v>
          </cell>
        </row>
        <row r="1232">
          <cell r="A1232" t="str">
            <v>51-6060</v>
          </cell>
          <cell r="B1232" t="str">
            <v>Textile Machine Setters, Operators, and Tenders</v>
          </cell>
          <cell r="C1232">
            <v>49910</v>
          </cell>
          <cell r="D1232">
            <v>1.5</v>
          </cell>
          <cell r="E1232">
            <v>38820</v>
          </cell>
          <cell r="F1232">
            <v>0.4</v>
          </cell>
          <cell r="G1232">
            <v>37800</v>
          </cell>
        </row>
        <row r="1233">
          <cell r="A1233" t="str">
            <v>51-6061</v>
          </cell>
          <cell r="B1233" t="str">
            <v>Textile Bleaching and Dyeing Machine Operators and Tenders</v>
          </cell>
          <cell r="C1233">
            <v>5820</v>
          </cell>
          <cell r="D1233">
            <v>8.3000000000000007</v>
          </cell>
          <cell r="E1233">
            <v>39000</v>
          </cell>
          <cell r="F1233">
            <v>1.7</v>
          </cell>
          <cell r="G1233">
            <v>37320</v>
          </cell>
        </row>
        <row r="1234">
          <cell r="A1234" t="str">
            <v>51-6062</v>
          </cell>
          <cell r="B1234" t="str">
            <v>Textile Cutting Machine Setters, Operators, and Tenders</v>
          </cell>
          <cell r="C1234">
            <v>8960</v>
          </cell>
          <cell r="D1234">
            <v>3.4</v>
          </cell>
          <cell r="E1234">
            <v>38500</v>
          </cell>
          <cell r="F1234">
            <v>0.7</v>
          </cell>
          <cell r="G1234">
            <v>37940</v>
          </cell>
        </row>
        <row r="1235">
          <cell r="A1235" t="str">
            <v>51-6063</v>
          </cell>
          <cell r="B1235" t="str">
            <v>Textile Knitting and Weaving Machine Setters, Operators, and Tenders</v>
          </cell>
          <cell r="C1235">
            <v>14530</v>
          </cell>
          <cell r="D1235">
            <v>2.5</v>
          </cell>
          <cell r="E1235">
            <v>39470</v>
          </cell>
          <cell r="F1235">
            <v>0.6</v>
          </cell>
          <cell r="G1235">
            <v>38260</v>
          </cell>
        </row>
        <row r="1236">
          <cell r="A1236" t="str">
            <v>51-6064</v>
          </cell>
          <cell r="B1236" t="str">
            <v>Textile Winding, Twisting, and Drawing Out Machine Setters, Operators, and Tenders</v>
          </cell>
          <cell r="C1236">
            <v>20600</v>
          </cell>
          <cell r="D1236">
            <v>2.4</v>
          </cell>
          <cell r="E1236">
            <v>38440</v>
          </cell>
          <cell r="F1236">
            <v>0.6</v>
          </cell>
          <cell r="G1236">
            <v>37660</v>
          </cell>
        </row>
        <row r="1237">
          <cell r="A1237" t="str">
            <v>51-6090</v>
          </cell>
          <cell r="B1237" t="str">
            <v>Miscellaneous Textile, Apparel, and Furnishings Workers</v>
          </cell>
          <cell r="C1237">
            <v>53200</v>
          </cell>
          <cell r="D1237">
            <v>2.1</v>
          </cell>
          <cell r="E1237">
            <v>46630</v>
          </cell>
          <cell r="F1237">
            <v>0.7</v>
          </cell>
          <cell r="G1237">
            <v>43670</v>
          </cell>
        </row>
        <row r="1238">
          <cell r="A1238" t="str">
            <v>51-6091</v>
          </cell>
          <cell r="B1238" t="str">
            <v>Extruding and Forming Machine Setters, Operators, and Tenders, Synthetic and Glass Fibers</v>
          </cell>
          <cell r="C1238">
            <v>14900</v>
          </cell>
          <cell r="D1238">
            <v>4.9000000000000004</v>
          </cell>
          <cell r="E1238">
            <v>47420</v>
          </cell>
          <cell r="F1238">
            <v>1.1000000000000001</v>
          </cell>
          <cell r="G1238">
            <v>44980</v>
          </cell>
        </row>
        <row r="1239">
          <cell r="A1239" t="str">
            <v>51-6092</v>
          </cell>
          <cell r="B1239" t="str">
            <v>Fabric and Apparel Patternmakers</v>
          </cell>
          <cell r="C1239">
            <v>2860</v>
          </cell>
          <cell r="D1239">
            <v>8.1</v>
          </cell>
          <cell r="E1239">
            <v>71630</v>
          </cell>
          <cell r="F1239">
            <v>2.6</v>
          </cell>
          <cell r="G1239">
            <v>67670</v>
          </cell>
        </row>
        <row r="1240">
          <cell r="A1240" t="str">
            <v>51-6093</v>
          </cell>
          <cell r="B1240" t="str">
            <v>Upholsterers</v>
          </cell>
          <cell r="C1240">
            <v>20990</v>
          </cell>
          <cell r="D1240">
            <v>2.9</v>
          </cell>
          <cell r="E1240">
            <v>46960</v>
          </cell>
          <cell r="F1240">
            <v>0.9</v>
          </cell>
          <cell r="G1240">
            <v>46190</v>
          </cell>
        </row>
        <row r="1241">
          <cell r="A1241" t="str">
            <v>51-6099</v>
          </cell>
          <cell r="B1241" t="str">
            <v>Textile, Apparel, and Furnishings Workers, All Other</v>
          </cell>
          <cell r="C1241">
            <v>14450</v>
          </cell>
          <cell r="D1241">
            <v>4.3</v>
          </cell>
          <cell r="E1241">
            <v>40410</v>
          </cell>
          <cell r="F1241">
            <v>1.1000000000000001</v>
          </cell>
          <cell r="G1241">
            <v>37010</v>
          </cell>
        </row>
        <row r="1242">
          <cell r="A1242" t="str">
            <v>51-7000</v>
          </cell>
          <cell r="B1242" t="str">
            <v>Woodworkers</v>
          </cell>
          <cell r="C1242">
            <v>207380</v>
          </cell>
          <cell r="D1242">
            <v>1</v>
          </cell>
          <cell r="E1242">
            <v>44520</v>
          </cell>
          <cell r="F1242">
            <v>0.3</v>
          </cell>
          <cell r="G1242">
            <v>43640</v>
          </cell>
        </row>
        <row r="1243">
          <cell r="A1243" t="str">
            <v>51-7010</v>
          </cell>
          <cell r="B1243" t="str">
            <v>Cabinetmakers and Bench Carpenters</v>
          </cell>
          <cell r="C1243">
            <v>79540</v>
          </cell>
          <cell r="D1243">
            <v>1.7</v>
          </cell>
          <cell r="E1243">
            <v>47460</v>
          </cell>
          <cell r="F1243">
            <v>0.5</v>
          </cell>
          <cell r="G1243">
            <v>46020</v>
          </cell>
        </row>
        <row r="1244">
          <cell r="A1244" t="str">
            <v>51-7011</v>
          </cell>
          <cell r="B1244" t="str">
            <v>Cabinetmakers and Bench Carpenters</v>
          </cell>
          <cell r="C1244">
            <v>79540</v>
          </cell>
          <cell r="D1244">
            <v>1.7</v>
          </cell>
          <cell r="E1244">
            <v>47460</v>
          </cell>
          <cell r="F1244">
            <v>0.5</v>
          </cell>
          <cell r="G1244">
            <v>46020</v>
          </cell>
        </row>
        <row r="1245">
          <cell r="A1245" t="str">
            <v>51-7020</v>
          </cell>
          <cell r="B1245" t="str">
            <v>Furniture Finishers</v>
          </cell>
          <cell r="C1245">
            <v>14230</v>
          </cell>
          <cell r="D1245">
            <v>3.7</v>
          </cell>
          <cell r="E1245">
            <v>44310</v>
          </cell>
          <cell r="F1245">
            <v>0.8</v>
          </cell>
          <cell r="G1245">
            <v>42530</v>
          </cell>
        </row>
        <row r="1246">
          <cell r="A1246" t="str">
            <v>51-7021</v>
          </cell>
          <cell r="B1246" t="str">
            <v>Furniture Finishers</v>
          </cell>
          <cell r="C1246">
            <v>14230</v>
          </cell>
          <cell r="D1246">
            <v>3.7</v>
          </cell>
          <cell r="E1246">
            <v>44310</v>
          </cell>
          <cell r="F1246">
            <v>0.8</v>
          </cell>
          <cell r="G1246">
            <v>42530</v>
          </cell>
        </row>
        <row r="1247">
          <cell r="A1247" t="str">
            <v>51-7030</v>
          </cell>
          <cell r="B1247" t="str">
            <v>Model Makers and Patternmakers, Wood</v>
          </cell>
          <cell r="C1247">
            <v>530</v>
          </cell>
          <cell r="D1247">
            <v>9.6999999999999993</v>
          </cell>
          <cell r="E1247">
            <v>59160</v>
          </cell>
          <cell r="F1247">
            <v>3.1</v>
          </cell>
          <cell r="G1247">
            <v>51920</v>
          </cell>
        </row>
        <row r="1248">
          <cell r="A1248" t="str">
            <v>51-7031</v>
          </cell>
          <cell r="B1248" t="str">
            <v>Model Makers, Wood</v>
          </cell>
          <cell r="C1248">
            <v>360</v>
          </cell>
          <cell r="D1248">
            <v>12.5</v>
          </cell>
          <cell r="E1248">
            <v>59780</v>
          </cell>
          <cell r="F1248">
            <v>4</v>
          </cell>
          <cell r="G1248">
            <v>51850</v>
          </cell>
        </row>
        <row r="1249">
          <cell r="A1249" t="str">
            <v>51-7032</v>
          </cell>
          <cell r="B1249" t="str">
            <v>Patternmakers, Wood</v>
          </cell>
          <cell r="C1249">
            <v>180</v>
          </cell>
          <cell r="D1249">
            <v>22.4</v>
          </cell>
          <cell r="E1249">
            <v>57920</v>
          </cell>
          <cell r="F1249">
            <v>4.7</v>
          </cell>
          <cell r="G1249">
            <v>52520</v>
          </cell>
        </row>
        <row r="1250">
          <cell r="A1250" t="str">
            <v>51-7040</v>
          </cell>
          <cell r="B1250" t="str">
            <v>Woodworking Machine Setters, Operators, and Tenders</v>
          </cell>
          <cell r="C1250">
            <v>106490</v>
          </cell>
          <cell r="D1250">
            <v>1.5</v>
          </cell>
          <cell r="E1250">
            <v>42330</v>
          </cell>
          <cell r="F1250">
            <v>0.3</v>
          </cell>
          <cell r="G1250">
            <v>40300</v>
          </cell>
        </row>
        <row r="1251">
          <cell r="A1251" t="str">
            <v>51-7041</v>
          </cell>
          <cell r="B1251" t="str">
            <v>Sawing Machine Setters, Operators, and Tenders, Wood</v>
          </cell>
          <cell r="C1251">
            <v>43140</v>
          </cell>
          <cell r="D1251">
            <v>1.8</v>
          </cell>
          <cell r="E1251">
            <v>42390</v>
          </cell>
          <cell r="F1251">
            <v>0.5</v>
          </cell>
          <cell r="G1251">
            <v>39950</v>
          </cell>
        </row>
        <row r="1252">
          <cell r="A1252" t="str">
            <v>51-7042</v>
          </cell>
          <cell r="B1252" t="str">
            <v>Woodworking Machine Setters, Operators, and Tenders, Except Sawing</v>
          </cell>
          <cell r="C1252">
            <v>63350</v>
          </cell>
          <cell r="D1252">
            <v>2.2999999999999998</v>
          </cell>
          <cell r="E1252">
            <v>42290</v>
          </cell>
          <cell r="F1252">
            <v>0.4</v>
          </cell>
          <cell r="G1252">
            <v>40440</v>
          </cell>
        </row>
        <row r="1253">
          <cell r="A1253" t="str">
            <v>51-7090</v>
          </cell>
          <cell r="B1253" t="str">
            <v>Miscellaneous Woodworkers</v>
          </cell>
          <cell r="C1253">
            <v>6590</v>
          </cell>
          <cell r="D1253">
            <v>6.5</v>
          </cell>
          <cell r="E1253">
            <v>43730</v>
          </cell>
          <cell r="F1253">
            <v>1.4</v>
          </cell>
          <cell r="G1253">
            <v>41220</v>
          </cell>
        </row>
        <row r="1254">
          <cell r="A1254" t="str">
            <v>51-7099</v>
          </cell>
          <cell r="B1254" t="str">
            <v>Woodworkers, All Other</v>
          </cell>
          <cell r="C1254">
            <v>6590</v>
          </cell>
          <cell r="D1254">
            <v>6.5</v>
          </cell>
          <cell r="E1254">
            <v>43730</v>
          </cell>
          <cell r="F1254">
            <v>1.4</v>
          </cell>
          <cell r="G1254">
            <v>41220</v>
          </cell>
        </row>
        <row r="1255">
          <cell r="A1255" t="str">
            <v>51-8000</v>
          </cell>
          <cell r="B1255" t="str">
            <v>Plant and System Operators</v>
          </cell>
          <cell r="C1255">
            <v>287720</v>
          </cell>
          <cell r="D1255">
            <v>0.9</v>
          </cell>
          <cell r="E1255">
            <v>75480</v>
          </cell>
          <cell r="F1255">
            <v>0.4</v>
          </cell>
          <cell r="G1255">
            <v>70740</v>
          </cell>
        </row>
        <row r="1256">
          <cell r="A1256" t="str">
            <v>51-8010</v>
          </cell>
          <cell r="B1256" t="str">
            <v>Power Plant Operators, Distributors, and Dispatchers</v>
          </cell>
          <cell r="C1256">
            <v>45630</v>
          </cell>
          <cell r="D1256">
            <v>1.7</v>
          </cell>
          <cell r="E1256">
            <v>102100</v>
          </cell>
          <cell r="F1256">
            <v>0.5</v>
          </cell>
          <cell r="G1256">
            <v>103600</v>
          </cell>
        </row>
        <row r="1257">
          <cell r="A1257" t="str">
            <v>51-8011</v>
          </cell>
          <cell r="B1257" t="str">
            <v>Nuclear Power Reactor Operators</v>
          </cell>
          <cell r="C1257">
            <v>5720</v>
          </cell>
          <cell r="D1257">
            <v>1</v>
          </cell>
          <cell r="E1257">
            <v>122830</v>
          </cell>
          <cell r="F1257">
            <v>0.2</v>
          </cell>
          <cell r="G1257">
            <v>122610</v>
          </cell>
        </row>
        <row r="1258">
          <cell r="A1258" t="str">
            <v>51-8012</v>
          </cell>
          <cell r="B1258" t="str">
            <v>Power Distributors and Dispatchers</v>
          </cell>
          <cell r="C1258">
            <v>9180</v>
          </cell>
          <cell r="D1258">
            <v>4.7</v>
          </cell>
          <cell r="E1258">
            <v>109620</v>
          </cell>
          <cell r="F1258">
            <v>0.8</v>
          </cell>
          <cell r="G1258">
            <v>107240</v>
          </cell>
        </row>
        <row r="1259">
          <cell r="A1259" t="str">
            <v>51-8013</v>
          </cell>
          <cell r="B1259" t="str">
            <v>Power Plant Operators</v>
          </cell>
          <cell r="C1259">
            <v>30720</v>
          </cell>
          <cell r="D1259">
            <v>2.1</v>
          </cell>
          <cell r="E1259">
            <v>95990</v>
          </cell>
          <cell r="F1259">
            <v>0.6</v>
          </cell>
          <cell r="G1259">
            <v>99670</v>
          </cell>
        </row>
        <row r="1260">
          <cell r="A1260" t="str">
            <v>51-8020</v>
          </cell>
          <cell r="B1260" t="str">
            <v>Stationary Engineers and Boiler Operators</v>
          </cell>
          <cell r="C1260">
            <v>30780</v>
          </cell>
          <cell r="D1260">
            <v>1.9</v>
          </cell>
          <cell r="E1260">
            <v>79710</v>
          </cell>
          <cell r="F1260">
            <v>0.7</v>
          </cell>
          <cell r="G1260">
            <v>75190</v>
          </cell>
        </row>
        <row r="1261">
          <cell r="A1261" t="str">
            <v>51-8021</v>
          </cell>
          <cell r="B1261" t="str">
            <v>Stationary Engineers and Boiler Operators</v>
          </cell>
          <cell r="C1261">
            <v>30780</v>
          </cell>
          <cell r="D1261">
            <v>1.9</v>
          </cell>
          <cell r="E1261">
            <v>79710</v>
          </cell>
          <cell r="F1261">
            <v>0.7</v>
          </cell>
          <cell r="G1261">
            <v>75190</v>
          </cell>
        </row>
        <row r="1262">
          <cell r="A1262" t="str">
            <v>51-8030</v>
          </cell>
          <cell r="B1262" t="str">
            <v>Water and Wastewater Treatment Plant and System Operators</v>
          </cell>
          <cell r="C1262">
            <v>126750</v>
          </cell>
          <cell r="D1262">
            <v>1.1000000000000001</v>
          </cell>
          <cell r="E1262">
            <v>60620</v>
          </cell>
          <cell r="F1262">
            <v>0.4</v>
          </cell>
          <cell r="G1262">
            <v>58260</v>
          </cell>
        </row>
        <row r="1263">
          <cell r="A1263" t="str">
            <v>51-8031</v>
          </cell>
          <cell r="B1263" t="str">
            <v>Water and Wastewater Treatment Plant and System Operators</v>
          </cell>
          <cell r="C1263">
            <v>126750</v>
          </cell>
          <cell r="D1263">
            <v>1.1000000000000001</v>
          </cell>
          <cell r="E1263">
            <v>60620</v>
          </cell>
          <cell r="F1263">
            <v>0.4</v>
          </cell>
          <cell r="G1263">
            <v>58260</v>
          </cell>
        </row>
        <row r="1264">
          <cell r="A1264" t="str">
            <v>51-8090</v>
          </cell>
          <cell r="B1264" t="str">
            <v>Miscellaneous Plant and System Operators</v>
          </cell>
          <cell r="C1264">
            <v>84560</v>
          </cell>
          <cell r="D1264">
            <v>2.1</v>
          </cell>
          <cell r="E1264">
            <v>81840</v>
          </cell>
          <cell r="F1264">
            <v>0.7</v>
          </cell>
          <cell r="G1264">
            <v>81930</v>
          </cell>
        </row>
        <row r="1265">
          <cell r="A1265" t="str">
            <v>51-8091</v>
          </cell>
          <cell r="B1265" t="str">
            <v>Chemical Plant and System Operators</v>
          </cell>
          <cell r="C1265">
            <v>17840</v>
          </cell>
          <cell r="D1265">
            <v>3.7</v>
          </cell>
          <cell r="E1265">
            <v>76290</v>
          </cell>
          <cell r="F1265">
            <v>0.9</v>
          </cell>
          <cell r="G1265">
            <v>73540</v>
          </cell>
        </row>
        <row r="1266">
          <cell r="A1266" t="str">
            <v>51-8092</v>
          </cell>
          <cell r="B1266" t="str">
            <v>Gas Plant Operators</v>
          </cell>
          <cell r="C1266">
            <v>15910</v>
          </cell>
          <cell r="D1266">
            <v>3.4</v>
          </cell>
          <cell r="E1266">
            <v>85470</v>
          </cell>
          <cell r="F1266">
            <v>0.8</v>
          </cell>
          <cell r="G1266">
            <v>83400</v>
          </cell>
        </row>
        <row r="1267">
          <cell r="A1267" t="str">
            <v>51-8093</v>
          </cell>
          <cell r="B1267" t="str">
            <v>Petroleum Pump System Operators, Refinery Operators, and Gaugers</v>
          </cell>
          <cell r="C1267">
            <v>34860</v>
          </cell>
          <cell r="D1267">
            <v>3.7</v>
          </cell>
          <cell r="E1267">
            <v>90970</v>
          </cell>
          <cell r="F1267">
            <v>1</v>
          </cell>
          <cell r="G1267">
            <v>97540</v>
          </cell>
        </row>
        <row r="1268">
          <cell r="A1268" t="str">
            <v>51-8099</v>
          </cell>
          <cell r="B1268" t="str">
            <v>Plant and System Operators, All Other</v>
          </cell>
          <cell r="C1268">
            <v>15950</v>
          </cell>
          <cell r="D1268">
            <v>4.9000000000000004</v>
          </cell>
          <cell r="E1268">
            <v>64490</v>
          </cell>
          <cell r="F1268">
            <v>1.6</v>
          </cell>
          <cell r="G1268">
            <v>61710</v>
          </cell>
        </row>
        <row r="1269">
          <cell r="A1269" t="str">
            <v>51-9000</v>
          </cell>
          <cell r="B1269" t="str">
            <v>Other Production Occupations</v>
          </cell>
          <cell r="C1269">
            <v>2562640</v>
          </cell>
          <cell r="D1269">
            <v>0.4</v>
          </cell>
          <cell r="E1269">
            <v>49030</v>
          </cell>
          <cell r="F1269">
            <v>0.2</v>
          </cell>
          <cell r="G1269">
            <v>45970</v>
          </cell>
        </row>
        <row r="1270">
          <cell r="A1270" t="str">
            <v>51-9010</v>
          </cell>
          <cell r="B1270" t="str">
            <v>Chemical Processing Machine Setters, Operators, and Tenders</v>
          </cell>
          <cell r="C1270">
            <v>181610</v>
          </cell>
          <cell r="D1270">
            <v>1.4</v>
          </cell>
          <cell r="E1270">
            <v>58020</v>
          </cell>
          <cell r="F1270">
            <v>0.5</v>
          </cell>
          <cell r="G1270">
            <v>54110</v>
          </cell>
        </row>
        <row r="1271">
          <cell r="A1271" t="str">
            <v>51-9011</v>
          </cell>
          <cell r="B1271" t="str">
            <v>Chemical Equipment Operators and Tenders</v>
          </cell>
          <cell r="C1271">
            <v>127410</v>
          </cell>
          <cell r="D1271">
            <v>1.6</v>
          </cell>
          <cell r="E1271">
            <v>59800</v>
          </cell>
          <cell r="F1271">
            <v>0.6</v>
          </cell>
          <cell r="G1271">
            <v>57090</v>
          </cell>
        </row>
        <row r="1272">
          <cell r="A1272" t="str">
            <v>51-9012</v>
          </cell>
          <cell r="B1272" t="str">
            <v>Separating, Filtering, Clarifying, Precipitating, and Still Machine Setters, Operators, and Tenders</v>
          </cell>
          <cell r="C1272">
            <v>54200</v>
          </cell>
          <cell r="D1272">
            <v>2.5</v>
          </cell>
          <cell r="E1272">
            <v>53830</v>
          </cell>
          <cell r="F1272">
            <v>0.8</v>
          </cell>
          <cell r="G1272">
            <v>49500</v>
          </cell>
        </row>
        <row r="1273">
          <cell r="A1273" t="str">
            <v>51-9020</v>
          </cell>
          <cell r="B1273" t="str">
            <v>Crushing, Grinding, Polishing, Mixing, and Blending Workers</v>
          </cell>
          <cell r="C1273">
            <v>141240</v>
          </cell>
          <cell r="D1273">
            <v>1.3</v>
          </cell>
          <cell r="E1273">
            <v>49330</v>
          </cell>
          <cell r="F1273">
            <v>0.4</v>
          </cell>
          <cell r="G1273">
            <v>47110</v>
          </cell>
        </row>
        <row r="1274">
          <cell r="A1274" t="str">
            <v>51-9021</v>
          </cell>
          <cell r="B1274" t="str">
            <v>Crushing, Grinding, and Polishing Machine Setters, Operators, and Tenders</v>
          </cell>
          <cell r="C1274">
            <v>28550</v>
          </cell>
          <cell r="D1274">
            <v>3.3</v>
          </cell>
          <cell r="E1274">
            <v>49400</v>
          </cell>
          <cell r="F1274">
            <v>0.8</v>
          </cell>
          <cell r="G1274">
            <v>46890</v>
          </cell>
        </row>
        <row r="1275">
          <cell r="A1275" t="str">
            <v>51-9022</v>
          </cell>
          <cell r="B1275" t="str">
            <v>Grinding and Polishing Workers, Hand</v>
          </cell>
          <cell r="C1275">
            <v>11850</v>
          </cell>
          <cell r="D1275">
            <v>4.4000000000000004</v>
          </cell>
          <cell r="E1275">
            <v>43550</v>
          </cell>
          <cell r="F1275">
            <v>1.1000000000000001</v>
          </cell>
          <cell r="G1275">
            <v>41690</v>
          </cell>
        </row>
        <row r="1276">
          <cell r="A1276" t="str">
            <v>51-9023</v>
          </cell>
          <cell r="B1276" t="str">
            <v>Mixing and Blending Machine Setters, Operators, and Tenders</v>
          </cell>
          <cell r="C1276">
            <v>100840</v>
          </cell>
          <cell r="D1276">
            <v>1.6</v>
          </cell>
          <cell r="E1276">
            <v>49990</v>
          </cell>
          <cell r="F1276">
            <v>0.5</v>
          </cell>
          <cell r="G1276">
            <v>47680</v>
          </cell>
        </row>
        <row r="1277">
          <cell r="A1277" t="str">
            <v>51-9030</v>
          </cell>
          <cell r="B1277" t="str">
            <v>Cutting Workers</v>
          </cell>
          <cell r="C1277">
            <v>54610</v>
          </cell>
          <cell r="D1277">
            <v>1.8</v>
          </cell>
          <cell r="E1277">
            <v>45840</v>
          </cell>
          <cell r="F1277">
            <v>0.4</v>
          </cell>
          <cell r="G1277">
            <v>45140</v>
          </cell>
        </row>
        <row r="1278">
          <cell r="A1278" t="str">
            <v>51-9031</v>
          </cell>
          <cell r="B1278" t="str">
            <v>Cutters and Trimmers, Hand</v>
          </cell>
          <cell r="C1278">
            <v>7070</v>
          </cell>
          <cell r="D1278">
            <v>4.8</v>
          </cell>
          <cell r="E1278">
            <v>41960</v>
          </cell>
          <cell r="F1278">
            <v>1.2</v>
          </cell>
          <cell r="G1278">
            <v>38800</v>
          </cell>
        </row>
        <row r="1279">
          <cell r="A1279" t="str">
            <v>51-9032</v>
          </cell>
          <cell r="B1279" t="str">
            <v>Cutting and Slicing Machine Setters, Operators, and Tenders</v>
          </cell>
          <cell r="C1279">
            <v>47540</v>
          </cell>
          <cell r="D1279">
            <v>2</v>
          </cell>
          <cell r="E1279">
            <v>46420</v>
          </cell>
          <cell r="F1279">
            <v>0.4</v>
          </cell>
          <cell r="G1279">
            <v>45700</v>
          </cell>
        </row>
        <row r="1280">
          <cell r="A1280" t="str">
            <v>51-9040</v>
          </cell>
          <cell r="B1280" t="str">
            <v>Extruding, Forming, Pressing, and Compacting Machine Setters, Operators, and Tenders</v>
          </cell>
          <cell r="C1280">
            <v>57310</v>
          </cell>
          <cell r="D1280">
            <v>2.1</v>
          </cell>
          <cell r="E1280">
            <v>47040</v>
          </cell>
          <cell r="F1280">
            <v>0.5</v>
          </cell>
          <cell r="G1280">
            <v>45130</v>
          </cell>
        </row>
        <row r="1281">
          <cell r="A1281" t="str">
            <v>51-9041</v>
          </cell>
          <cell r="B1281" t="str">
            <v>Extruding, Forming, Pressing, and Compacting Machine Setters, Operators, and Tenders</v>
          </cell>
          <cell r="C1281">
            <v>57310</v>
          </cell>
          <cell r="D1281">
            <v>2.1</v>
          </cell>
          <cell r="E1281">
            <v>47040</v>
          </cell>
          <cell r="F1281">
            <v>0.5</v>
          </cell>
          <cell r="G1281">
            <v>45130</v>
          </cell>
        </row>
        <row r="1282">
          <cell r="A1282" t="str">
            <v>51-9050</v>
          </cell>
          <cell r="B1282" t="str">
            <v>Furnace, Kiln, Oven, Drier, and Kettle Operators and Tenders</v>
          </cell>
          <cell r="C1282">
            <v>16160</v>
          </cell>
          <cell r="D1282">
            <v>4.0999999999999996</v>
          </cell>
          <cell r="E1282">
            <v>49250</v>
          </cell>
          <cell r="F1282">
            <v>0.9</v>
          </cell>
          <cell r="G1282">
            <v>47010</v>
          </cell>
        </row>
        <row r="1283">
          <cell r="A1283" t="str">
            <v>51-9051</v>
          </cell>
          <cell r="B1283" t="str">
            <v>Furnace, Kiln, Oven, Drier, and Kettle Operators and Tenders</v>
          </cell>
          <cell r="C1283">
            <v>16160</v>
          </cell>
          <cell r="D1283">
            <v>4.0999999999999996</v>
          </cell>
          <cell r="E1283">
            <v>49250</v>
          </cell>
          <cell r="F1283">
            <v>0.9</v>
          </cell>
          <cell r="G1283">
            <v>47010</v>
          </cell>
        </row>
        <row r="1284">
          <cell r="A1284" t="str">
            <v>51-9060</v>
          </cell>
          <cell r="B1284" t="str">
            <v>Inspectors, Testers, Sorters, Samplers, and Weighers</v>
          </cell>
          <cell r="C1284">
            <v>591180</v>
          </cell>
          <cell r="D1284">
            <v>0.7</v>
          </cell>
          <cell r="E1284">
            <v>51670</v>
          </cell>
          <cell r="F1284">
            <v>0.3</v>
          </cell>
          <cell r="G1284">
            <v>47460</v>
          </cell>
        </row>
        <row r="1285">
          <cell r="A1285" t="str">
            <v>51-9061</v>
          </cell>
          <cell r="B1285" t="str">
            <v>Inspectors, Testers, Sorters, Samplers, and Weighers</v>
          </cell>
          <cell r="C1285">
            <v>591180</v>
          </cell>
          <cell r="D1285">
            <v>0.7</v>
          </cell>
          <cell r="E1285">
            <v>51670</v>
          </cell>
          <cell r="F1285">
            <v>0.3</v>
          </cell>
          <cell r="G1285">
            <v>47460</v>
          </cell>
        </row>
        <row r="1286">
          <cell r="A1286" t="str">
            <v>51-9070</v>
          </cell>
          <cell r="B1286" t="str">
            <v>Jewelers and Precious Stone and Metal Workers</v>
          </cell>
          <cell r="C1286">
            <v>23420</v>
          </cell>
          <cell r="D1286">
            <v>4</v>
          </cell>
          <cell r="E1286">
            <v>55030</v>
          </cell>
          <cell r="F1286">
            <v>1.8</v>
          </cell>
          <cell r="G1286">
            <v>49140</v>
          </cell>
        </row>
        <row r="1287">
          <cell r="A1287" t="str">
            <v>51-9071</v>
          </cell>
          <cell r="B1287" t="str">
            <v>Jewelers and Precious Stone and Metal Workers</v>
          </cell>
          <cell r="C1287">
            <v>23420</v>
          </cell>
          <cell r="D1287">
            <v>4</v>
          </cell>
          <cell r="E1287">
            <v>55030</v>
          </cell>
          <cell r="F1287">
            <v>1.8</v>
          </cell>
          <cell r="G1287">
            <v>49140</v>
          </cell>
        </row>
        <row r="1288">
          <cell r="A1288" t="str">
            <v>51-9080</v>
          </cell>
          <cell r="B1288" t="str">
            <v>Dental and Ophthalmic Laboratory Technicians and Medical Appliance Technicians</v>
          </cell>
          <cell r="C1288">
            <v>64150</v>
          </cell>
          <cell r="D1288">
            <v>1.9</v>
          </cell>
          <cell r="E1288">
            <v>49990</v>
          </cell>
          <cell r="F1288">
            <v>0.6</v>
          </cell>
          <cell r="G1288">
            <v>45820</v>
          </cell>
        </row>
        <row r="1289">
          <cell r="A1289" t="str">
            <v>51-9081</v>
          </cell>
          <cell r="B1289" t="str">
            <v>Dental Laboratory Technicians</v>
          </cell>
          <cell r="C1289">
            <v>33920</v>
          </cell>
          <cell r="D1289">
            <v>2</v>
          </cell>
          <cell r="E1289">
            <v>54060</v>
          </cell>
          <cell r="F1289">
            <v>0.7</v>
          </cell>
          <cell r="G1289">
            <v>48310</v>
          </cell>
        </row>
        <row r="1290">
          <cell r="A1290" t="str">
            <v>51-9082</v>
          </cell>
          <cell r="B1290" t="str">
            <v>Medical Appliance Technicians</v>
          </cell>
          <cell r="C1290">
            <v>11490</v>
          </cell>
          <cell r="D1290">
            <v>6.7</v>
          </cell>
          <cell r="E1290">
            <v>51410</v>
          </cell>
          <cell r="F1290">
            <v>1.2</v>
          </cell>
          <cell r="G1290">
            <v>47060</v>
          </cell>
        </row>
        <row r="1291">
          <cell r="A1291" t="str">
            <v>51-9083</v>
          </cell>
          <cell r="B1291" t="str">
            <v>Ophthalmic Laboratory Technicians</v>
          </cell>
          <cell r="C1291">
            <v>18740</v>
          </cell>
          <cell r="D1291">
            <v>4.8</v>
          </cell>
          <cell r="E1291">
            <v>41760</v>
          </cell>
          <cell r="F1291">
            <v>0.9</v>
          </cell>
          <cell r="G1291">
            <v>38420</v>
          </cell>
        </row>
        <row r="1292">
          <cell r="A1292" t="str">
            <v>51-9110</v>
          </cell>
          <cell r="B1292" t="str">
            <v>Packaging and Filling Machine Operators and Tenders</v>
          </cell>
          <cell r="C1292">
            <v>383860</v>
          </cell>
          <cell r="D1292">
            <v>0.8</v>
          </cell>
          <cell r="E1292">
            <v>43630</v>
          </cell>
          <cell r="F1292">
            <v>0.2</v>
          </cell>
          <cell r="G1292">
            <v>40900</v>
          </cell>
        </row>
        <row r="1293">
          <cell r="A1293" t="str">
            <v>51-9111</v>
          </cell>
          <cell r="B1293" t="str">
            <v>Packaging and Filling Machine Operators and Tenders</v>
          </cell>
          <cell r="C1293">
            <v>383860</v>
          </cell>
          <cell r="D1293">
            <v>0.8</v>
          </cell>
          <cell r="E1293">
            <v>43630</v>
          </cell>
          <cell r="F1293">
            <v>0.2</v>
          </cell>
          <cell r="G1293">
            <v>40900</v>
          </cell>
        </row>
        <row r="1294">
          <cell r="A1294" t="str">
            <v>51-9120</v>
          </cell>
          <cell r="B1294" t="str">
            <v>Painting Workers</v>
          </cell>
          <cell r="C1294">
            <v>167960</v>
          </cell>
          <cell r="D1294">
            <v>1.1000000000000001</v>
          </cell>
          <cell r="E1294">
            <v>51230</v>
          </cell>
          <cell r="F1294">
            <v>0.4</v>
          </cell>
          <cell r="G1294">
            <v>47390</v>
          </cell>
        </row>
        <row r="1295">
          <cell r="A1295" t="str">
            <v>51-9123</v>
          </cell>
          <cell r="B1295" t="str">
            <v>Painting, Coating, and Decorating Workers</v>
          </cell>
          <cell r="C1295">
            <v>8470</v>
          </cell>
          <cell r="D1295">
            <v>4.7</v>
          </cell>
          <cell r="E1295">
            <v>44130</v>
          </cell>
          <cell r="F1295">
            <v>2</v>
          </cell>
          <cell r="G1295">
            <v>40860</v>
          </cell>
        </row>
        <row r="1296">
          <cell r="A1296" t="str">
            <v>51-9124</v>
          </cell>
          <cell r="B1296" t="str">
            <v>Coating, Painting, and Spraying Machine Setters, Operators, and Tenders</v>
          </cell>
          <cell r="C1296">
            <v>159500</v>
          </cell>
          <cell r="D1296">
            <v>1.1000000000000001</v>
          </cell>
          <cell r="E1296">
            <v>51610</v>
          </cell>
          <cell r="F1296">
            <v>0.4</v>
          </cell>
          <cell r="G1296">
            <v>47590</v>
          </cell>
        </row>
        <row r="1297">
          <cell r="A1297" t="str">
            <v>51-9140</v>
          </cell>
          <cell r="B1297" t="str">
            <v>Semiconductor Processing Technicians</v>
          </cell>
          <cell r="C1297">
            <v>32150</v>
          </cell>
          <cell r="D1297">
            <v>1.6</v>
          </cell>
          <cell r="E1297">
            <v>59640</v>
          </cell>
          <cell r="F1297">
            <v>0.4</v>
          </cell>
          <cell r="G1297">
            <v>51180</v>
          </cell>
        </row>
        <row r="1298">
          <cell r="A1298" t="str">
            <v>51-9141</v>
          </cell>
          <cell r="B1298" t="str">
            <v>Semiconductor Processing Technicians</v>
          </cell>
          <cell r="C1298">
            <v>32150</v>
          </cell>
          <cell r="D1298">
            <v>1.6</v>
          </cell>
          <cell r="E1298">
            <v>59640</v>
          </cell>
          <cell r="F1298">
            <v>0.4</v>
          </cell>
          <cell r="G1298">
            <v>51180</v>
          </cell>
        </row>
        <row r="1299">
          <cell r="A1299" t="str">
            <v>51-9150</v>
          </cell>
          <cell r="B1299" t="str">
            <v>Photographic Process Workers and Processing Machine Operators</v>
          </cell>
          <cell r="C1299">
            <v>5550</v>
          </cell>
          <cell r="D1299">
            <v>6.1</v>
          </cell>
          <cell r="E1299">
            <v>46050</v>
          </cell>
          <cell r="F1299">
            <v>2.2999999999999998</v>
          </cell>
          <cell r="G1299">
            <v>40100</v>
          </cell>
        </row>
        <row r="1300">
          <cell r="A1300" t="str">
            <v>51-9151</v>
          </cell>
          <cell r="B1300" t="str">
            <v>Photographic Process Workers and Processing Machine Operators</v>
          </cell>
          <cell r="C1300">
            <v>5550</v>
          </cell>
          <cell r="D1300">
            <v>6.1</v>
          </cell>
          <cell r="E1300">
            <v>46050</v>
          </cell>
          <cell r="F1300">
            <v>2.2999999999999998</v>
          </cell>
          <cell r="G1300">
            <v>40100</v>
          </cell>
        </row>
        <row r="1301">
          <cell r="A1301" t="str">
            <v>51-9160</v>
          </cell>
          <cell r="B1301" t="str">
            <v>Computer Numerically Controlled Tool Operators and Programmers</v>
          </cell>
          <cell r="C1301">
            <v>205190</v>
          </cell>
          <cell r="D1301">
            <v>1.1000000000000001</v>
          </cell>
          <cell r="E1301">
            <v>55240</v>
          </cell>
          <cell r="F1301">
            <v>0.3</v>
          </cell>
          <cell r="G1301">
            <v>51330</v>
          </cell>
        </row>
        <row r="1302">
          <cell r="A1302" t="str">
            <v>51-9161</v>
          </cell>
          <cell r="B1302" t="str">
            <v>Computer Numerically Controlled Tool Operators</v>
          </cell>
          <cell r="C1302">
            <v>176950</v>
          </cell>
          <cell r="D1302">
            <v>1.2</v>
          </cell>
          <cell r="E1302">
            <v>52900</v>
          </cell>
          <cell r="F1302">
            <v>0.3</v>
          </cell>
          <cell r="G1302">
            <v>49970</v>
          </cell>
        </row>
        <row r="1303">
          <cell r="A1303" t="str">
            <v>51-9162</v>
          </cell>
          <cell r="B1303" t="str">
            <v>Computer Numerically Controlled Tool Programmers</v>
          </cell>
          <cell r="C1303">
            <v>28230</v>
          </cell>
          <cell r="D1303">
            <v>2.2000000000000002</v>
          </cell>
          <cell r="E1303">
            <v>69880</v>
          </cell>
          <cell r="F1303">
            <v>0.8</v>
          </cell>
          <cell r="G1303">
            <v>65670</v>
          </cell>
        </row>
        <row r="1304">
          <cell r="A1304" t="str">
            <v>51-9190</v>
          </cell>
          <cell r="B1304" t="str">
            <v>Miscellaneous Production Workers</v>
          </cell>
          <cell r="C1304">
            <v>638250</v>
          </cell>
          <cell r="D1304">
            <v>0.8</v>
          </cell>
          <cell r="E1304">
            <v>44250</v>
          </cell>
          <cell r="F1304">
            <v>0.2</v>
          </cell>
          <cell r="G1304">
            <v>40960</v>
          </cell>
        </row>
        <row r="1305">
          <cell r="A1305" t="str">
            <v>51-9191</v>
          </cell>
          <cell r="B1305" t="str">
            <v>Adhesive Bonding Machine Operators and Tenders</v>
          </cell>
          <cell r="C1305">
            <v>12170</v>
          </cell>
          <cell r="D1305">
            <v>3.4</v>
          </cell>
          <cell r="E1305">
            <v>45670</v>
          </cell>
          <cell r="F1305">
            <v>0.9</v>
          </cell>
          <cell r="G1305">
            <v>45210</v>
          </cell>
        </row>
        <row r="1306">
          <cell r="A1306" t="str">
            <v>51-9192</v>
          </cell>
          <cell r="B1306" t="str">
            <v>Cleaning, Washing, and Metal Pickling Equipment Operators and Tenders</v>
          </cell>
          <cell r="C1306">
            <v>13890</v>
          </cell>
          <cell r="D1306">
            <v>3.1</v>
          </cell>
          <cell r="E1306">
            <v>43380</v>
          </cell>
          <cell r="F1306">
            <v>0.5</v>
          </cell>
          <cell r="G1306">
            <v>41460</v>
          </cell>
        </row>
        <row r="1307">
          <cell r="A1307" t="str">
            <v>51-9193</v>
          </cell>
          <cell r="B1307" t="str">
            <v>Cooling and Freezing Equipment Operators and Tenders</v>
          </cell>
          <cell r="C1307">
            <v>6590</v>
          </cell>
          <cell r="D1307">
            <v>3.5</v>
          </cell>
          <cell r="E1307">
            <v>44290</v>
          </cell>
          <cell r="F1307">
            <v>0.8</v>
          </cell>
          <cell r="G1307">
            <v>40160</v>
          </cell>
        </row>
        <row r="1308">
          <cell r="A1308" t="str">
            <v>51-9194</v>
          </cell>
          <cell r="B1308" t="str">
            <v>Etchers and Engravers</v>
          </cell>
          <cell r="C1308">
            <v>8390</v>
          </cell>
          <cell r="D1308">
            <v>5</v>
          </cell>
          <cell r="E1308">
            <v>43280</v>
          </cell>
          <cell r="F1308">
            <v>1.6</v>
          </cell>
          <cell r="G1308">
            <v>40450</v>
          </cell>
        </row>
        <row r="1309">
          <cell r="A1309" t="str">
            <v>51-9195</v>
          </cell>
          <cell r="B1309" t="str">
            <v>Molders, Shapers, and Casters, Except Metal and Plastic</v>
          </cell>
          <cell r="C1309">
            <v>34750</v>
          </cell>
          <cell r="D1309">
            <v>3</v>
          </cell>
          <cell r="E1309">
            <v>46730</v>
          </cell>
          <cell r="F1309">
            <v>0.6</v>
          </cell>
          <cell r="G1309">
            <v>45690</v>
          </cell>
        </row>
        <row r="1310">
          <cell r="A1310" t="str">
            <v>51-9196</v>
          </cell>
          <cell r="B1310" t="str">
            <v>Paper Goods Machine Setters, Operators, and Tenders</v>
          </cell>
          <cell r="C1310">
            <v>96950</v>
          </cell>
          <cell r="D1310">
            <v>1.4</v>
          </cell>
          <cell r="E1310">
            <v>51750</v>
          </cell>
          <cell r="F1310">
            <v>0.4</v>
          </cell>
          <cell r="G1310">
            <v>49390</v>
          </cell>
        </row>
        <row r="1311">
          <cell r="A1311" t="str">
            <v>51-9197</v>
          </cell>
          <cell r="B1311" t="str">
            <v>Tire Builders</v>
          </cell>
          <cell r="C1311">
            <v>20970</v>
          </cell>
          <cell r="D1311">
            <v>2.5</v>
          </cell>
          <cell r="E1311">
            <v>56230</v>
          </cell>
          <cell r="F1311">
            <v>0.7</v>
          </cell>
          <cell r="G1311">
            <v>55580</v>
          </cell>
        </row>
        <row r="1312">
          <cell r="A1312" t="str">
            <v>51-9198</v>
          </cell>
          <cell r="B1312" t="str">
            <v>Helpers--Production Workers</v>
          </cell>
          <cell r="C1312">
            <v>167490</v>
          </cell>
          <cell r="D1312">
            <v>1.1000000000000001</v>
          </cell>
          <cell r="E1312">
            <v>40080</v>
          </cell>
          <cell r="F1312">
            <v>0.3</v>
          </cell>
          <cell r="G1312">
            <v>38220</v>
          </cell>
        </row>
        <row r="1313">
          <cell r="A1313" t="str">
            <v>51-9199</v>
          </cell>
          <cell r="B1313" t="str">
            <v>Production Workers, All Other</v>
          </cell>
          <cell r="C1313">
            <v>277060</v>
          </cell>
          <cell r="D1313">
            <v>1.4</v>
          </cell>
          <cell r="E1313">
            <v>42940</v>
          </cell>
          <cell r="F1313">
            <v>0.3</v>
          </cell>
          <cell r="G1313">
            <v>38820</v>
          </cell>
        </row>
        <row r="1314">
          <cell r="A1314" t="str">
            <v>53-0000</v>
          </cell>
          <cell r="B1314" t="str">
            <v>Transportation and Material Moving Occupations</v>
          </cell>
          <cell r="C1314">
            <v>13645620</v>
          </cell>
          <cell r="D1314">
            <v>0.2</v>
          </cell>
          <cell r="E1314">
            <v>48750</v>
          </cell>
          <cell r="F1314">
            <v>0.2</v>
          </cell>
          <cell r="G1314">
            <v>42740</v>
          </cell>
        </row>
        <row r="1315">
          <cell r="A1315" t="str">
            <v>53-1000</v>
          </cell>
          <cell r="B1315" t="str">
            <v>Supervisors of Transportation and Material Moving Workers</v>
          </cell>
          <cell r="C1315">
            <v>615680</v>
          </cell>
          <cell r="D1315">
            <v>0.4</v>
          </cell>
          <cell r="E1315">
            <v>65680</v>
          </cell>
          <cell r="F1315">
            <v>0.3</v>
          </cell>
          <cell r="G1315">
            <v>61900</v>
          </cell>
        </row>
        <row r="1316">
          <cell r="A1316" t="str">
            <v>53-1040</v>
          </cell>
          <cell r="B1316" t="str">
            <v>First-Line Supervisors of Transportation and Material Moving Workers</v>
          </cell>
          <cell r="C1316">
            <v>615680</v>
          </cell>
          <cell r="D1316">
            <v>0.4</v>
          </cell>
          <cell r="E1316">
            <v>65680</v>
          </cell>
          <cell r="F1316">
            <v>0.3</v>
          </cell>
          <cell r="G1316">
            <v>61900</v>
          </cell>
        </row>
        <row r="1317">
          <cell r="A1317" t="str">
            <v>53-1041</v>
          </cell>
          <cell r="B1317" t="str">
            <v>Aircraft Cargo Handling Supervisors</v>
          </cell>
          <cell r="C1317">
            <v>10160</v>
          </cell>
          <cell r="D1317">
            <v>4.4000000000000004</v>
          </cell>
          <cell r="E1317">
            <v>66190</v>
          </cell>
          <cell r="F1317">
            <v>2.2000000000000002</v>
          </cell>
          <cell r="G1317">
            <v>63940</v>
          </cell>
        </row>
        <row r="1318">
          <cell r="A1318" t="str">
            <v>53-1047</v>
          </cell>
          <cell r="B1318" t="str">
            <v>First-Line Supervisors of Transportation and Material Moving Workers, Except Aircraft Cargo Handling Supervisors</v>
          </cell>
          <cell r="C1318">
            <v>605510</v>
          </cell>
          <cell r="D1318">
            <v>0.4</v>
          </cell>
          <cell r="E1318">
            <v>65670</v>
          </cell>
          <cell r="F1318">
            <v>0.3</v>
          </cell>
          <cell r="G1318">
            <v>61890</v>
          </cell>
        </row>
        <row r="1319">
          <cell r="A1319" t="str">
            <v>53-2000</v>
          </cell>
          <cell r="B1319" t="str">
            <v>Air Transportation Workers</v>
          </cell>
          <cell r="C1319">
            <v>320280</v>
          </cell>
          <cell r="D1319">
            <v>0.7</v>
          </cell>
          <cell r="E1319">
            <v>155670</v>
          </cell>
          <cell r="F1319">
            <v>1.3</v>
          </cell>
          <cell r="G1319">
            <v>106500</v>
          </cell>
        </row>
        <row r="1320">
          <cell r="A1320" t="str">
            <v>53-2010</v>
          </cell>
          <cell r="B1320" t="str">
            <v>Aircraft Pilots and Flight Engineers</v>
          </cell>
          <cell r="C1320">
            <v>151130</v>
          </cell>
          <cell r="D1320">
            <v>0.9</v>
          </cell>
          <cell r="E1320">
            <v>233380</v>
          </cell>
          <cell r="F1320">
            <v>1.7</v>
          </cell>
          <cell r="G1320">
            <v>198100</v>
          </cell>
        </row>
        <row r="1321">
          <cell r="A1321" t="str">
            <v>53-2011</v>
          </cell>
          <cell r="B1321" t="str">
            <v>Airline Pilots, Copilots, and Flight Engineers</v>
          </cell>
          <cell r="C1321">
            <v>99300</v>
          </cell>
          <cell r="D1321">
            <v>0.7</v>
          </cell>
          <cell r="E1321">
            <v>280570</v>
          </cell>
          <cell r="F1321">
            <v>2.1</v>
          </cell>
          <cell r="G1321">
            <v>226600</v>
          </cell>
        </row>
        <row r="1322">
          <cell r="A1322" t="str">
            <v>53-2012</v>
          </cell>
          <cell r="B1322" t="str">
            <v>Commercial Pilots</v>
          </cell>
          <cell r="C1322">
            <v>51830</v>
          </cell>
          <cell r="D1322">
            <v>2.2999999999999998</v>
          </cell>
          <cell r="E1322">
            <v>142960</v>
          </cell>
          <cell r="F1322">
            <v>1.5</v>
          </cell>
          <cell r="G1322">
            <v>122670</v>
          </cell>
        </row>
        <row r="1323">
          <cell r="A1323" t="str">
            <v>53-2020</v>
          </cell>
          <cell r="B1323" t="str">
            <v>Air Traffic Controllers and Airfield Operations Specialists</v>
          </cell>
          <cell r="C1323">
            <v>39040</v>
          </cell>
          <cell r="D1323">
            <v>2</v>
          </cell>
          <cell r="E1323">
            <v>110500</v>
          </cell>
          <cell r="F1323">
            <v>1.2</v>
          </cell>
          <cell r="G1323">
            <v>98920</v>
          </cell>
        </row>
        <row r="1324">
          <cell r="A1324" t="str">
            <v>53-2021</v>
          </cell>
          <cell r="B1324" t="str">
            <v>Air Traffic Controllers</v>
          </cell>
          <cell r="C1324">
            <v>22400</v>
          </cell>
          <cell r="D1324">
            <v>0.7</v>
          </cell>
          <cell r="E1324">
            <v>142740</v>
          </cell>
          <cell r="F1324">
            <v>0.3</v>
          </cell>
          <cell r="G1324">
            <v>144580</v>
          </cell>
        </row>
        <row r="1325">
          <cell r="A1325" t="str">
            <v>53-2022</v>
          </cell>
          <cell r="B1325" t="str">
            <v>Airfield Operations Specialists</v>
          </cell>
          <cell r="C1325">
            <v>16640</v>
          </cell>
          <cell r="D1325">
            <v>4.5999999999999996</v>
          </cell>
          <cell r="E1325">
            <v>67120</v>
          </cell>
          <cell r="F1325">
            <v>1.6</v>
          </cell>
          <cell r="G1325">
            <v>56750</v>
          </cell>
        </row>
        <row r="1326">
          <cell r="A1326" t="str">
            <v>53-2030</v>
          </cell>
          <cell r="B1326" t="str">
            <v>Flight Attendants</v>
          </cell>
          <cell r="C1326">
            <v>130110</v>
          </cell>
          <cell r="D1326">
            <v>0.8</v>
          </cell>
          <cell r="E1326">
            <v>78950</v>
          </cell>
          <cell r="F1326">
            <v>0.6</v>
          </cell>
          <cell r="G1326">
            <v>67130</v>
          </cell>
        </row>
        <row r="1327">
          <cell r="A1327" t="str">
            <v>53-2031</v>
          </cell>
          <cell r="B1327" t="str">
            <v>Flight Attendants</v>
          </cell>
          <cell r="C1327">
            <v>130110</v>
          </cell>
          <cell r="D1327">
            <v>0.8</v>
          </cell>
          <cell r="E1327">
            <v>78950</v>
          </cell>
          <cell r="F1327">
            <v>0.6</v>
          </cell>
          <cell r="G1327">
            <v>67130</v>
          </cell>
        </row>
        <row r="1328">
          <cell r="A1328" t="str">
            <v>53-3000</v>
          </cell>
          <cell r="B1328" t="str">
            <v>Motor Vehicle Operators</v>
          </cell>
          <cell r="C1328">
            <v>4328760</v>
          </cell>
          <cell r="D1328">
            <v>0.3</v>
          </cell>
          <cell r="E1328">
            <v>51770</v>
          </cell>
          <cell r="F1328">
            <v>0.2</v>
          </cell>
          <cell r="G1328">
            <v>48660</v>
          </cell>
        </row>
        <row r="1329">
          <cell r="A1329" t="str">
            <v>53-3010</v>
          </cell>
          <cell r="B1329" t="str">
            <v>Ambulance Drivers and Attendants, Except Emergency Medical Technicians</v>
          </cell>
          <cell r="C1329">
            <v>12080</v>
          </cell>
          <cell r="D1329">
            <v>4.5999999999999996</v>
          </cell>
          <cell r="E1329">
            <v>35550</v>
          </cell>
          <cell r="F1329">
            <v>0.9</v>
          </cell>
          <cell r="G1329">
            <v>34330</v>
          </cell>
        </row>
        <row r="1330">
          <cell r="A1330" t="str">
            <v>53-3011</v>
          </cell>
          <cell r="B1330" t="str">
            <v>Ambulance Drivers and Attendants, Except Emergency Medical Technicians</v>
          </cell>
          <cell r="C1330">
            <v>12080</v>
          </cell>
          <cell r="D1330">
            <v>4.5999999999999996</v>
          </cell>
          <cell r="E1330">
            <v>35550</v>
          </cell>
          <cell r="F1330">
            <v>0.9</v>
          </cell>
          <cell r="G1330">
            <v>34330</v>
          </cell>
        </row>
        <row r="1331">
          <cell r="A1331" t="str">
            <v>53-3030</v>
          </cell>
          <cell r="B1331" t="str">
            <v>Driver/Sales Workers and Truck Drivers</v>
          </cell>
          <cell r="C1331">
            <v>3482310</v>
          </cell>
          <cell r="D1331">
            <v>0.4</v>
          </cell>
          <cell r="E1331">
            <v>53170</v>
          </cell>
          <cell r="F1331">
            <v>0.3</v>
          </cell>
          <cell r="G1331">
            <v>49550</v>
          </cell>
        </row>
        <row r="1332">
          <cell r="A1332" t="str">
            <v>53-3031</v>
          </cell>
          <cell r="B1332" t="str">
            <v>Driver/Sales Workers</v>
          </cell>
          <cell r="C1332">
            <v>417420</v>
          </cell>
          <cell r="D1332">
            <v>2.2999999999999998</v>
          </cell>
          <cell r="E1332">
            <v>39670</v>
          </cell>
          <cell r="F1332">
            <v>0.8</v>
          </cell>
          <cell r="G1332">
            <v>37130</v>
          </cell>
        </row>
        <row r="1333">
          <cell r="A1333" t="str">
            <v>53-3032</v>
          </cell>
          <cell r="B1333" t="str">
            <v>Heavy and Tractor-Trailer Truck Drivers</v>
          </cell>
          <cell r="C1333">
            <v>2070480</v>
          </cell>
          <cell r="D1333">
            <v>0.4</v>
          </cell>
          <cell r="E1333">
            <v>58400</v>
          </cell>
          <cell r="F1333">
            <v>0.3</v>
          </cell>
          <cell r="G1333">
            <v>57440</v>
          </cell>
        </row>
        <row r="1334">
          <cell r="A1334" t="str">
            <v>53-3033</v>
          </cell>
          <cell r="B1334" t="str">
            <v>Light Truck Drivers</v>
          </cell>
          <cell r="C1334">
            <v>994410</v>
          </cell>
          <cell r="D1334">
            <v>0.7</v>
          </cell>
          <cell r="E1334">
            <v>47950</v>
          </cell>
          <cell r="F1334">
            <v>0.3</v>
          </cell>
          <cell r="G1334">
            <v>44140</v>
          </cell>
        </row>
        <row r="1335">
          <cell r="A1335" t="str">
            <v>53-3050</v>
          </cell>
          <cell r="B1335" t="str">
            <v>Passenger Vehicle Drivers</v>
          </cell>
          <cell r="C1335">
            <v>784030</v>
          </cell>
          <cell r="D1335">
            <v>0.6</v>
          </cell>
          <cell r="E1335">
            <v>46500</v>
          </cell>
          <cell r="F1335">
            <v>0.3</v>
          </cell>
          <cell r="G1335">
            <v>45530</v>
          </cell>
        </row>
        <row r="1336">
          <cell r="A1336" t="str">
            <v>53-3051</v>
          </cell>
          <cell r="B1336" t="str">
            <v>Bus Drivers, School</v>
          </cell>
          <cell r="C1336">
            <v>387920</v>
          </cell>
          <cell r="D1336">
            <v>1.1000000000000001</v>
          </cell>
          <cell r="E1336">
            <v>46660</v>
          </cell>
          <cell r="F1336">
            <v>0.5</v>
          </cell>
          <cell r="G1336">
            <v>47040</v>
          </cell>
        </row>
        <row r="1337">
          <cell r="A1337" t="str">
            <v>53-3052</v>
          </cell>
          <cell r="B1337" t="str">
            <v>Bus Drivers, Transit and Intercity</v>
          </cell>
          <cell r="C1337">
            <v>148980</v>
          </cell>
          <cell r="D1337">
            <v>1</v>
          </cell>
          <cell r="E1337">
            <v>58390</v>
          </cell>
          <cell r="F1337">
            <v>0.4</v>
          </cell>
          <cell r="G1337">
            <v>57440</v>
          </cell>
        </row>
        <row r="1338">
          <cell r="A1338" t="str">
            <v>53-3053</v>
          </cell>
          <cell r="B1338" t="str">
            <v>Shuttle Drivers and Chauffeurs</v>
          </cell>
          <cell r="C1338">
            <v>229630</v>
          </cell>
          <cell r="D1338">
            <v>1.2</v>
          </cell>
          <cell r="E1338">
            <v>39070</v>
          </cell>
          <cell r="F1338">
            <v>0.5</v>
          </cell>
          <cell r="G1338">
            <v>36670</v>
          </cell>
        </row>
        <row r="1339">
          <cell r="A1339" t="str">
            <v>53-3054</v>
          </cell>
          <cell r="B1339" t="str">
            <v>Taxi Drivers</v>
          </cell>
          <cell r="C1339">
            <v>17510</v>
          </cell>
          <cell r="D1339">
            <v>7.4</v>
          </cell>
          <cell r="E1339">
            <v>39310</v>
          </cell>
          <cell r="F1339">
            <v>2.4</v>
          </cell>
          <cell r="G1339">
            <v>36220</v>
          </cell>
        </row>
        <row r="1340">
          <cell r="A1340" t="str">
            <v>53-3090</v>
          </cell>
          <cell r="B1340" t="str">
            <v>Miscellaneous Motor Vehicle Operators</v>
          </cell>
          <cell r="C1340">
            <v>50330</v>
          </cell>
          <cell r="D1340">
            <v>3.1</v>
          </cell>
          <cell r="E1340">
            <v>40980</v>
          </cell>
          <cell r="F1340">
            <v>1.2</v>
          </cell>
          <cell r="G1340">
            <v>36260</v>
          </cell>
        </row>
        <row r="1341">
          <cell r="A1341" t="str">
            <v>53-3099</v>
          </cell>
          <cell r="B1341" t="str">
            <v>Motor Vehicle Operators, All Other</v>
          </cell>
          <cell r="C1341">
            <v>50330</v>
          </cell>
          <cell r="D1341">
            <v>3.1</v>
          </cell>
          <cell r="E1341">
            <v>40980</v>
          </cell>
          <cell r="F1341">
            <v>1.2</v>
          </cell>
          <cell r="G1341">
            <v>36260</v>
          </cell>
        </row>
        <row r="1342">
          <cell r="A1342" t="str">
            <v>53-4000</v>
          </cell>
          <cell r="B1342" t="str">
            <v>Rail Transportation Workers</v>
          </cell>
          <cell r="C1342">
            <v>101190</v>
          </cell>
          <cell r="D1342">
            <v>0.6</v>
          </cell>
          <cell r="E1342">
            <v>75090</v>
          </cell>
          <cell r="F1342">
            <v>0.3</v>
          </cell>
          <cell r="G1342">
            <v>75990</v>
          </cell>
        </row>
        <row r="1343">
          <cell r="A1343" t="str">
            <v>53-4010</v>
          </cell>
          <cell r="B1343" t="str">
            <v>Locomotive Engineers and Operators</v>
          </cell>
          <cell r="C1343">
            <v>35300</v>
          </cell>
          <cell r="D1343">
            <v>0.9</v>
          </cell>
          <cell r="E1343">
            <v>79600</v>
          </cell>
          <cell r="F1343">
            <v>0.4</v>
          </cell>
          <cell r="G1343">
            <v>77400</v>
          </cell>
        </row>
        <row r="1344">
          <cell r="A1344" t="str">
            <v>53-4011</v>
          </cell>
          <cell r="B1344" t="str">
            <v>Locomotive Engineers</v>
          </cell>
          <cell r="C1344">
            <v>31990</v>
          </cell>
          <cell r="D1344">
            <v>0.7</v>
          </cell>
          <cell r="E1344">
            <v>81540</v>
          </cell>
          <cell r="F1344">
            <v>0.4</v>
          </cell>
          <cell r="G1344">
            <v>77400</v>
          </cell>
        </row>
        <row r="1345">
          <cell r="A1345" t="str">
            <v>53-4013</v>
          </cell>
          <cell r="B1345" t="str">
            <v>Rail Yard Engineers, Dinkey Operators, and Hostlers</v>
          </cell>
          <cell r="C1345">
            <v>3300</v>
          </cell>
          <cell r="D1345">
            <v>4.7</v>
          </cell>
          <cell r="E1345">
            <v>60810</v>
          </cell>
          <cell r="F1345">
            <v>1.1000000000000001</v>
          </cell>
          <cell r="G1345">
            <v>58030</v>
          </cell>
        </row>
        <row r="1346">
          <cell r="A1346" t="str">
            <v>53-4020</v>
          </cell>
          <cell r="B1346" t="str">
            <v>Railroad Brake, Signal, and Switch Operators and Locomotive Firers</v>
          </cell>
          <cell r="C1346">
            <v>12460</v>
          </cell>
          <cell r="D1346">
            <v>1.7</v>
          </cell>
          <cell r="E1346">
            <v>63170</v>
          </cell>
          <cell r="F1346">
            <v>0.5</v>
          </cell>
          <cell r="G1346">
            <v>65480</v>
          </cell>
        </row>
        <row r="1347">
          <cell r="A1347" t="str">
            <v>53-4022</v>
          </cell>
          <cell r="B1347" t="str">
            <v>Railroad Brake, Signal, and Switch Operators and Locomotive Firers</v>
          </cell>
          <cell r="C1347">
            <v>12460</v>
          </cell>
          <cell r="D1347">
            <v>1.7</v>
          </cell>
          <cell r="E1347">
            <v>63170</v>
          </cell>
          <cell r="F1347">
            <v>0.5</v>
          </cell>
          <cell r="G1347">
            <v>65480</v>
          </cell>
        </row>
        <row r="1348">
          <cell r="A1348" t="str">
            <v>53-4030</v>
          </cell>
          <cell r="B1348" t="str">
            <v>Railroad Conductors and Yardmasters</v>
          </cell>
          <cell r="C1348">
            <v>42710</v>
          </cell>
          <cell r="D1348">
            <v>0.6</v>
          </cell>
          <cell r="E1348">
            <v>75490</v>
          </cell>
          <cell r="F1348">
            <v>0.3</v>
          </cell>
          <cell r="G1348">
            <v>74080</v>
          </cell>
        </row>
        <row r="1349">
          <cell r="A1349" t="str">
            <v>53-4031</v>
          </cell>
          <cell r="B1349" t="str">
            <v>Railroad Conductors and Yardmasters</v>
          </cell>
          <cell r="C1349">
            <v>42710</v>
          </cell>
          <cell r="D1349">
            <v>0.6</v>
          </cell>
          <cell r="E1349">
            <v>75490</v>
          </cell>
          <cell r="F1349">
            <v>0.3</v>
          </cell>
          <cell r="G1349">
            <v>74080</v>
          </cell>
        </row>
        <row r="1350">
          <cell r="A1350" t="str">
            <v>53-4040</v>
          </cell>
          <cell r="B1350" t="str">
            <v>Subway and Streetcar Operators</v>
          </cell>
          <cell r="C1350">
            <v>9200</v>
          </cell>
          <cell r="D1350">
            <v>2</v>
          </cell>
          <cell r="E1350">
            <v>75620</v>
          </cell>
          <cell r="F1350">
            <v>0.5</v>
          </cell>
          <cell r="G1350">
            <v>84830</v>
          </cell>
        </row>
        <row r="1351">
          <cell r="A1351" t="str">
            <v>53-4041</v>
          </cell>
          <cell r="B1351" t="str">
            <v>Subway and Streetcar Operators</v>
          </cell>
          <cell r="C1351">
            <v>9200</v>
          </cell>
          <cell r="D1351">
            <v>2</v>
          </cell>
          <cell r="E1351">
            <v>75620</v>
          </cell>
          <cell r="F1351">
            <v>0.5</v>
          </cell>
          <cell r="G1351">
            <v>84830</v>
          </cell>
        </row>
        <row r="1352">
          <cell r="A1352" t="str">
            <v>53-4090</v>
          </cell>
          <cell r="B1352" t="str">
            <v>Miscellaneous Rail Transportation Workers</v>
          </cell>
          <cell r="C1352">
            <v>1520</v>
          </cell>
          <cell r="D1352">
            <v>10.3</v>
          </cell>
          <cell r="E1352">
            <v>53500</v>
          </cell>
          <cell r="F1352">
            <v>2.5</v>
          </cell>
          <cell r="G1352">
            <v>49330</v>
          </cell>
        </row>
        <row r="1353">
          <cell r="A1353" t="str">
            <v>53-4099</v>
          </cell>
          <cell r="B1353" t="str">
            <v>Rail Transportation Workers, All Other</v>
          </cell>
          <cell r="C1353">
            <v>1520</v>
          </cell>
          <cell r="D1353">
            <v>10.3</v>
          </cell>
          <cell r="E1353">
            <v>53500</v>
          </cell>
          <cell r="F1353">
            <v>2.5</v>
          </cell>
          <cell r="G1353">
            <v>49330</v>
          </cell>
        </row>
        <row r="1354">
          <cell r="A1354" t="str">
            <v>53-5000</v>
          </cell>
          <cell r="B1354" t="str">
            <v>Water Transportation Workers</v>
          </cell>
          <cell r="C1354">
            <v>77710</v>
          </cell>
          <cell r="D1354">
            <v>2.4</v>
          </cell>
          <cell r="E1354">
            <v>80150</v>
          </cell>
          <cell r="F1354">
            <v>1.2</v>
          </cell>
          <cell r="G1354">
            <v>66490</v>
          </cell>
        </row>
        <row r="1355">
          <cell r="A1355" t="str">
            <v>53-5010</v>
          </cell>
          <cell r="B1355" t="str">
            <v>Sailors and Marine Oilers</v>
          </cell>
          <cell r="C1355">
            <v>31360</v>
          </cell>
          <cell r="D1355">
            <v>4.5</v>
          </cell>
          <cell r="E1355">
            <v>55320</v>
          </cell>
          <cell r="F1355">
            <v>1.8</v>
          </cell>
          <cell r="G1355">
            <v>49610</v>
          </cell>
        </row>
        <row r="1356">
          <cell r="A1356" t="str">
            <v>53-5011</v>
          </cell>
          <cell r="B1356" t="str">
            <v>Sailors and Marine Oilers</v>
          </cell>
          <cell r="C1356">
            <v>31360</v>
          </cell>
          <cell r="D1356">
            <v>4.5</v>
          </cell>
          <cell r="E1356">
            <v>55320</v>
          </cell>
          <cell r="F1356">
            <v>1.8</v>
          </cell>
          <cell r="G1356">
            <v>49610</v>
          </cell>
        </row>
        <row r="1357">
          <cell r="A1357" t="str">
            <v>53-5020</v>
          </cell>
          <cell r="B1357" t="str">
            <v>Ship and Boat Captains and Operators</v>
          </cell>
          <cell r="C1357">
            <v>37770</v>
          </cell>
          <cell r="D1357">
            <v>2.6</v>
          </cell>
          <cell r="E1357">
            <v>95000</v>
          </cell>
          <cell r="F1357">
            <v>1.5</v>
          </cell>
          <cell r="G1357">
            <v>82400</v>
          </cell>
        </row>
        <row r="1358">
          <cell r="A1358" t="str">
            <v>53-5021</v>
          </cell>
          <cell r="B1358" t="str">
            <v>Captains, Mates, and Pilots of Water Vessels</v>
          </cell>
          <cell r="C1358">
            <v>35390</v>
          </cell>
          <cell r="D1358">
            <v>2.7</v>
          </cell>
          <cell r="E1358">
            <v>97660</v>
          </cell>
          <cell r="F1358">
            <v>1.6</v>
          </cell>
          <cell r="G1358">
            <v>85540</v>
          </cell>
        </row>
        <row r="1359">
          <cell r="A1359" t="str">
            <v>53-5022</v>
          </cell>
          <cell r="B1359" t="str">
            <v>Motorboat Operators</v>
          </cell>
          <cell r="C1359">
            <v>2380</v>
          </cell>
          <cell r="D1359">
            <v>8</v>
          </cell>
          <cell r="E1359">
            <v>55370</v>
          </cell>
          <cell r="F1359">
            <v>2.2999999999999998</v>
          </cell>
          <cell r="G1359">
            <v>51880</v>
          </cell>
        </row>
        <row r="1360">
          <cell r="A1360" t="str">
            <v>53-5030</v>
          </cell>
          <cell r="B1360" t="str">
            <v>Ship Engineers</v>
          </cell>
          <cell r="C1360">
            <v>8580</v>
          </cell>
          <cell r="D1360">
            <v>3.6</v>
          </cell>
          <cell r="E1360">
            <v>105600</v>
          </cell>
          <cell r="F1360">
            <v>1.2</v>
          </cell>
          <cell r="G1360">
            <v>101320</v>
          </cell>
        </row>
        <row r="1361">
          <cell r="A1361" t="str">
            <v>53-5031</v>
          </cell>
          <cell r="B1361" t="str">
            <v>Ship Engineers</v>
          </cell>
          <cell r="C1361">
            <v>8580</v>
          </cell>
          <cell r="D1361">
            <v>3.6</v>
          </cell>
          <cell r="E1361">
            <v>105600</v>
          </cell>
          <cell r="F1361">
            <v>1.2</v>
          </cell>
          <cell r="G1361">
            <v>101320</v>
          </cell>
        </row>
        <row r="1362">
          <cell r="A1362" t="str">
            <v>53-6000</v>
          </cell>
          <cell r="B1362" t="str">
            <v>Other Transportation Workers</v>
          </cell>
          <cell r="C1362">
            <v>330140</v>
          </cell>
          <cell r="D1362">
            <v>1.3</v>
          </cell>
          <cell r="E1362">
            <v>40640</v>
          </cell>
          <cell r="F1362">
            <v>0.3</v>
          </cell>
          <cell r="G1362">
            <v>36060</v>
          </cell>
        </row>
        <row r="1363">
          <cell r="A1363" t="str">
            <v>53-6010</v>
          </cell>
          <cell r="B1363" t="str">
            <v>Bridge and Lock Tenders</v>
          </cell>
          <cell r="C1363">
            <v>2720</v>
          </cell>
          <cell r="D1363">
            <v>2.6</v>
          </cell>
          <cell r="E1363">
            <v>56520</v>
          </cell>
          <cell r="F1363">
            <v>1</v>
          </cell>
          <cell r="G1363">
            <v>58490</v>
          </cell>
        </row>
        <row r="1364">
          <cell r="A1364" t="str">
            <v>53-6011</v>
          </cell>
          <cell r="B1364" t="str">
            <v>Bridge and Lock Tenders</v>
          </cell>
          <cell r="C1364">
            <v>2720</v>
          </cell>
          <cell r="D1364">
            <v>2.6</v>
          </cell>
          <cell r="E1364">
            <v>56520</v>
          </cell>
          <cell r="F1364">
            <v>1</v>
          </cell>
          <cell r="G1364">
            <v>58490</v>
          </cell>
        </row>
        <row r="1365">
          <cell r="A1365" t="str">
            <v>53-6020</v>
          </cell>
          <cell r="B1365" t="str">
            <v>Parking Attendants</v>
          </cell>
          <cell r="C1365">
            <v>134650</v>
          </cell>
          <cell r="D1365">
            <v>3</v>
          </cell>
          <cell r="E1365">
            <v>34190</v>
          </cell>
          <cell r="F1365">
            <v>0.6</v>
          </cell>
          <cell r="G1365">
            <v>34600</v>
          </cell>
        </row>
        <row r="1366">
          <cell r="A1366" t="str">
            <v>53-6021</v>
          </cell>
          <cell r="B1366" t="str">
            <v>Parking Attendants</v>
          </cell>
          <cell r="C1366">
            <v>134650</v>
          </cell>
          <cell r="D1366">
            <v>3</v>
          </cell>
          <cell r="E1366">
            <v>34190</v>
          </cell>
          <cell r="F1366">
            <v>0.6</v>
          </cell>
          <cell r="G1366">
            <v>34600</v>
          </cell>
        </row>
        <row r="1367">
          <cell r="A1367" t="str">
            <v>53-6030</v>
          </cell>
          <cell r="B1367" t="str">
            <v>Transportation Service Attendants</v>
          </cell>
          <cell r="C1367">
            <v>125580</v>
          </cell>
          <cell r="D1367">
            <v>1.7</v>
          </cell>
          <cell r="E1367">
            <v>37510</v>
          </cell>
          <cell r="F1367">
            <v>0.4</v>
          </cell>
          <cell r="G1367">
            <v>36000</v>
          </cell>
        </row>
        <row r="1368">
          <cell r="A1368" t="str">
            <v>53-6031</v>
          </cell>
          <cell r="B1368" t="str">
            <v>Automotive and Watercraft Service Attendants</v>
          </cell>
          <cell r="C1368">
            <v>98270</v>
          </cell>
          <cell r="D1368">
            <v>1.9</v>
          </cell>
          <cell r="E1368">
            <v>35800</v>
          </cell>
          <cell r="F1368">
            <v>0.5</v>
          </cell>
          <cell r="G1368">
            <v>34850</v>
          </cell>
        </row>
        <row r="1369">
          <cell r="A1369" t="str">
            <v>53-6032</v>
          </cell>
          <cell r="B1369" t="str">
            <v>Aircraft Service Attendants</v>
          </cell>
          <cell r="C1369">
            <v>27310</v>
          </cell>
          <cell r="D1369">
            <v>4.2</v>
          </cell>
          <cell r="E1369">
            <v>43630</v>
          </cell>
          <cell r="F1369">
            <v>0.7</v>
          </cell>
          <cell r="G1369">
            <v>41540</v>
          </cell>
        </row>
        <row r="1370">
          <cell r="A1370" t="str">
            <v>53-6040</v>
          </cell>
          <cell r="B1370" t="str">
            <v>Traffic Technicians</v>
          </cell>
          <cell r="C1370">
            <v>7580</v>
          </cell>
          <cell r="D1370">
            <v>3.1</v>
          </cell>
          <cell r="E1370">
            <v>61310</v>
          </cell>
          <cell r="F1370">
            <v>0.9</v>
          </cell>
          <cell r="G1370">
            <v>58480</v>
          </cell>
        </row>
        <row r="1371">
          <cell r="A1371" t="str">
            <v>53-6041</v>
          </cell>
          <cell r="B1371" t="str">
            <v>Traffic Technicians</v>
          </cell>
          <cell r="C1371">
            <v>7580</v>
          </cell>
          <cell r="D1371">
            <v>3.1</v>
          </cell>
          <cell r="E1371">
            <v>61310</v>
          </cell>
          <cell r="F1371">
            <v>0.9</v>
          </cell>
          <cell r="G1371">
            <v>58480</v>
          </cell>
        </row>
        <row r="1372">
          <cell r="A1372" t="str">
            <v>53-6050</v>
          </cell>
          <cell r="B1372" t="str">
            <v>Transportation Inspectors</v>
          </cell>
          <cell r="C1372">
            <v>23320</v>
          </cell>
          <cell r="D1372">
            <v>2.5</v>
          </cell>
          <cell r="E1372">
            <v>86490</v>
          </cell>
          <cell r="F1372">
            <v>1.2</v>
          </cell>
          <cell r="G1372">
            <v>85750</v>
          </cell>
        </row>
        <row r="1373">
          <cell r="A1373" t="str">
            <v>53-6051</v>
          </cell>
          <cell r="B1373" t="str">
            <v>Transportation Inspectors</v>
          </cell>
          <cell r="C1373">
            <v>23320</v>
          </cell>
          <cell r="D1373">
            <v>2.5</v>
          </cell>
          <cell r="E1373">
            <v>86490</v>
          </cell>
          <cell r="F1373">
            <v>1.2</v>
          </cell>
          <cell r="G1373">
            <v>85750</v>
          </cell>
        </row>
        <row r="1374">
          <cell r="A1374" t="str">
            <v>53-6060</v>
          </cell>
          <cell r="B1374" t="str">
            <v>Passenger Attendants</v>
          </cell>
          <cell r="C1374">
            <v>25340</v>
          </cell>
          <cell r="D1374">
            <v>3.5</v>
          </cell>
          <cell r="E1374">
            <v>38480</v>
          </cell>
          <cell r="F1374">
            <v>1.3</v>
          </cell>
          <cell r="G1374">
            <v>37560</v>
          </cell>
        </row>
        <row r="1375">
          <cell r="A1375" t="str">
            <v>53-6061</v>
          </cell>
          <cell r="B1375" t="str">
            <v>Passenger Attendants</v>
          </cell>
          <cell r="C1375">
            <v>25340</v>
          </cell>
          <cell r="D1375">
            <v>3.5</v>
          </cell>
          <cell r="E1375">
            <v>38480</v>
          </cell>
          <cell r="F1375">
            <v>1.3</v>
          </cell>
          <cell r="G1375">
            <v>37560</v>
          </cell>
        </row>
        <row r="1376">
          <cell r="A1376" t="str">
            <v>53-6090</v>
          </cell>
          <cell r="B1376" t="str">
            <v>Miscellaneous Transportation Workers</v>
          </cell>
          <cell r="C1376">
            <v>10960</v>
          </cell>
          <cell r="D1376">
            <v>4.7</v>
          </cell>
          <cell r="E1376">
            <v>45040</v>
          </cell>
          <cell r="F1376">
            <v>1.8</v>
          </cell>
          <cell r="G1376">
            <v>39630</v>
          </cell>
        </row>
        <row r="1377">
          <cell r="A1377" t="str">
            <v>53-6099</v>
          </cell>
          <cell r="B1377" t="str">
            <v>Transportation Workers, All Other</v>
          </cell>
          <cell r="C1377">
            <v>10960</v>
          </cell>
          <cell r="D1377">
            <v>4.7</v>
          </cell>
          <cell r="E1377">
            <v>45040</v>
          </cell>
          <cell r="F1377">
            <v>1.8</v>
          </cell>
          <cell r="G1377">
            <v>39630</v>
          </cell>
        </row>
        <row r="1378">
          <cell r="A1378" t="str">
            <v>53-7000</v>
          </cell>
          <cell r="B1378" t="str">
            <v>Material Moving Workers</v>
          </cell>
          <cell r="C1378">
            <v>7871860</v>
          </cell>
          <cell r="D1378">
            <v>0.2</v>
          </cell>
          <cell r="E1378">
            <v>41100</v>
          </cell>
          <cell r="F1378">
            <v>0.2</v>
          </cell>
          <cell r="G1378">
            <v>38340</v>
          </cell>
        </row>
        <row r="1379">
          <cell r="A1379" t="str">
            <v>53-7010</v>
          </cell>
          <cell r="B1379" t="str">
            <v>Conveyor Operators and Tenders</v>
          </cell>
          <cell r="C1379">
            <v>26060</v>
          </cell>
          <cell r="D1379">
            <v>3</v>
          </cell>
          <cell r="E1379">
            <v>44800</v>
          </cell>
          <cell r="F1379">
            <v>0.6</v>
          </cell>
          <cell r="G1379">
            <v>41230</v>
          </cell>
        </row>
        <row r="1380">
          <cell r="A1380" t="str">
            <v>53-7011</v>
          </cell>
          <cell r="B1380" t="str">
            <v>Conveyor Operators and Tenders</v>
          </cell>
          <cell r="C1380">
            <v>26060</v>
          </cell>
          <cell r="D1380">
            <v>3</v>
          </cell>
          <cell r="E1380">
            <v>44800</v>
          </cell>
          <cell r="F1380">
            <v>0.6</v>
          </cell>
          <cell r="G1380">
            <v>41230</v>
          </cell>
        </row>
        <row r="1381">
          <cell r="A1381" t="str">
            <v>53-7020</v>
          </cell>
          <cell r="B1381" t="str">
            <v>Crane and Tower Operators</v>
          </cell>
          <cell r="C1381">
            <v>42000</v>
          </cell>
          <cell r="D1381">
            <v>3.1</v>
          </cell>
          <cell r="E1381">
            <v>71560</v>
          </cell>
          <cell r="F1381">
            <v>1.4</v>
          </cell>
          <cell r="G1381">
            <v>66370</v>
          </cell>
        </row>
        <row r="1382">
          <cell r="A1382" t="str">
            <v>53-7021</v>
          </cell>
          <cell r="B1382" t="str">
            <v>Crane and Tower Operators</v>
          </cell>
          <cell r="C1382">
            <v>42000</v>
          </cell>
          <cell r="D1382">
            <v>3.1</v>
          </cell>
          <cell r="E1382">
            <v>71560</v>
          </cell>
          <cell r="F1382">
            <v>1.4</v>
          </cell>
          <cell r="G1382">
            <v>66370</v>
          </cell>
        </row>
        <row r="1383">
          <cell r="A1383" t="str">
            <v>53-7030</v>
          </cell>
          <cell r="B1383" t="str">
            <v>Dredge Operators</v>
          </cell>
          <cell r="C1383">
            <v>1030</v>
          </cell>
          <cell r="D1383">
            <v>19</v>
          </cell>
          <cell r="E1383">
            <v>55820</v>
          </cell>
          <cell r="F1383">
            <v>3.6</v>
          </cell>
          <cell r="G1383">
            <v>48430</v>
          </cell>
        </row>
        <row r="1384">
          <cell r="A1384" t="str">
            <v>53-7031</v>
          </cell>
          <cell r="B1384" t="str">
            <v>Dredge Operators</v>
          </cell>
          <cell r="C1384">
            <v>1030</v>
          </cell>
          <cell r="D1384">
            <v>19</v>
          </cell>
          <cell r="E1384">
            <v>55820</v>
          </cell>
          <cell r="F1384">
            <v>3.6</v>
          </cell>
          <cell r="G1384">
            <v>48430</v>
          </cell>
        </row>
        <row r="1385">
          <cell r="A1385" t="str">
            <v>53-7040</v>
          </cell>
          <cell r="B1385" t="str">
            <v>Hoist and Winch Operators</v>
          </cell>
          <cell r="C1385">
            <v>2480</v>
          </cell>
          <cell r="D1385">
            <v>7.2</v>
          </cell>
          <cell r="E1385">
            <v>64070</v>
          </cell>
          <cell r="F1385">
            <v>2.9</v>
          </cell>
          <cell r="G1385">
            <v>52310</v>
          </cell>
        </row>
        <row r="1386">
          <cell r="A1386" t="str">
            <v>53-7041</v>
          </cell>
          <cell r="B1386" t="str">
            <v>Hoist and Winch Operators</v>
          </cell>
          <cell r="C1386">
            <v>2480</v>
          </cell>
          <cell r="D1386">
            <v>7.2</v>
          </cell>
          <cell r="E1386">
            <v>64070</v>
          </cell>
          <cell r="F1386">
            <v>2.9</v>
          </cell>
          <cell r="G1386">
            <v>52310</v>
          </cell>
        </row>
        <row r="1387">
          <cell r="A1387" t="str">
            <v>53-7050</v>
          </cell>
          <cell r="B1387" t="str">
            <v>Industrial Truck and Tractor Operators</v>
          </cell>
          <cell r="C1387">
            <v>805770</v>
          </cell>
          <cell r="D1387">
            <v>0.6</v>
          </cell>
          <cell r="E1387">
            <v>47830</v>
          </cell>
          <cell r="F1387">
            <v>0.2</v>
          </cell>
          <cell r="G1387">
            <v>46390</v>
          </cell>
        </row>
        <row r="1388">
          <cell r="A1388" t="str">
            <v>53-7051</v>
          </cell>
          <cell r="B1388" t="str">
            <v>Industrial Truck and Tractor Operators</v>
          </cell>
          <cell r="C1388">
            <v>805770</v>
          </cell>
          <cell r="D1388">
            <v>0.6</v>
          </cell>
          <cell r="E1388">
            <v>47830</v>
          </cell>
          <cell r="F1388">
            <v>0.2</v>
          </cell>
          <cell r="G1388">
            <v>46390</v>
          </cell>
        </row>
        <row r="1389">
          <cell r="A1389" t="str">
            <v>53-7060</v>
          </cell>
          <cell r="B1389" t="str">
            <v>Laborers and Material Movers</v>
          </cell>
          <cell r="C1389">
            <v>6784150</v>
          </cell>
          <cell r="D1389">
            <v>0.2</v>
          </cell>
          <cell r="E1389">
            <v>39690</v>
          </cell>
          <cell r="F1389">
            <v>0.2</v>
          </cell>
          <cell r="G1389">
            <v>37590</v>
          </cell>
        </row>
        <row r="1390">
          <cell r="A1390" t="str">
            <v>53-7061</v>
          </cell>
          <cell r="B1390" t="str">
            <v>Cleaners of Vehicles and Equipment</v>
          </cell>
          <cell r="C1390">
            <v>373960</v>
          </cell>
          <cell r="D1390">
            <v>0.8</v>
          </cell>
          <cell r="E1390">
            <v>36290</v>
          </cell>
          <cell r="F1390">
            <v>0.3</v>
          </cell>
          <cell r="G1390">
            <v>35270</v>
          </cell>
        </row>
        <row r="1391">
          <cell r="A1391" t="str">
            <v>53-7062</v>
          </cell>
          <cell r="B1391" t="str">
            <v>Laborers and Freight, Stock, and Material Movers, Hand</v>
          </cell>
          <cell r="C1391">
            <v>2982530</v>
          </cell>
          <cell r="D1391">
            <v>0.5</v>
          </cell>
          <cell r="E1391">
            <v>41420</v>
          </cell>
          <cell r="F1391">
            <v>0.2</v>
          </cell>
          <cell r="G1391">
            <v>38940</v>
          </cell>
        </row>
        <row r="1392">
          <cell r="A1392" t="str">
            <v>53-7063</v>
          </cell>
          <cell r="B1392" t="str">
            <v>Machine Feeders and Offbearers</v>
          </cell>
          <cell r="C1392">
            <v>46690</v>
          </cell>
          <cell r="D1392">
            <v>1.7</v>
          </cell>
          <cell r="E1392">
            <v>42840</v>
          </cell>
          <cell r="F1392">
            <v>0.3</v>
          </cell>
          <cell r="G1392">
            <v>39700</v>
          </cell>
        </row>
        <row r="1393">
          <cell r="A1393" t="str">
            <v>53-7064</v>
          </cell>
          <cell r="B1393" t="str">
            <v>Packers and Packagers, Hand</v>
          </cell>
          <cell r="C1393">
            <v>601440</v>
          </cell>
          <cell r="D1393">
            <v>0.9</v>
          </cell>
          <cell r="E1393">
            <v>36600</v>
          </cell>
          <cell r="F1393">
            <v>0.2</v>
          </cell>
          <cell r="G1393">
            <v>35580</v>
          </cell>
        </row>
        <row r="1394">
          <cell r="A1394" t="str">
            <v>53-7065</v>
          </cell>
          <cell r="B1394" t="str">
            <v>Stockers and Order Fillers</v>
          </cell>
          <cell r="C1394">
            <v>2779530</v>
          </cell>
          <cell r="D1394">
            <v>0.4</v>
          </cell>
          <cell r="E1394">
            <v>38910</v>
          </cell>
          <cell r="F1394">
            <v>0.2</v>
          </cell>
          <cell r="G1394">
            <v>37090</v>
          </cell>
        </row>
        <row r="1395">
          <cell r="A1395" t="str">
            <v>53-7070</v>
          </cell>
          <cell r="B1395" t="str">
            <v>Pumping Station Operators</v>
          </cell>
          <cell r="C1395">
            <v>35060</v>
          </cell>
          <cell r="D1395">
            <v>5.3</v>
          </cell>
          <cell r="E1395">
            <v>67400</v>
          </cell>
          <cell r="F1395">
            <v>1.4</v>
          </cell>
          <cell r="G1395">
            <v>63940</v>
          </cell>
        </row>
        <row r="1396">
          <cell r="A1396" t="str">
            <v>53-7071</v>
          </cell>
          <cell r="B1396" t="str">
            <v>Gas Compressor and Gas Pumping Station Operators</v>
          </cell>
          <cell r="C1396">
            <v>5110</v>
          </cell>
          <cell r="D1396">
            <v>10.3</v>
          </cell>
          <cell r="E1396">
            <v>71750</v>
          </cell>
          <cell r="F1396">
            <v>2.7</v>
          </cell>
          <cell r="G1396">
            <v>71510</v>
          </cell>
        </row>
        <row r="1397">
          <cell r="A1397" t="str">
            <v>53-7072</v>
          </cell>
          <cell r="B1397" t="str">
            <v>Pump Operators, Except Wellhead Pumpers</v>
          </cell>
          <cell r="C1397">
            <v>12600</v>
          </cell>
          <cell r="D1397">
            <v>6.4</v>
          </cell>
          <cell r="E1397">
            <v>61950</v>
          </cell>
          <cell r="F1397">
            <v>2.2999999999999998</v>
          </cell>
          <cell r="G1397">
            <v>60020</v>
          </cell>
        </row>
        <row r="1398">
          <cell r="A1398" t="str">
            <v>53-7073</v>
          </cell>
          <cell r="B1398" t="str">
            <v>Wellhead Pumpers</v>
          </cell>
          <cell r="C1398">
            <v>17350</v>
          </cell>
          <cell r="D1398">
            <v>8.8000000000000007</v>
          </cell>
          <cell r="E1398">
            <v>70070</v>
          </cell>
          <cell r="F1398">
            <v>1.9</v>
          </cell>
          <cell r="G1398">
            <v>70010</v>
          </cell>
        </row>
        <row r="1399">
          <cell r="A1399" t="str">
            <v>53-7080</v>
          </cell>
          <cell r="B1399" t="str">
            <v>Refuse and Recyclable Material Collectors</v>
          </cell>
          <cell r="C1399">
            <v>139180</v>
          </cell>
          <cell r="D1399">
            <v>1.6</v>
          </cell>
          <cell r="E1399">
            <v>51210</v>
          </cell>
          <cell r="F1399">
            <v>0.5</v>
          </cell>
          <cell r="G1399">
            <v>48350</v>
          </cell>
        </row>
        <row r="1400">
          <cell r="A1400" t="str">
            <v>53-7081</v>
          </cell>
          <cell r="B1400" t="str">
            <v>Refuse and Recyclable Material Collectors</v>
          </cell>
          <cell r="C1400">
            <v>139180</v>
          </cell>
          <cell r="D1400">
            <v>1.6</v>
          </cell>
          <cell r="E1400">
            <v>51210</v>
          </cell>
          <cell r="F1400">
            <v>0.5</v>
          </cell>
          <cell r="G1400">
            <v>48350</v>
          </cell>
        </row>
        <row r="1401">
          <cell r="A1401" t="str">
            <v>53-7120</v>
          </cell>
          <cell r="B1401" t="str">
            <v>Tank Car, Truck, and Ship Loaders</v>
          </cell>
          <cell r="C1401">
            <v>10920</v>
          </cell>
          <cell r="D1401">
            <v>7.6</v>
          </cell>
          <cell r="E1401">
            <v>60010</v>
          </cell>
          <cell r="F1401">
            <v>1.9</v>
          </cell>
          <cell r="G1401">
            <v>58070</v>
          </cell>
        </row>
        <row r="1402">
          <cell r="A1402" t="str">
            <v>53-7121</v>
          </cell>
          <cell r="B1402" t="str">
            <v>Tank Car, Truck, and Ship Loaders</v>
          </cell>
          <cell r="C1402">
            <v>10920</v>
          </cell>
          <cell r="D1402">
            <v>7.6</v>
          </cell>
          <cell r="E1402">
            <v>60010</v>
          </cell>
          <cell r="F1402">
            <v>1.9</v>
          </cell>
          <cell r="G1402">
            <v>58070</v>
          </cell>
        </row>
        <row r="1403">
          <cell r="A1403" t="str">
            <v>53-7190</v>
          </cell>
          <cell r="B1403" t="str">
            <v>Miscellaneous Material Moving Workers</v>
          </cell>
          <cell r="C1403">
            <v>25190</v>
          </cell>
          <cell r="D1403">
            <v>4.4000000000000004</v>
          </cell>
          <cell r="E1403">
            <v>46650</v>
          </cell>
          <cell r="F1403">
            <v>1</v>
          </cell>
          <cell r="G1403">
            <v>41690</v>
          </cell>
        </row>
        <row r="1404">
          <cell r="A1404" t="str">
            <v>53-7199</v>
          </cell>
          <cell r="B1404" t="str">
            <v>Material Moving Workers, All Other</v>
          </cell>
          <cell r="C1404">
            <v>25190</v>
          </cell>
          <cell r="D1404">
            <v>4.4000000000000004</v>
          </cell>
          <cell r="E1404">
            <v>46650</v>
          </cell>
          <cell r="F1404">
            <v>1</v>
          </cell>
          <cell r="G1404">
            <v>41690</v>
          </cell>
        </row>
      </sheetData>
      <sheetData sheetId="4">
        <row r="1">
          <cell r="A1" t="str">
            <v>OCC_CODE</v>
          </cell>
          <cell r="B1" t="str">
            <v>OCC_TITLE</v>
          </cell>
          <cell r="C1" t="str">
            <v>O_GROUP</v>
          </cell>
          <cell r="D1" t="str">
            <v>TOT_EMP</v>
          </cell>
          <cell r="E1" t="str">
            <v>EMP_PRSE</v>
          </cell>
          <cell r="F1" t="str">
            <v>A_MEAN</v>
          </cell>
          <cell r="G1" t="str">
            <v>MEAN_PRSE</v>
          </cell>
          <cell r="H1" t="str">
            <v>A_MEDIAN</v>
          </cell>
        </row>
        <row r="2">
          <cell r="A2" t="str">
            <v>51-7032</v>
          </cell>
          <cell r="B2" t="str">
            <v>Patternmakers, Wood</v>
          </cell>
          <cell r="C2" t="str">
            <v>detailed</v>
          </cell>
          <cell r="D2">
            <v>220</v>
          </cell>
          <cell r="E2">
            <v>25.7</v>
          </cell>
          <cell r="F2">
            <v>54240</v>
          </cell>
          <cell r="G2">
            <v>6.3</v>
          </cell>
          <cell r="H2">
            <v>49630</v>
          </cell>
        </row>
        <row r="3">
          <cell r="A3" t="str">
            <v>51-2060</v>
          </cell>
          <cell r="B3" t="str">
            <v>Timing Device Assemblers and Adjusters</v>
          </cell>
          <cell r="C3" t="str">
            <v>broad</v>
          </cell>
          <cell r="D3">
            <v>250</v>
          </cell>
          <cell r="E3">
            <v>35</v>
          </cell>
          <cell r="F3">
            <v>56720</v>
          </cell>
          <cell r="G3">
            <v>13.9</v>
          </cell>
          <cell r="H3">
            <v>62620</v>
          </cell>
        </row>
        <row r="4">
          <cell r="A4" t="str">
            <v>51-2061</v>
          </cell>
          <cell r="B4" t="str">
            <v>Timing Device Assemblers and Adjusters</v>
          </cell>
          <cell r="C4" t="str">
            <v>detailed</v>
          </cell>
          <cell r="D4">
            <v>250</v>
          </cell>
          <cell r="E4">
            <v>35</v>
          </cell>
          <cell r="F4">
            <v>56720</v>
          </cell>
          <cell r="G4">
            <v>13.9</v>
          </cell>
          <cell r="H4">
            <v>62620</v>
          </cell>
        </row>
        <row r="5">
          <cell r="A5" t="str">
            <v>51-7031</v>
          </cell>
          <cell r="B5" t="str">
            <v>Model Makers, Wood</v>
          </cell>
          <cell r="C5" t="str">
            <v>detailed</v>
          </cell>
          <cell r="D5">
            <v>280</v>
          </cell>
          <cell r="E5">
            <v>20.6</v>
          </cell>
          <cell r="F5">
            <v>63670</v>
          </cell>
          <cell r="G5">
            <v>7.6</v>
          </cell>
          <cell r="H5">
            <v>56550</v>
          </cell>
        </row>
        <row r="6">
          <cell r="A6" t="str">
            <v>13-1074</v>
          </cell>
          <cell r="B6" t="str">
            <v>Farm Labor Contractors</v>
          </cell>
          <cell r="C6" t="str">
            <v>detailed</v>
          </cell>
          <cell r="D6">
            <v>310</v>
          </cell>
          <cell r="E6">
            <v>28.4</v>
          </cell>
          <cell r="F6">
            <v>58470</v>
          </cell>
          <cell r="G6">
            <v>9.8000000000000007</v>
          </cell>
          <cell r="H6">
            <v>58460</v>
          </cell>
        </row>
        <row r="7">
          <cell r="A7" t="str">
            <v>51-7030</v>
          </cell>
          <cell r="B7" t="str">
            <v>Model Makers and Patternmakers, Wood</v>
          </cell>
          <cell r="C7" t="str">
            <v>broad</v>
          </cell>
          <cell r="D7">
            <v>500</v>
          </cell>
          <cell r="E7">
            <v>16.7</v>
          </cell>
          <cell r="F7">
            <v>59450</v>
          </cell>
          <cell r="G7">
            <v>5</v>
          </cell>
          <cell r="H7">
            <v>51110</v>
          </cell>
        </row>
        <row r="8">
          <cell r="A8" t="str">
            <v>19-3032</v>
          </cell>
          <cell r="B8" t="str">
            <v>Industrial-Organizational Psychologists</v>
          </cell>
          <cell r="C8" t="str">
            <v>detailed</v>
          </cell>
          <cell r="D8">
            <v>790</v>
          </cell>
          <cell r="E8">
            <v>16.899999999999999</v>
          </cell>
          <cell r="F8">
            <v>170230</v>
          </cell>
          <cell r="G8">
            <v>8.1</v>
          </cell>
          <cell r="H8">
            <v>193950</v>
          </cell>
        </row>
        <row r="9">
          <cell r="A9" t="str">
            <v>29-1024</v>
          </cell>
          <cell r="B9" t="str">
            <v>Prosthodontists</v>
          </cell>
          <cell r="C9" t="str">
            <v>detailed</v>
          </cell>
          <cell r="D9">
            <v>870</v>
          </cell>
          <cell r="E9">
            <v>27.6</v>
          </cell>
          <cell r="F9">
            <v>268630</v>
          </cell>
          <cell r="G9">
            <v>8.5</v>
          </cell>
          <cell r="H9">
            <v>311180</v>
          </cell>
        </row>
        <row r="10">
          <cell r="A10" t="str">
            <v>53-7030</v>
          </cell>
          <cell r="B10" t="str">
            <v>Dredge Operators</v>
          </cell>
          <cell r="C10" t="str">
            <v>broad</v>
          </cell>
          <cell r="D10">
            <v>1040</v>
          </cell>
          <cell r="E10">
            <v>20.100000000000001</v>
          </cell>
          <cell r="F10">
            <v>56120</v>
          </cell>
          <cell r="G10">
            <v>3.5</v>
          </cell>
          <cell r="H10">
            <v>49640</v>
          </cell>
        </row>
        <row r="11">
          <cell r="A11" t="str">
            <v>53-7031</v>
          </cell>
          <cell r="B11" t="str">
            <v>Dredge Operators</v>
          </cell>
          <cell r="C11" t="str">
            <v>detailed</v>
          </cell>
          <cell r="D11">
            <v>1040</v>
          </cell>
          <cell r="E11">
            <v>20.100000000000001</v>
          </cell>
          <cell r="F11">
            <v>56120</v>
          </cell>
          <cell r="G11">
            <v>3.5</v>
          </cell>
          <cell r="H11">
            <v>49640</v>
          </cell>
        </row>
        <row r="12">
          <cell r="A12" t="str">
            <v>49-9045</v>
          </cell>
          <cell r="B12" t="str">
            <v>Refractory Materials Repairers, Except Brickmasons</v>
          </cell>
          <cell r="C12" t="str">
            <v>detailed</v>
          </cell>
          <cell r="D12">
            <v>1080</v>
          </cell>
          <cell r="E12">
            <v>12.8</v>
          </cell>
          <cell r="F12">
            <v>63770</v>
          </cell>
          <cell r="G12">
            <v>3.5</v>
          </cell>
          <cell r="H12">
            <v>61290</v>
          </cell>
        </row>
        <row r="13">
          <cell r="A13" t="str">
            <v>35-2013</v>
          </cell>
          <cell r="B13" t="str">
            <v>Cooks, Private Household</v>
          </cell>
          <cell r="C13" t="str">
            <v>detailed</v>
          </cell>
          <cell r="D13">
            <v>1100</v>
          </cell>
          <cell r="E13">
            <v>24.4</v>
          </cell>
          <cell r="F13">
            <v>53680</v>
          </cell>
          <cell r="G13">
            <v>7</v>
          </cell>
          <cell r="H13">
            <v>47940</v>
          </cell>
        </row>
        <row r="14">
          <cell r="A14" t="str">
            <v>53-4090</v>
          </cell>
          <cell r="B14" t="str">
            <v>Miscellaneous Rail Transportation Workers</v>
          </cell>
          <cell r="C14" t="str">
            <v>broad</v>
          </cell>
          <cell r="D14">
            <v>1120</v>
          </cell>
          <cell r="E14">
            <v>13.3</v>
          </cell>
          <cell r="F14">
            <v>60140</v>
          </cell>
          <cell r="G14">
            <v>3.4</v>
          </cell>
          <cell r="H14">
            <v>56360</v>
          </cell>
        </row>
        <row r="15">
          <cell r="A15" t="str">
            <v>53-4099</v>
          </cell>
          <cell r="B15" t="str">
            <v>Rail Transportation Workers, All Other</v>
          </cell>
          <cell r="C15" t="str">
            <v>detailed</v>
          </cell>
          <cell r="D15">
            <v>1120</v>
          </cell>
          <cell r="E15">
            <v>13.3</v>
          </cell>
          <cell r="F15">
            <v>60140</v>
          </cell>
          <cell r="G15">
            <v>3.4</v>
          </cell>
          <cell r="H15">
            <v>56360</v>
          </cell>
        </row>
        <row r="16">
          <cell r="A16" t="str">
            <v>47-2053</v>
          </cell>
          <cell r="B16" t="str">
            <v>Terrazzo Workers and Finishers</v>
          </cell>
          <cell r="C16" t="str">
            <v>detailed</v>
          </cell>
          <cell r="D16">
            <v>1180</v>
          </cell>
          <cell r="E16">
            <v>30</v>
          </cell>
          <cell r="F16">
            <v>84920</v>
          </cell>
          <cell r="G16">
            <v>13.7</v>
          </cell>
          <cell r="H16">
            <v>76170</v>
          </cell>
        </row>
        <row r="17">
          <cell r="A17" t="str">
            <v>29-1243</v>
          </cell>
          <cell r="B17" t="str">
            <v>Pediatric Surgeons</v>
          </cell>
          <cell r="C17" t="str">
            <v>detailed</v>
          </cell>
          <cell r="D17">
            <v>1190</v>
          </cell>
          <cell r="E17">
            <v>33.700000000000003</v>
          </cell>
          <cell r="F17">
            <v>502050</v>
          </cell>
          <cell r="G17">
            <v>5.0999999999999996</v>
          </cell>
          <cell r="H17">
            <v>559030</v>
          </cell>
        </row>
        <row r="18">
          <cell r="A18" t="str">
            <v>43-2090</v>
          </cell>
          <cell r="B18" t="str">
            <v>Miscellaneous Communications Equipment Operators</v>
          </cell>
          <cell r="C18" t="str">
            <v>broad</v>
          </cell>
          <cell r="D18">
            <v>1200</v>
          </cell>
          <cell r="E18">
            <v>15</v>
          </cell>
          <cell r="F18">
            <v>62130</v>
          </cell>
          <cell r="G18">
            <v>1.8</v>
          </cell>
          <cell r="H18">
            <v>54680</v>
          </cell>
        </row>
        <row r="19">
          <cell r="A19" t="str">
            <v>43-2099</v>
          </cell>
          <cell r="B19" t="str">
            <v>Communications Equipment Operators, All Other</v>
          </cell>
          <cell r="C19" t="str">
            <v>detailed</v>
          </cell>
          <cell r="D19">
            <v>1200</v>
          </cell>
          <cell r="E19">
            <v>15</v>
          </cell>
          <cell r="F19">
            <v>62130</v>
          </cell>
          <cell r="G19">
            <v>1.8</v>
          </cell>
          <cell r="H19">
            <v>54680</v>
          </cell>
        </row>
        <row r="20">
          <cell r="A20" t="str">
            <v>49-9064</v>
          </cell>
          <cell r="B20" t="str">
            <v>Watch and Clock Repairers</v>
          </cell>
          <cell r="C20" t="str">
            <v>detailed</v>
          </cell>
          <cell r="D20">
            <v>1310</v>
          </cell>
          <cell r="E20">
            <v>20.5</v>
          </cell>
          <cell r="F20">
            <v>70840</v>
          </cell>
          <cell r="G20">
            <v>4.8</v>
          </cell>
          <cell r="H20">
            <v>67230</v>
          </cell>
        </row>
        <row r="21">
          <cell r="A21" t="str">
            <v>45-2020</v>
          </cell>
          <cell r="B21" t="str">
            <v>Animal Breeders</v>
          </cell>
          <cell r="C21" t="str">
            <v>broad</v>
          </cell>
          <cell r="D21">
            <v>1330</v>
          </cell>
          <cell r="E21">
            <v>14.9</v>
          </cell>
          <cell r="F21">
            <v>57010</v>
          </cell>
          <cell r="G21">
            <v>4.2</v>
          </cell>
          <cell r="H21">
            <v>51130</v>
          </cell>
        </row>
        <row r="22">
          <cell r="A22" t="str">
            <v>45-2021</v>
          </cell>
          <cell r="B22" t="str">
            <v>Animal Breeders</v>
          </cell>
          <cell r="C22" t="str">
            <v>detailed</v>
          </cell>
          <cell r="D22">
            <v>1330</v>
          </cell>
          <cell r="E22">
            <v>14.9</v>
          </cell>
          <cell r="F22">
            <v>57010</v>
          </cell>
          <cell r="G22">
            <v>4.2</v>
          </cell>
          <cell r="H22">
            <v>51130</v>
          </cell>
        </row>
        <row r="23">
          <cell r="A23" t="str">
            <v>19-3092</v>
          </cell>
          <cell r="B23" t="str">
            <v>Geographers</v>
          </cell>
          <cell r="C23" t="str">
            <v>detailed</v>
          </cell>
          <cell r="D23">
            <v>1400</v>
          </cell>
          <cell r="E23">
            <v>4.0999999999999996</v>
          </cell>
          <cell r="F23">
            <v>102350</v>
          </cell>
          <cell r="G23">
            <v>0.9</v>
          </cell>
          <cell r="H23">
            <v>102040</v>
          </cell>
        </row>
        <row r="24">
          <cell r="A24" t="str">
            <v>51-4062</v>
          </cell>
          <cell r="B24" t="str">
            <v>Patternmakers, Metal and Plastic</v>
          </cell>
          <cell r="C24" t="str">
            <v>detailed</v>
          </cell>
          <cell r="D24">
            <v>1470</v>
          </cell>
          <cell r="E24">
            <v>6.8</v>
          </cell>
          <cell r="F24">
            <v>60610</v>
          </cell>
          <cell r="G24">
            <v>1.5</v>
          </cell>
          <cell r="H24">
            <v>58000</v>
          </cell>
        </row>
        <row r="25">
          <cell r="A25" t="str">
            <v>17-2020</v>
          </cell>
          <cell r="B25" t="str">
            <v>Agricultural Engineers</v>
          </cell>
          <cell r="C25" t="str">
            <v>broad</v>
          </cell>
          <cell r="D25">
            <v>1480</v>
          </cell>
          <cell r="E25">
            <v>11.8</v>
          </cell>
          <cell r="F25">
            <v>108230</v>
          </cell>
          <cell r="G25">
            <v>4.3</v>
          </cell>
          <cell r="H25">
            <v>98590</v>
          </cell>
        </row>
        <row r="26">
          <cell r="A26" t="str">
            <v>17-2021</v>
          </cell>
          <cell r="B26" t="str">
            <v>Agricultural Engineers</v>
          </cell>
          <cell r="C26" t="str">
            <v>detailed</v>
          </cell>
          <cell r="D26">
            <v>1480</v>
          </cell>
          <cell r="E26">
            <v>11.8</v>
          </cell>
          <cell r="F26">
            <v>108230</v>
          </cell>
          <cell r="G26">
            <v>4.3</v>
          </cell>
          <cell r="H26">
            <v>98590</v>
          </cell>
        </row>
        <row r="27">
          <cell r="A27" t="str">
            <v>39-3020</v>
          </cell>
          <cell r="B27" t="str">
            <v>Motion Picture Projectionists</v>
          </cell>
          <cell r="C27" t="str">
            <v>broad</v>
          </cell>
          <cell r="D27">
            <v>1480</v>
          </cell>
          <cell r="E27">
            <v>9.3000000000000007</v>
          </cell>
          <cell r="F27">
            <v>51480</v>
          </cell>
          <cell r="G27">
            <v>6.5</v>
          </cell>
          <cell r="H27">
            <v>38270</v>
          </cell>
        </row>
        <row r="28">
          <cell r="A28" t="str">
            <v>39-3021</v>
          </cell>
          <cell r="B28" t="str">
            <v>Motion Picture Projectionists</v>
          </cell>
          <cell r="C28" t="str">
            <v>detailed</v>
          </cell>
          <cell r="D28">
            <v>1480</v>
          </cell>
          <cell r="E28">
            <v>9.3000000000000007</v>
          </cell>
          <cell r="F28">
            <v>51480</v>
          </cell>
          <cell r="G28">
            <v>6.5</v>
          </cell>
          <cell r="H28">
            <v>38270</v>
          </cell>
        </row>
        <row r="29">
          <cell r="A29" t="str">
            <v>25-1043</v>
          </cell>
          <cell r="B29" t="str">
            <v>Forestry and Conservation Science Teachers, Postsecondary</v>
          </cell>
          <cell r="C29" t="str">
            <v>detailed</v>
          </cell>
          <cell r="D29">
            <v>1520</v>
          </cell>
          <cell r="E29">
            <v>6.5</v>
          </cell>
          <cell r="F29">
            <v>102450</v>
          </cell>
          <cell r="G29">
            <v>1.5</v>
          </cell>
          <cell r="H29">
            <v>101420</v>
          </cell>
        </row>
        <row r="30">
          <cell r="A30" t="str">
            <v>47-2142</v>
          </cell>
          <cell r="B30" t="str">
            <v>Paperhangers</v>
          </cell>
          <cell r="C30" t="str">
            <v>detailed</v>
          </cell>
          <cell r="D30">
            <v>1570</v>
          </cell>
          <cell r="E30">
            <v>11.3</v>
          </cell>
          <cell r="F30">
            <v>53730</v>
          </cell>
          <cell r="G30">
            <v>2.6</v>
          </cell>
          <cell r="H30">
            <v>52140</v>
          </cell>
        </row>
        <row r="31">
          <cell r="A31" t="str">
            <v>49-9061</v>
          </cell>
          <cell r="B31" t="str">
            <v>Camera and Photographic Equipment Repairers</v>
          </cell>
          <cell r="C31" t="str">
            <v>detailed</v>
          </cell>
          <cell r="D31">
            <v>1650</v>
          </cell>
          <cell r="E31">
            <v>17.100000000000001</v>
          </cell>
          <cell r="F31">
            <v>56040</v>
          </cell>
          <cell r="G31">
            <v>4.0999999999999996</v>
          </cell>
          <cell r="H31">
            <v>52720</v>
          </cell>
        </row>
        <row r="32">
          <cell r="A32" t="str">
            <v>45-4029</v>
          </cell>
          <cell r="B32" t="str">
            <v>Logging Workers, All Other</v>
          </cell>
          <cell r="C32" t="str">
            <v>detailed</v>
          </cell>
          <cell r="D32">
            <v>1700</v>
          </cell>
          <cell r="E32">
            <v>9.6999999999999993</v>
          </cell>
          <cell r="F32">
            <v>52910</v>
          </cell>
          <cell r="G32">
            <v>2</v>
          </cell>
          <cell r="H32">
            <v>50840</v>
          </cell>
        </row>
        <row r="33">
          <cell r="A33" t="str">
            <v>15-2020</v>
          </cell>
          <cell r="B33" t="str">
            <v>Mathematicians</v>
          </cell>
          <cell r="C33" t="str">
            <v>broad</v>
          </cell>
          <cell r="D33">
            <v>2030</v>
          </cell>
          <cell r="E33">
            <v>2.5</v>
          </cell>
          <cell r="F33">
            <v>129260</v>
          </cell>
          <cell r="G33">
            <v>1</v>
          </cell>
          <cell r="H33">
            <v>126710</v>
          </cell>
        </row>
        <row r="34">
          <cell r="A34" t="str">
            <v>15-2021</v>
          </cell>
          <cell r="B34" t="str">
            <v>Mathematicians</v>
          </cell>
          <cell r="C34" t="str">
            <v>detailed</v>
          </cell>
          <cell r="D34">
            <v>2030</v>
          </cell>
          <cell r="E34">
            <v>2.5</v>
          </cell>
          <cell r="F34">
            <v>129260</v>
          </cell>
          <cell r="G34">
            <v>1</v>
          </cell>
          <cell r="H34">
            <v>126710</v>
          </cell>
        </row>
        <row r="35">
          <cell r="A35" t="str">
            <v>19-2011</v>
          </cell>
          <cell r="B35" t="str">
            <v>Astronomers</v>
          </cell>
          <cell r="C35" t="str">
            <v>detailed</v>
          </cell>
          <cell r="D35">
            <v>2120</v>
          </cell>
          <cell r="E35">
            <v>7.3</v>
          </cell>
          <cell r="F35">
            <v>132920</v>
          </cell>
          <cell r="G35">
            <v>0.7</v>
          </cell>
          <cell r="H35">
            <v>128820</v>
          </cell>
        </row>
        <row r="36">
          <cell r="A36" t="str">
            <v>47-5043</v>
          </cell>
          <cell r="B36" t="str">
            <v>Roof Bolters, Mining</v>
          </cell>
          <cell r="C36" t="str">
            <v>detailed</v>
          </cell>
          <cell r="D36">
            <v>2160</v>
          </cell>
          <cell r="E36">
            <v>3.3</v>
          </cell>
          <cell r="F36">
            <v>78100</v>
          </cell>
          <cell r="G36">
            <v>0.7</v>
          </cell>
          <cell r="H36">
            <v>78540</v>
          </cell>
        </row>
        <row r="37">
          <cell r="A37" t="str">
            <v>51-6051</v>
          </cell>
          <cell r="B37" t="str">
            <v>Sewers, Hand</v>
          </cell>
          <cell r="C37" t="str">
            <v>detailed</v>
          </cell>
          <cell r="D37">
            <v>2190</v>
          </cell>
          <cell r="E37">
            <v>11</v>
          </cell>
          <cell r="F37">
            <v>37210</v>
          </cell>
          <cell r="G37">
            <v>2.1</v>
          </cell>
          <cell r="H37">
            <v>36480</v>
          </cell>
        </row>
        <row r="38">
          <cell r="A38" t="str">
            <v>19-3040</v>
          </cell>
          <cell r="B38" t="str">
            <v>Sociologists</v>
          </cell>
          <cell r="C38" t="str">
            <v>broad</v>
          </cell>
          <cell r="D38">
            <v>2260</v>
          </cell>
          <cell r="E38">
            <v>7.9</v>
          </cell>
          <cell r="F38">
            <v>114920</v>
          </cell>
          <cell r="G38">
            <v>2.4</v>
          </cell>
          <cell r="H38">
            <v>106030</v>
          </cell>
        </row>
        <row r="39">
          <cell r="A39" t="str">
            <v>19-3041</v>
          </cell>
          <cell r="B39" t="str">
            <v>Sociologists</v>
          </cell>
          <cell r="C39" t="str">
            <v>detailed</v>
          </cell>
          <cell r="D39">
            <v>2260</v>
          </cell>
          <cell r="E39">
            <v>7.9</v>
          </cell>
          <cell r="F39">
            <v>114920</v>
          </cell>
          <cell r="G39">
            <v>2.4</v>
          </cell>
          <cell r="H39">
            <v>106030</v>
          </cell>
        </row>
        <row r="40">
          <cell r="A40" t="str">
            <v>47-2072</v>
          </cell>
          <cell r="B40" t="str">
            <v>Pile Driver Operators</v>
          </cell>
          <cell r="C40" t="str">
            <v>detailed</v>
          </cell>
          <cell r="D40">
            <v>2310</v>
          </cell>
          <cell r="E40">
            <v>8.5</v>
          </cell>
          <cell r="F40">
            <v>80710</v>
          </cell>
          <cell r="G40">
            <v>2.8</v>
          </cell>
          <cell r="H40">
            <v>73300</v>
          </cell>
        </row>
        <row r="41">
          <cell r="A41" t="str">
            <v>39-5091</v>
          </cell>
          <cell r="B41" t="str">
            <v>Makeup Artists, Theatrical and Performance</v>
          </cell>
          <cell r="C41" t="str">
            <v>detailed</v>
          </cell>
          <cell r="D41">
            <v>2340</v>
          </cell>
          <cell r="E41">
            <v>13.9</v>
          </cell>
          <cell r="F41">
            <v>102240</v>
          </cell>
          <cell r="G41">
            <v>9.6999999999999993</v>
          </cell>
          <cell r="H41">
            <v>97150</v>
          </cell>
        </row>
        <row r="42">
          <cell r="A42" t="str">
            <v>53-5022</v>
          </cell>
          <cell r="B42" t="str">
            <v>Motorboat Operators</v>
          </cell>
          <cell r="C42" t="str">
            <v>detailed</v>
          </cell>
          <cell r="D42">
            <v>2480</v>
          </cell>
          <cell r="E42">
            <v>11.9</v>
          </cell>
          <cell r="F42">
            <v>56270</v>
          </cell>
          <cell r="G42">
            <v>4.0999999999999996</v>
          </cell>
          <cell r="H42">
            <v>47520</v>
          </cell>
        </row>
        <row r="43">
          <cell r="A43" t="str">
            <v>53-7040</v>
          </cell>
          <cell r="B43" t="str">
            <v>Hoist and Winch Operators</v>
          </cell>
          <cell r="C43" t="str">
            <v>broad</v>
          </cell>
          <cell r="D43">
            <v>2600</v>
          </cell>
          <cell r="E43">
            <v>8.3000000000000007</v>
          </cell>
          <cell r="F43">
            <v>67710</v>
          </cell>
          <cell r="G43">
            <v>3.5</v>
          </cell>
          <cell r="H43">
            <v>56450</v>
          </cell>
        </row>
        <row r="44">
          <cell r="A44" t="str">
            <v>53-7041</v>
          </cell>
          <cell r="B44" t="str">
            <v>Hoist and Winch Operators</v>
          </cell>
          <cell r="C44" t="str">
            <v>detailed</v>
          </cell>
          <cell r="D44">
            <v>2600</v>
          </cell>
          <cell r="E44">
            <v>8.3000000000000007</v>
          </cell>
          <cell r="F44">
            <v>67710</v>
          </cell>
          <cell r="G44">
            <v>3.5</v>
          </cell>
          <cell r="H44">
            <v>56450</v>
          </cell>
        </row>
        <row r="45">
          <cell r="A45" t="str">
            <v>51-4061</v>
          </cell>
          <cell r="B45" t="str">
            <v>Model Makers, Metal and Plastic</v>
          </cell>
          <cell r="C45" t="str">
            <v>detailed</v>
          </cell>
          <cell r="D45">
            <v>2610</v>
          </cell>
          <cell r="E45">
            <v>6.9</v>
          </cell>
          <cell r="F45">
            <v>68570</v>
          </cell>
          <cell r="G45">
            <v>2.2000000000000002</v>
          </cell>
          <cell r="H45">
            <v>63340</v>
          </cell>
        </row>
        <row r="46">
          <cell r="A46" t="str">
            <v>41-9091</v>
          </cell>
          <cell r="B46" t="str">
            <v>Door-to-Door Sales Workers, News and Street Vendors, and Related Workers</v>
          </cell>
          <cell r="C46" t="str">
            <v>detailed</v>
          </cell>
          <cell r="D46">
            <v>2760</v>
          </cell>
          <cell r="E46">
            <v>11.9</v>
          </cell>
          <cell r="F46">
            <v>43850</v>
          </cell>
          <cell r="G46">
            <v>4</v>
          </cell>
          <cell r="H46">
            <v>41380</v>
          </cell>
        </row>
        <row r="47">
          <cell r="A47" t="str">
            <v>25-1192</v>
          </cell>
          <cell r="B47" t="str">
            <v>Family and Consumer Sciences Teachers, Postsecondary</v>
          </cell>
          <cell r="C47" t="str">
            <v>detailed</v>
          </cell>
          <cell r="D47">
            <v>2770</v>
          </cell>
          <cell r="E47">
            <v>1.4</v>
          </cell>
          <cell r="F47">
            <v>81940</v>
          </cell>
          <cell r="G47">
            <v>0.7</v>
          </cell>
          <cell r="H47">
            <v>75870</v>
          </cell>
        </row>
        <row r="48">
          <cell r="A48" t="str">
            <v>33-2022</v>
          </cell>
          <cell r="B48" t="str">
            <v>Forest Fire Inspectors and Prevention Specialists</v>
          </cell>
          <cell r="C48" t="str">
            <v>detailed</v>
          </cell>
          <cell r="D48">
            <v>2780</v>
          </cell>
          <cell r="E48">
            <v>7.5</v>
          </cell>
          <cell r="F48">
            <v>66640</v>
          </cell>
          <cell r="G48">
            <v>3.7</v>
          </cell>
          <cell r="H48">
            <v>56870</v>
          </cell>
        </row>
        <row r="49">
          <cell r="A49" t="str">
            <v>19-4044</v>
          </cell>
          <cell r="B49" t="str">
            <v>Hydrologic Technicians</v>
          </cell>
          <cell r="C49" t="str">
            <v>detailed</v>
          </cell>
          <cell r="D49">
            <v>2840</v>
          </cell>
          <cell r="E49">
            <v>6.3</v>
          </cell>
          <cell r="F49">
            <v>69530</v>
          </cell>
          <cell r="G49">
            <v>2.5</v>
          </cell>
          <cell r="H49">
            <v>64790</v>
          </cell>
        </row>
        <row r="50">
          <cell r="A50" t="str">
            <v>27-2032</v>
          </cell>
          <cell r="B50" t="str">
            <v>Choreographers</v>
          </cell>
          <cell r="C50" t="str">
            <v>detailed</v>
          </cell>
          <cell r="D50">
            <v>2860</v>
          </cell>
          <cell r="E50">
            <v>8.9</v>
          </cell>
          <cell r="F50">
            <v>73100</v>
          </cell>
          <cell r="G50">
            <v>4.5</v>
          </cell>
          <cell r="H50">
            <v>55310</v>
          </cell>
        </row>
        <row r="51">
          <cell r="A51" t="str">
            <v>51-6092</v>
          </cell>
          <cell r="B51" t="str">
            <v>Fabric and Apparel Patternmakers</v>
          </cell>
          <cell r="C51" t="str">
            <v>detailed</v>
          </cell>
          <cell r="D51">
            <v>2950</v>
          </cell>
          <cell r="E51">
            <v>10</v>
          </cell>
          <cell r="F51">
            <v>71420</v>
          </cell>
          <cell r="G51">
            <v>4.3</v>
          </cell>
          <cell r="H51">
            <v>62750</v>
          </cell>
        </row>
        <row r="52">
          <cell r="A52" t="str">
            <v>39-4012</v>
          </cell>
          <cell r="B52" t="str">
            <v>Crematory Operators</v>
          </cell>
          <cell r="C52" t="str">
            <v>detailed</v>
          </cell>
          <cell r="D52">
            <v>2970</v>
          </cell>
          <cell r="E52">
            <v>5.9</v>
          </cell>
          <cell r="F52">
            <v>45670</v>
          </cell>
          <cell r="G52">
            <v>1.5</v>
          </cell>
          <cell r="H52">
            <v>43650</v>
          </cell>
        </row>
        <row r="53">
          <cell r="A53" t="str">
            <v>49-9095</v>
          </cell>
          <cell r="B53" t="str">
            <v>Manufactured Building and Mobile Home Installers</v>
          </cell>
          <cell r="C53" t="str">
            <v>detailed</v>
          </cell>
          <cell r="D53">
            <v>3020</v>
          </cell>
          <cell r="E53">
            <v>13.2</v>
          </cell>
          <cell r="F53">
            <v>45410</v>
          </cell>
          <cell r="G53">
            <v>3.8</v>
          </cell>
          <cell r="H53">
            <v>45990</v>
          </cell>
        </row>
        <row r="54">
          <cell r="A54" t="str">
            <v>53-6010</v>
          </cell>
          <cell r="B54" t="str">
            <v>Bridge and Lock Tenders</v>
          </cell>
          <cell r="C54" t="str">
            <v>broad</v>
          </cell>
          <cell r="D54">
            <v>3040</v>
          </cell>
          <cell r="E54">
            <v>1.8</v>
          </cell>
          <cell r="F54">
            <v>55370</v>
          </cell>
          <cell r="G54">
            <v>0.6</v>
          </cell>
          <cell r="H54">
            <v>57700</v>
          </cell>
        </row>
        <row r="55">
          <cell r="A55" t="str">
            <v>53-6011</v>
          </cell>
          <cell r="B55" t="str">
            <v>Bridge and Lock Tenders</v>
          </cell>
          <cell r="C55" t="str">
            <v>detailed</v>
          </cell>
          <cell r="D55">
            <v>3040</v>
          </cell>
          <cell r="E55">
            <v>1.8</v>
          </cell>
          <cell r="F55">
            <v>55370</v>
          </cell>
          <cell r="G55">
            <v>0.6</v>
          </cell>
          <cell r="H55">
            <v>57700</v>
          </cell>
        </row>
        <row r="56">
          <cell r="A56" t="str">
            <v>45-4023</v>
          </cell>
          <cell r="B56" t="str">
            <v>Log Graders and Scalers</v>
          </cell>
          <cell r="C56" t="str">
            <v>detailed</v>
          </cell>
          <cell r="D56">
            <v>3070</v>
          </cell>
          <cell r="E56">
            <v>5.2</v>
          </cell>
          <cell r="F56">
            <v>47770</v>
          </cell>
          <cell r="G56">
            <v>1.5</v>
          </cell>
          <cell r="H56">
            <v>46330</v>
          </cell>
        </row>
        <row r="57">
          <cell r="A57" t="str">
            <v>19-1011</v>
          </cell>
          <cell r="B57" t="str">
            <v>Animal Scientists</v>
          </cell>
          <cell r="C57" t="str">
            <v>detailed</v>
          </cell>
          <cell r="D57">
            <v>3100</v>
          </cell>
          <cell r="E57">
            <v>15.6</v>
          </cell>
          <cell r="F57">
            <v>88350</v>
          </cell>
          <cell r="G57">
            <v>9.1</v>
          </cell>
          <cell r="H57">
            <v>68940</v>
          </cell>
        </row>
        <row r="58">
          <cell r="A58" t="str">
            <v>45-4021</v>
          </cell>
          <cell r="B58" t="str">
            <v>Fallers</v>
          </cell>
          <cell r="C58" t="str">
            <v>detailed</v>
          </cell>
          <cell r="D58">
            <v>3130</v>
          </cell>
          <cell r="E58">
            <v>7.7</v>
          </cell>
          <cell r="F58">
            <v>57110</v>
          </cell>
          <cell r="G58">
            <v>2.9</v>
          </cell>
          <cell r="H58">
            <v>52100</v>
          </cell>
        </row>
        <row r="59">
          <cell r="A59" t="str">
            <v>47-5049</v>
          </cell>
          <cell r="B59" t="str">
            <v>Underground Mining Machine Operators, All Other</v>
          </cell>
          <cell r="C59" t="str">
            <v>detailed</v>
          </cell>
          <cell r="D59">
            <v>3180</v>
          </cell>
          <cell r="E59">
            <v>11.9</v>
          </cell>
          <cell r="F59">
            <v>69860</v>
          </cell>
          <cell r="G59">
            <v>3.5</v>
          </cell>
          <cell r="H59">
            <v>70130</v>
          </cell>
        </row>
        <row r="60">
          <cell r="A60" t="str">
            <v>51-6042</v>
          </cell>
          <cell r="B60" t="str">
            <v>Shoe Machine Operators and Tenders</v>
          </cell>
          <cell r="C60" t="str">
            <v>detailed</v>
          </cell>
          <cell r="D60">
            <v>3280</v>
          </cell>
          <cell r="E60">
            <v>9</v>
          </cell>
          <cell r="F60">
            <v>36280</v>
          </cell>
          <cell r="G60">
            <v>2.2000000000000002</v>
          </cell>
          <cell r="H60">
            <v>35650</v>
          </cell>
        </row>
        <row r="61">
          <cell r="A61" t="str">
            <v>47-5050</v>
          </cell>
          <cell r="B61" t="str">
            <v>Rock Splitters, Quarry</v>
          </cell>
          <cell r="C61" t="str">
            <v>broad</v>
          </cell>
          <cell r="D61">
            <v>3320</v>
          </cell>
          <cell r="E61">
            <v>8.1999999999999993</v>
          </cell>
          <cell r="F61">
            <v>51500</v>
          </cell>
          <cell r="G61">
            <v>2</v>
          </cell>
          <cell r="H61">
            <v>48740</v>
          </cell>
        </row>
        <row r="62">
          <cell r="A62" t="str">
            <v>47-5051</v>
          </cell>
          <cell r="B62" t="str">
            <v>Rock Splitters, Quarry</v>
          </cell>
          <cell r="C62" t="str">
            <v>detailed</v>
          </cell>
          <cell r="D62">
            <v>3320</v>
          </cell>
          <cell r="E62">
            <v>8.1999999999999993</v>
          </cell>
          <cell r="F62">
            <v>51500</v>
          </cell>
          <cell r="G62">
            <v>2</v>
          </cell>
          <cell r="H62">
            <v>48740</v>
          </cell>
        </row>
        <row r="63">
          <cell r="A63" t="str">
            <v>25-1064</v>
          </cell>
          <cell r="B63" t="str">
            <v>Geography Teachers, Postsecondary</v>
          </cell>
          <cell r="C63" t="str">
            <v>detailed</v>
          </cell>
          <cell r="D63">
            <v>3330</v>
          </cell>
          <cell r="E63">
            <v>0.4</v>
          </cell>
          <cell r="F63">
            <v>102350</v>
          </cell>
          <cell r="G63">
            <v>0.3</v>
          </cell>
          <cell r="H63">
            <v>97590</v>
          </cell>
        </row>
        <row r="64">
          <cell r="A64" t="str">
            <v>43-9030</v>
          </cell>
          <cell r="B64" t="str">
            <v>Desktop Publishers</v>
          </cell>
          <cell r="C64" t="str">
            <v>broad</v>
          </cell>
          <cell r="D64">
            <v>3350</v>
          </cell>
          <cell r="E64">
            <v>5.3</v>
          </cell>
          <cell r="F64">
            <v>61970</v>
          </cell>
          <cell r="G64">
            <v>2.2000000000000002</v>
          </cell>
          <cell r="H64">
            <v>55290</v>
          </cell>
        </row>
        <row r="65">
          <cell r="A65" t="str">
            <v>43-9031</v>
          </cell>
          <cell r="B65" t="str">
            <v>Desktop Publishers</v>
          </cell>
          <cell r="C65" t="str">
            <v>detailed</v>
          </cell>
          <cell r="D65">
            <v>3350</v>
          </cell>
          <cell r="E65">
            <v>5.3</v>
          </cell>
          <cell r="F65">
            <v>61970</v>
          </cell>
          <cell r="G65">
            <v>2.2000000000000002</v>
          </cell>
          <cell r="H65">
            <v>55290</v>
          </cell>
        </row>
        <row r="66">
          <cell r="A66" t="str">
            <v>29-2036</v>
          </cell>
          <cell r="B66" t="str">
            <v>Medical Dosimetrists</v>
          </cell>
          <cell r="C66" t="str">
            <v>detailed</v>
          </cell>
          <cell r="D66">
            <v>3410</v>
          </cell>
          <cell r="E66">
            <v>6.2</v>
          </cell>
          <cell r="F66">
            <v>148500</v>
          </cell>
          <cell r="G66">
            <v>1.2</v>
          </cell>
          <cell r="H66">
            <v>147470</v>
          </cell>
        </row>
        <row r="67">
          <cell r="A67" t="str">
            <v>43-2020</v>
          </cell>
          <cell r="B67" t="str">
            <v>Telephone Operators</v>
          </cell>
          <cell r="C67" t="str">
            <v>broad</v>
          </cell>
          <cell r="D67">
            <v>3430</v>
          </cell>
          <cell r="E67">
            <v>5.7</v>
          </cell>
          <cell r="F67">
            <v>44970</v>
          </cell>
          <cell r="G67">
            <v>1.2</v>
          </cell>
          <cell r="H67">
            <v>41740</v>
          </cell>
        </row>
        <row r="68">
          <cell r="A68" t="str">
            <v>43-2021</v>
          </cell>
          <cell r="B68" t="str">
            <v>Telephone Operators</v>
          </cell>
          <cell r="C68" t="str">
            <v>detailed</v>
          </cell>
          <cell r="D68">
            <v>3430</v>
          </cell>
          <cell r="E68">
            <v>5.7</v>
          </cell>
          <cell r="F68">
            <v>44970</v>
          </cell>
          <cell r="G68">
            <v>1.2</v>
          </cell>
          <cell r="H68">
            <v>41740</v>
          </cell>
        </row>
        <row r="69">
          <cell r="A69" t="str">
            <v>19-3093</v>
          </cell>
          <cell r="B69" t="str">
            <v>Historians</v>
          </cell>
          <cell r="C69" t="str">
            <v>detailed</v>
          </cell>
          <cell r="D69">
            <v>3450</v>
          </cell>
          <cell r="E69">
            <v>6.2</v>
          </cell>
          <cell r="F69">
            <v>81240</v>
          </cell>
          <cell r="G69">
            <v>1.2</v>
          </cell>
          <cell r="H69">
            <v>76750</v>
          </cell>
        </row>
        <row r="70">
          <cell r="A70" t="str">
            <v>49-9092</v>
          </cell>
          <cell r="B70" t="str">
            <v>Commercial Divers</v>
          </cell>
          <cell r="C70" t="str">
            <v>detailed</v>
          </cell>
          <cell r="D70">
            <v>3450</v>
          </cell>
          <cell r="E70">
            <v>11.3</v>
          </cell>
          <cell r="F70">
            <v>88320</v>
          </cell>
          <cell r="G70">
            <v>7.9</v>
          </cell>
          <cell r="H70">
            <v>72990</v>
          </cell>
        </row>
        <row r="71">
          <cell r="A71" t="str">
            <v>53-7071</v>
          </cell>
          <cell r="B71" t="str">
            <v>Gas Compressor and Gas Pumping Station Operators</v>
          </cell>
          <cell r="C71" t="str">
            <v>detailed</v>
          </cell>
          <cell r="D71">
            <v>3510</v>
          </cell>
          <cell r="E71">
            <v>13.3</v>
          </cell>
          <cell r="F71">
            <v>74610</v>
          </cell>
          <cell r="G71">
            <v>3.3</v>
          </cell>
          <cell r="H71">
            <v>77320</v>
          </cell>
        </row>
        <row r="72">
          <cell r="A72" t="str">
            <v>45-2099</v>
          </cell>
          <cell r="B72" t="str">
            <v>Agricultural Workers, All Other</v>
          </cell>
          <cell r="C72" t="str">
            <v>detailed</v>
          </cell>
          <cell r="D72">
            <v>3620</v>
          </cell>
          <cell r="E72">
            <v>7</v>
          </cell>
          <cell r="F72">
            <v>45510</v>
          </cell>
          <cell r="G72">
            <v>2.2000000000000002</v>
          </cell>
          <cell r="H72">
            <v>39850</v>
          </cell>
        </row>
        <row r="73">
          <cell r="A73" t="str">
            <v>25-1082</v>
          </cell>
          <cell r="B73" t="str">
            <v>Library Science Teachers, Postsecondary</v>
          </cell>
          <cell r="C73" t="str">
            <v>detailed</v>
          </cell>
          <cell r="D73">
            <v>3630</v>
          </cell>
          <cell r="E73">
            <v>1</v>
          </cell>
          <cell r="F73">
            <v>88110</v>
          </cell>
          <cell r="G73">
            <v>0.4</v>
          </cell>
          <cell r="H73">
            <v>80340</v>
          </cell>
        </row>
        <row r="74">
          <cell r="A74" t="str">
            <v>15-2090</v>
          </cell>
          <cell r="B74" t="str">
            <v>Miscellaneous Mathematical Science Occupations</v>
          </cell>
          <cell r="C74" t="str">
            <v>broad</v>
          </cell>
          <cell r="D74">
            <v>3720</v>
          </cell>
          <cell r="E74">
            <v>12.6</v>
          </cell>
          <cell r="F74">
            <v>91550</v>
          </cell>
          <cell r="G74">
            <v>3.5</v>
          </cell>
          <cell r="H74">
            <v>81490</v>
          </cell>
        </row>
        <row r="75">
          <cell r="A75" t="str">
            <v>15-2099</v>
          </cell>
          <cell r="B75" t="str">
            <v>Mathematical Science Occupations, All Other</v>
          </cell>
          <cell r="C75" t="str">
            <v>detailed</v>
          </cell>
          <cell r="D75">
            <v>3720</v>
          </cell>
          <cell r="E75">
            <v>12.6</v>
          </cell>
          <cell r="F75">
            <v>91550</v>
          </cell>
          <cell r="G75">
            <v>3.5</v>
          </cell>
          <cell r="H75">
            <v>81490</v>
          </cell>
        </row>
        <row r="76">
          <cell r="A76" t="str">
            <v>47-2043</v>
          </cell>
          <cell r="B76" t="str">
            <v>Floor Sanders and Finishers</v>
          </cell>
          <cell r="C76" t="str">
            <v>detailed</v>
          </cell>
          <cell r="D76">
            <v>3720</v>
          </cell>
          <cell r="E76">
            <v>14.2</v>
          </cell>
          <cell r="F76">
            <v>52460</v>
          </cell>
          <cell r="G76">
            <v>2.6</v>
          </cell>
          <cell r="H76">
            <v>50440</v>
          </cell>
        </row>
        <row r="77">
          <cell r="A77" t="str">
            <v>29-9092</v>
          </cell>
          <cell r="B77" t="str">
            <v>Genetic Counselors</v>
          </cell>
          <cell r="C77" t="str">
            <v>detailed</v>
          </cell>
          <cell r="D77">
            <v>3740</v>
          </cell>
          <cell r="E77">
            <v>5.7</v>
          </cell>
          <cell r="F77">
            <v>104620</v>
          </cell>
          <cell r="G77">
            <v>1.2</v>
          </cell>
          <cell r="H77">
            <v>100040</v>
          </cell>
        </row>
        <row r="78">
          <cell r="A78" t="str">
            <v>41-9012</v>
          </cell>
          <cell r="B78" t="str">
            <v>Models</v>
          </cell>
          <cell r="C78" t="str">
            <v>detailed</v>
          </cell>
          <cell r="D78">
            <v>3780</v>
          </cell>
          <cell r="E78">
            <v>13.4</v>
          </cell>
          <cell r="F78">
            <v>72800</v>
          </cell>
          <cell r="G78">
            <v>15.9</v>
          </cell>
          <cell r="H78">
            <v>48470</v>
          </cell>
        </row>
        <row r="79">
          <cell r="A79" t="str">
            <v>39-4011</v>
          </cell>
          <cell r="B79" t="str">
            <v>Embalmers</v>
          </cell>
          <cell r="C79" t="str">
            <v>detailed</v>
          </cell>
          <cell r="D79">
            <v>3890</v>
          </cell>
          <cell r="E79">
            <v>5.4</v>
          </cell>
          <cell r="F79">
            <v>58390</v>
          </cell>
          <cell r="G79">
            <v>1.4</v>
          </cell>
          <cell r="H79">
            <v>58780</v>
          </cell>
        </row>
        <row r="80">
          <cell r="A80" t="str">
            <v>53-4013</v>
          </cell>
          <cell r="B80" t="str">
            <v>Rail Yard Engineers, Dinkey Operators, and Hostlers</v>
          </cell>
          <cell r="C80" t="str">
            <v>detailed</v>
          </cell>
          <cell r="D80">
            <v>3920</v>
          </cell>
          <cell r="E80">
            <v>4</v>
          </cell>
          <cell r="F80">
            <v>68450</v>
          </cell>
          <cell r="G80">
            <v>1.3</v>
          </cell>
          <cell r="H80">
            <v>60600</v>
          </cell>
        </row>
        <row r="81">
          <cell r="A81" t="str">
            <v>51-4060</v>
          </cell>
          <cell r="B81" t="str">
            <v>Model Makers and Patternmakers, Metal and Plastic</v>
          </cell>
          <cell r="C81" t="str">
            <v>broad</v>
          </cell>
          <cell r="D81">
            <v>4080</v>
          </cell>
          <cell r="E81">
            <v>4.9000000000000004</v>
          </cell>
          <cell r="F81">
            <v>65710</v>
          </cell>
          <cell r="G81">
            <v>1.5</v>
          </cell>
          <cell r="H81">
            <v>60940</v>
          </cell>
        </row>
        <row r="82">
          <cell r="A82" t="str">
            <v>43-4020</v>
          </cell>
          <cell r="B82" t="str">
            <v>Correspondence Clerks</v>
          </cell>
          <cell r="C82" t="str">
            <v>broad</v>
          </cell>
          <cell r="D82">
            <v>4290</v>
          </cell>
          <cell r="E82">
            <v>8.3000000000000007</v>
          </cell>
          <cell r="F82">
            <v>48090</v>
          </cell>
          <cell r="G82">
            <v>2</v>
          </cell>
          <cell r="H82">
            <v>46800</v>
          </cell>
        </row>
        <row r="83">
          <cell r="A83" t="str">
            <v>43-4021</v>
          </cell>
          <cell r="B83" t="str">
            <v>Correspondence Clerks</v>
          </cell>
          <cell r="C83" t="str">
            <v>detailed</v>
          </cell>
          <cell r="D83">
            <v>4290</v>
          </cell>
          <cell r="E83">
            <v>8.3000000000000007</v>
          </cell>
          <cell r="F83">
            <v>48090</v>
          </cell>
          <cell r="G83">
            <v>2</v>
          </cell>
          <cell r="H83">
            <v>46800</v>
          </cell>
        </row>
        <row r="84">
          <cell r="A84" t="str">
            <v>31-2012</v>
          </cell>
          <cell r="B84" t="str">
            <v>Occupational Therapy Aides</v>
          </cell>
          <cell r="C84" t="str">
            <v>detailed</v>
          </cell>
          <cell r="D84">
            <v>4310</v>
          </cell>
          <cell r="E84">
            <v>7.8</v>
          </cell>
          <cell r="F84">
            <v>44110</v>
          </cell>
          <cell r="G84">
            <v>2.2000000000000002</v>
          </cell>
          <cell r="H84">
            <v>39160</v>
          </cell>
        </row>
        <row r="85">
          <cell r="A85" t="str">
            <v>33-3052</v>
          </cell>
          <cell r="B85" t="str">
            <v>Transit and Railroad Police</v>
          </cell>
          <cell r="C85" t="str">
            <v>detailed</v>
          </cell>
          <cell r="D85">
            <v>4390</v>
          </cell>
          <cell r="E85">
            <v>2.6</v>
          </cell>
          <cell r="F85">
            <v>91810</v>
          </cell>
          <cell r="G85">
            <v>1</v>
          </cell>
          <cell r="H85">
            <v>90230</v>
          </cell>
        </row>
        <row r="86">
          <cell r="A86" t="str">
            <v>51-4052</v>
          </cell>
          <cell r="B86" t="str">
            <v>Pourers and Casters, Metal</v>
          </cell>
          <cell r="C86" t="str">
            <v>detailed</v>
          </cell>
          <cell r="D86">
            <v>4560</v>
          </cell>
          <cell r="E86">
            <v>4.0999999999999996</v>
          </cell>
          <cell r="F86">
            <v>54290</v>
          </cell>
          <cell r="G86">
            <v>0.7</v>
          </cell>
          <cell r="H86">
            <v>51810</v>
          </cell>
        </row>
        <row r="87">
          <cell r="A87" t="str">
            <v>27-1012</v>
          </cell>
          <cell r="B87" t="str">
            <v>Craft Artists</v>
          </cell>
          <cell r="C87" t="str">
            <v>detailed</v>
          </cell>
          <cell r="D87">
            <v>4580</v>
          </cell>
          <cell r="E87">
            <v>8.3000000000000007</v>
          </cell>
          <cell r="F87">
            <v>49740</v>
          </cell>
          <cell r="G87">
            <v>2.1</v>
          </cell>
          <cell r="H87">
            <v>46080</v>
          </cell>
        </row>
        <row r="88">
          <cell r="A88" t="str">
            <v>43-9080</v>
          </cell>
          <cell r="B88" t="str">
            <v>Proofreaders and Copy Markers</v>
          </cell>
          <cell r="C88" t="str">
            <v>broad</v>
          </cell>
          <cell r="D88">
            <v>4580</v>
          </cell>
          <cell r="E88">
            <v>8</v>
          </cell>
          <cell r="F88">
            <v>54800</v>
          </cell>
          <cell r="G88">
            <v>1.4</v>
          </cell>
          <cell r="H88">
            <v>51120</v>
          </cell>
        </row>
        <row r="89">
          <cell r="A89" t="str">
            <v>43-9081</v>
          </cell>
          <cell r="B89" t="str">
            <v>Proofreaders and Copy Markers</v>
          </cell>
          <cell r="C89" t="str">
            <v>detailed</v>
          </cell>
          <cell r="D89">
            <v>4580</v>
          </cell>
          <cell r="E89">
            <v>8</v>
          </cell>
          <cell r="F89">
            <v>54800</v>
          </cell>
          <cell r="G89">
            <v>1.4</v>
          </cell>
          <cell r="H89">
            <v>51120</v>
          </cell>
        </row>
        <row r="90">
          <cell r="A90" t="str">
            <v>51-4032</v>
          </cell>
          <cell r="B90" t="str">
            <v>Drilling and Boring Machine Tool Setters, Operators, and Tenders, Metal and Plastic</v>
          </cell>
          <cell r="C90" t="str">
            <v>detailed</v>
          </cell>
          <cell r="D90">
            <v>4680</v>
          </cell>
          <cell r="E90">
            <v>3.8</v>
          </cell>
          <cell r="F90">
            <v>51810</v>
          </cell>
          <cell r="G90">
            <v>1.2</v>
          </cell>
          <cell r="H90">
            <v>49080</v>
          </cell>
        </row>
        <row r="91">
          <cell r="A91" t="str">
            <v>43-9110</v>
          </cell>
          <cell r="B91" t="str">
            <v>Statistical Assistants</v>
          </cell>
          <cell r="C91" t="str">
            <v>broad</v>
          </cell>
          <cell r="D91">
            <v>4710</v>
          </cell>
          <cell r="E91">
            <v>11.9</v>
          </cell>
          <cell r="F91">
            <v>55650</v>
          </cell>
          <cell r="G91">
            <v>3.2</v>
          </cell>
          <cell r="H91">
            <v>50330</v>
          </cell>
        </row>
        <row r="92">
          <cell r="A92" t="str">
            <v>43-9111</v>
          </cell>
          <cell r="B92" t="str">
            <v>Statistical Assistants</v>
          </cell>
          <cell r="C92" t="str">
            <v>detailed</v>
          </cell>
          <cell r="D92">
            <v>4710</v>
          </cell>
          <cell r="E92">
            <v>11.9</v>
          </cell>
          <cell r="F92">
            <v>55650</v>
          </cell>
          <cell r="G92">
            <v>3.2</v>
          </cell>
          <cell r="H92">
            <v>50330</v>
          </cell>
        </row>
        <row r="93">
          <cell r="A93" t="str">
            <v>51-9150</v>
          </cell>
          <cell r="B93" t="str">
            <v>Photographic Process Workers and Processing Machine Operators</v>
          </cell>
          <cell r="C93" t="str">
            <v>broad</v>
          </cell>
          <cell r="D93">
            <v>4800</v>
          </cell>
          <cell r="E93">
            <v>5.7</v>
          </cell>
          <cell r="F93">
            <v>46050</v>
          </cell>
          <cell r="G93">
            <v>1.9</v>
          </cell>
          <cell r="H93">
            <v>40610</v>
          </cell>
        </row>
        <row r="94">
          <cell r="A94" t="str">
            <v>51-9151</v>
          </cell>
          <cell r="B94" t="str">
            <v>Photographic Process Workers and Processing Machine Operators</v>
          </cell>
          <cell r="C94" t="str">
            <v>detailed</v>
          </cell>
          <cell r="D94">
            <v>4800</v>
          </cell>
          <cell r="E94">
            <v>5.7</v>
          </cell>
          <cell r="F94">
            <v>46050</v>
          </cell>
          <cell r="G94">
            <v>1.9</v>
          </cell>
          <cell r="H94">
            <v>40610</v>
          </cell>
        </row>
        <row r="95">
          <cell r="A95" t="str">
            <v>29-1022</v>
          </cell>
          <cell r="B95" t="str">
            <v>Oral and Maxillofacial Surgeons</v>
          </cell>
          <cell r="C95" t="str">
            <v>detailed</v>
          </cell>
          <cell r="D95">
            <v>4910</v>
          </cell>
          <cell r="E95">
            <v>13.8</v>
          </cell>
          <cell r="F95">
            <v>346490</v>
          </cell>
          <cell r="G95">
            <v>10.9</v>
          </cell>
          <cell r="H95">
            <v>352220</v>
          </cell>
        </row>
        <row r="96">
          <cell r="A96" t="str">
            <v>11-9071</v>
          </cell>
          <cell r="B96" t="str">
            <v>Gambling Managers</v>
          </cell>
          <cell r="C96" t="str">
            <v>detailed</v>
          </cell>
          <cell r="D96">
            <v>5030</v>
          </cell>
          <cell r="E96">
            <v>2</v>
          </cell>
          <cell r="F96">
            <v>103050</v>
          </cell>
          <cell r="G96">
            <v>0.9</v>
          </cell>
          <cell r="H96">
            <v>93220</v>
          </cell>
        </row>
        <row r="97">
          <cell r="A97" t="str">
            <v>47-5030</v>
          </cell>
          <cell r="B97" t="str">
            <v>Explosives Workers, Ordnance Handling Experts, and Blasters</v>
          </cell>
          <cell r="C97" t="str">
            <v>broad</v>
          </cell>
          <cell r="D97">
            <v>5100</v>
          </cell>
          <cell r="E97">
            <v>6.6</v>
          </cell>
          <cell r="F97">
            <v>66640</v>
          </cell>
          <cell r="G97">
            <v>2.2000000000000002</v>
          </cell>
          <cell r="H97">
            <v>61390</v>
          </cell>
        </row>
        <row r="98">
          <cell r="A98" t="str">
            <v>47-5032</v>
          </cell>
          <cell r="B98" t="str">
            <v>Explosives Workers, Ordnance Handling Experts, and Blasters</v>
          </cell>
          <cell r="C98" t="str">
            <v>detailed</v>
          </cell>
          <cell r="D98">
            <v>5100</v>
          </cell>
          <cell r="E98">
            <v>6.6</v>
          </cell>
          <cell r="F98">
            <v>66640</v>
          </cell>
          <cell r="G98">
            <v>2.2000000000000002</v>
          </cell>
          <cell r="H98">
            <v>61390</v>
          </cell>
        </row>
        <row r="99">
          <cell r="A99" t="str">
            <v>51-8011</v>
          </cell>
          <cell r="B99" t="str">
            <v>Nuclear Power Reactor Operators</v>
          </cell>
          <cell r="C99" t="str">
            <v>detailed</v>
          </cell>
          <cell r="D99">
            <v>5150</v>
          </cell>
          <cell r="E99">
            <v>0.5</v>
          </cell>
          <cell r="F99">
            <v>121380</v>
          </cell>
          <cell r="G99">
            <v>0.1</v>
          </cell>
          <cell r="H99">
            <v>122890</v>
          </cell>
        </row>
        <row r="100">
          <cell r="A100" t="str">
            <v>29-1029</v>
          </cell>
          <cell r="B100" t="str">
            <v>Dentists, All Other Specialists</v>
          </cell>
          <cell r="C100" t="str">
            <v>detailed</v>
          </cell>
          <cell r="D100">
            <v>5230</v>
          </cell>
          <cell r="E100">
            <v>16</v>
          </cell>
          <cell r="F100">
            <v>247930</v>
          </cell>
          <cell r="G100">
            <v>7.5</v>
          </cell>
          <cell r="H100">
            <v>224990</v>
          </cell>
        </row>
        <row r="101">
          <cell r="A101" t="str">
            <v>25-1061</v>
          </cell>
          <cell r="B101" t="str">
            <v>Anthropology and Archeology Teachers, Postsecondary</v>
          </cell>
          <cell r="C101" t="str">
            <v>detailed</v>
          </cell>
          <cell r="D101">
            <v>5240</v>
          </cell>
          <cell r="E101">
            <v>0.4</v>
          </cell>
          <cell r="F101">
            <v>106880</v>
          </cell>
          <cell r="G101">
            <v>0.3</v>
          </cell>
          <cell r="H101">
            <v>99650</v>
          </cell>
        </row>
        <row r="102">
          <cell r="A102" t="str">
            <v>51-6061</v>
          </cell>
          <cell r="B102" t="str">
            <v>Textile Bleaching and Dyeing Machine Operators and Tenders</v>
          </cell>
          <cell r="C102" t="str">
            <v>detailed</v>
          </cell>
          <cell r="D102">
            <v>5310</v>
          </cell>
          <cell r="E102">
            <v>8.1</v>
          </cell>
          <cell r="F102">
            <v>40380</v>
          </cell>
          <cell r="G102">
            <v>1.5</v>
          </cell>
          <cell r="H102">
            <v>38180</v>
          </cell>
        </row>
        <row r="103">
          <cell r="A103" t="str">
            <v>49-9063</v>
          </cell>
          <cell r="B103" t="str">
            <v>Musical Instrument Repairers and Tuners</v>
          </cell>
          <cell r="C103" t="str">
            <v>detailed</v>
          </cell>
          <cell r="D103">
            <v>5380</v>
          </cell>
          <cell r="E103">
            <v>4.7</v>
          </cell>
          <cell r="F103">
            <v>49960</v>
          </cell>
          <cell r="G103">
            <v>1.7</v>
          </cell>
          <cell r="H103">
            <v>46420</v>
          </cell>
        </row>
        <row r="104">
          <cell r="A104" t="str">
            <v>51-7090</v>
          </cell>
          <cell r="B104" t="str">
            <v>Miscellaneous Woodworkers</v>
          </cell>
          <cell r="C104" t="str">
            <v>broad</v>
          </cell>
          <cell r="D104">
            <v>5490</v>
          </cell>
          <cell r="E104">
            <v>7</v>
          </cell>
          <cell r="F104">
            <v>46070</v>
          </cell>
          <cell r="G104">
            <v>1.9</v>
          </cell>
          <cell r="H104">
            <v>44530</v>
          </cell>
        </row>
        <row r="105">
          <cell r="A105" t="str">
            <v>51-7099</v>
          </cell>
          <cell r="B105" t="str">
            <v>Woodworkers, All Other</v>
          </cell>
          <cell r="C105" t="str">
            <v>detailed</v>
          </cell>
          <cell r="D105">
            <v>5490</v>
          </cell>
          <cell r="E105">
            <v>7</v>
          </cell>
          <cell r="F105">
            <v>46070</v>
          </cell>
          <cell r="G105">
            <v>1.9</v>
          </cell>
          <cell r="H105">
            <v>44530</v>
          </cell>
        </row>
        <row r="106">
          <cell r="A106" t="str">
            <v>19-3094</v>
          </cell>
          <cell r="B106" t="str">
            <v>Political Scientists</v>
          </cell>
          <cell r="C106" t="str">
            <v>detailed</v>
          </cell>
          <cell r="D106">
            <v>5540</v>
          </cell>
          <cell r="E106">
            <v>4.5999999999999996</v>
          </cell>
          <cell r="F106">
            <v>142510</v>
          </cell>
          <cell r="G106">
            <v>1.2</v>
          </cell>
          <cell r="H106">
            <v>142080</v>
          </cell>
        </row>
        <row r="107">
          <cell r="A107" t="str">
            <v>47-5090</v>
          </cell>
          <cell r="B107" t="str">
            <v>Miscellaneous Extraction Workers</v>
          </cell>
          <cell r="C107" t="str">
            <v>broad</v>
          </cell>
          <cell r="D107">
            <v>5540</v>
          </cell>
          <cell r="E107">
            <v>7.8</v>
          </cell>
          <cell r="F107">
            <v>57890</v>
          </cell>
          <cell r="G107">
            <v>2.2000000000000002</v>
          </cell>
          <cell r="H107">
            <v>57010</v>
          </cell>
        </row>
        <row r="108">
          <cell r="A108" t="str">
            <v>47-5099</v>
          </cell>
          <cell r="B108" t="str">
            <v>Extraction Workers, All Other</v>
          </cell>
          <cell r="C108" t="str">
            <v>detailed</v>
          </cell>
          <cell r="D108">
            <v>5540</v>
          </cell>
          <cell r="E108">
            <v>7.8</v>
          </cell>
          <cell r="F108">
            <v>57890</v>
          </cell>
          <cell r="G108">
            <v>2.2000000000000002</v>
          </cell>
          <cell r="H108">
            <v>57010</v>
          </cell>
        </row>
        <row r="109">
          <cell r="A109" t="str">
            <v>51-4194</v>
          </cell>
          <cell r="B109" t="str">
            <v>Tool Grinders, Filers, and Sharpeners</v>
          </cell>
          <cell r="C109" t="str">
            <v>detailed</v>
          </cell>
          <cell r="D109">
            <v>5600</v>
          </cell>
          <cell r="E109">
            <v>5.8</v>
          </cell>
          <cell r="F109">
            <v>53240</v>
          </cell>
          <cell r="G109">
            <v>1.2</v>
          </cell>
          <cell r="H109">
            <v>50060</v>
          </cell>
        </row>
        <row r="110">
          <cell r="A110" t="str">
            <v>33-3030</v>
          </cell>
          <cell r="B110" t="str">
            <v>Fish and Game Wardens</v>
          </cell>
          <cell r="C110" t="str">
            <v>broad</v>
          </cell>
          <cell r="D110">
            <v>5770</v>
          </cell>
          <cell r="E110">
            <v>0.5</v>
          </cell>
          <cell r="F110">
            <v>74950</v>
          </cell>
          <cell r="G110">
            <v>0.1</v>
          </cell>
          <cell r="H110">
            <v>74060</v>
          </cell>
        </row>
        <row r="111">
          <cell r="A111" t="str">
            <v>33-3031</v>
          </cell>
          <cell r="B111" t="str">
            <v>Fish and Game Wardens</v>
          </cell>
          <cell r="C111" t="str">
            <v>detailed</v>
          </cell>
          <cell r="D111">
            <v>5770</v>
          </cell>
          <cell r="E111">
            <v>0.5</v>
          </cell>
          <cell r="F111">
            <v>74950</v>
          </cell>
          <cell r="G111">
            <v>0.1</v>
          </cell>
          <cell r="H111">
            <v>74060</v>
          </cell>
        </row>
        <row r="112">
          <cell r="A112" t="str">
            <v>19-2043</v>
          </cell>
          <cell r="B112" t="str">
            <v>Hydrologists</v>
          </cell>
          <cell r="C112" t="str">
            <v>detailed</v>
          </cell>
          <cell r="D112">
            <v>5850</v>
          </cell>
          <cell r="E112">
            <v>4.3</v>
          </cell>
          <cell r="F112">
            <v>103600</v>
          </cell>
          <cell r="G112">
            <v>1.6</v>
          </cell>
          <cell r="H112">
            <v>96600</v>
          </cell>
        </row>
        <row r="113">
          <cell r="A113" t="str">
            <v>47-5044</v>
          </cell>
          <cell r="B113" t="str">
            <v>Loading and Moving Machine Operators, Underground Mining</v>
          </cell>
          <cell r="C113" t="str">
            <v>detailed</v>
          </cell>
          <cell r="D113">
            <v>5930</v>
          </cell>
          <cell r="E113">
            <v>8</v>
          </cell>
          <cell r="F113">
            <v>71240</v>
          </cell>
          <cell r="G113">
            <v>1</v>
          </cell>
          <cell r="H113">
            <v>74500</v>
          </cell>
        </row>
        <row r="114">
          <cell r="A114" t="str">
            <v>51-4192</v>
          </cell>
          <cell r="B114" t="str">
            <v>Layout Workers, Metal and Plastic</v>
          </cell>
          <cell r="C114" t="str">
            <v>detailed</v>
          </cell>
          <cell r="D114">
            <v>5970</v>
          </cell>
          <cell r="E114">
            <v>4.9000000000000004</v>
          </cell>
          <cell r="F114">
            <v>66520</v>
          </cell>
          <cell r="G114">
            <v>1.9</v>
          </cell>
          <cell r="H114">
            <v>63870</v>
          </cell>
        </row>
        <row r="115">
          <cell r="A115" t="str">
            <v>47-3016</v>
          </cell>
          <cell r="B115" t="str">
            <v>Helpers--Roofers</v>
          </cell>
          <cell r="C115" t="str">
            <v>detailed</v>
          </cell>
          <cell r="D115">
            <v>6030</v>
          </cell>
          <cell r="E115">
            <v>9.5</v>
          </cell>
          <cell r="F115">
            <v>45150</v>
          </cell>
          <cell r="G115">
            <v>4.0999999999999996</v>
          </cell>
          <cell r="H115">
            <v>44160</v>
          </cell>
        </row>
        <row r="116">
          <cell r="A116" t="str">
            <v>45-4010</v>
          </cell>
          <cell r="B116" t="str">
            <v>Forest and Conservation Workers</v>
          </cell>
          <cell r="C116" t="str">
            <v>broad</v>
          </cell>
          <cell r="D116">
            <v>6050</v>
          </cell>
          <cell r="E116">
            <v>6.4</v>
          </cell>
          <cell r="F116">
            <v>43680</v>
          </cell>
          <cell r="G116">
            <v>1.2</v>
          </cell>
          <cell r="H116">
            <v>43680</v>
          </cell>
        </row>
        <row r="117">
          <cell r="A117" t="str">
            <v>45-4011</v>
          </cell>
          <cell r="B117" t="str">
            <v>Forest and Conservation Workers</v>
          </cell>
          <cell r="C117" t="str">
            <v>detailed</v>
          </cell>
          <cell r="D117">
            <v>6050</v>
          </cell>
          <cell r="E117">
            <v>6.4</v>
          </cell>
          <cell r="F117">
            <v>43680</v>
          </cell>
          <cell r="G117">
            <v>1.2</v>
          </cell>
          <cell r="H117">
            <v>43680</v>
          </cell>
        </row>
        <row r="118">
          <cell r="A118" t="str">
            <v>51-9031</v>
          </cell>
          <cell r="B118" t="str">
            <v>Cutters and Trimmers, Hand</v>
          </cell>
          <cell r="C118" t="str">
            <v>detailed</v>
          </cell>
          <cell r="D118">
            <v>6060</v>
          </cell>
          <cell r="E118">
            <v>5.3</v>
          </cell>
          <cell r="F118">
            <v>41050</v>
          </cell>
          <cell r="G118">
            <v>1.3</v>
          </cell>
          <cell r="H118">
            <v>38020</v>
          </cell>
        </row>
        <row r="119">
          <cell r="A119" t="str">
            <v>17-2150</v>
          </cell>
          <cell r="B119" t="str">
            <v>Mining and Geological Engineers, Including Mining Safety Engineers</v>
          </cell>
          <cell r="C119" t="str">
            <v>broad</v>
          </cell>
          <cell r="D119">
            <v>6080</v>
          </cell>
          <cell r="E119">
            <v>6.4</v>
          </cell>
          <cell r="F119">
            <v>115410</v>
          </cell>
          <cell r="G119">
            <v>1.9</v>
          </cell>
          <cell r="H119">
            <v>106220</v>
          </cell>
        </row>
        <row r="120">
          <cell r="A120" t="str">
            <v>17-2151</v>
          </cell>
          <cell r="B120" t="str">
            <v>Mining and Geological Engineers, Including Mining Safety Engineers</v>
          </cell>
          <cell r="C120" t="str">
            <v>detailed</v>
          </cell>
          <cell r="D120">
            <v>6080</v>
          </cell>
          <cell r="E120">
            <v>6.4</v>
          </cell>
          <cell r="F120">
            <v>115410</v>
          </cell>
          <cell r="G120">
            <v>1.9</v>
          </cell>
          <cell r="H120">
            <v>106220</v>
          </cell>
        </row>
        <row r="121">
          <cell r="A121" t="str">
            <v>29-1023</v>
          </cell>
          <cell r="B121" t="str">
            <v>Orthodontists</v>
          </cell>
          <cell r="C121" t="str">
            <v>detailed</v>
          </cell>
          <cell r="D121">
            <v>6210</v>
          </cell>
          <cell r="E121">
            <v>13.5</v>
          </cell>
          <cell r="F121">
            <v>259400</v>
          </cell>
          <cell r="G121">
            <v>5.4</v>
          </cell>
          <cell r="H121">
            <v>289140</v>
          </cell>
        </row>
        <row r="122">
          <cell r="A122" t="str">
            <v>19-4050</v>
          </cell>
          <cell r="B122" t="str">
            <v>Nuclear Technicians</v>
          </cell>
          <cell r="C122" t="str">
            <v>broad</v>
          </cell>
          <cell r="D122">
            <v>6470</v>
          </cell>
          <cell r="E122">
            <v>7.7</v>
          </cell>
          <cell r="F122">
            <v>108940</v>
          </cell>
          <cell r="G122">
            <v>1.1000000000000001</v>
          </cell>
          <cell r="H122">
            <v>110240</v>
          </cell>
        </row>
        <row r="123">
          <cell r="A123" t="str">
            <v>19-4051</v>
          </cell>
          <cell r="B123" t="str">
            <v>Nuclear Technicians</v>
          </cell>
          <cell r="C123" t="str">
            <v>detailed</v>
          </cell>
          <cell r="D123">
            <v>6470</v>
          </cell>
          <cell r="E123">
            <v>7.7</v>
          </cell>
          <cell r="F123">
            <v>108940</v>
          </cell>
          <cell r="G123">
            <v>1.1000000000000001</v>
          </cell>
          <cell r="H123">
            <v>110240</v>
          </cell>
        </row>
        <row r="124">
          <cell r="A124" t="str">
            <v>11-9010</v>
          </cell>
          <cell r="B124" t="str">
            <v>Farmers, Ranchers, and Other Agricultural Managers</v>
          </cell>
          <cell r="C124" t="str">
            <v>broad</v>
          </cell>
          <cell r="D124">
            <v>6500</v>
          </cell>
          <cell r="E124">
            <v>4.3</v>
          </cell>
          <cell r="F124">
            <v>99820</v>
          </cell>
          <cell r="G124">
            <v>2.2000000000000002</v>
          </cell>
          <cell r="H124">
            <v>89900</v>
          </cell>
        </row>
        <row r="125">
          <cell r="A125" t="str">
            <v>11-9013</v>
          </cell>
          <cell r="B125" t="str">
            <v>Farmers, Ranchers, and Other Agricultural Managers</v>
          </cell>
          <cell r="C125" t="str">
            <v>detailed</v>
          </cell>
          <cell r="D125">
            <v>6500</v>
          </cell>
          <cell r="E125">
            <v>4.3</v>
          </cell>
          <cell r="F125">
            <v>99820</v>
          </cell>
          <cell r="G125">
            <v>2.2000000000000002</v>
          </cell>
          <cell r="H125">
            <v>89900</v>
          </cell>
        </row>
        <row r="126">
          <cell r="A126" t="str">
            <v>39-3092</v>
          </cell>
          <cell r="B126" t="str">
            <v>Costume Attendants</v>
          </cell>
          <cell r="C126" t="str">
            <v>detailed</v>
          </cell>
          <cell r="D126">
            <v>6510</v>
          </cell>
          <cell r="E126">
            <v>5.3</v>
          </cell>
          <cell r="F126">
            <v>63440</v>
          </cell>
          <cell r="G126">
            <v>2.9</v>
          </cell>
          <cell r="H126">
            <v>50400</v>
          </cell>
        </row>
        <row r="127">
          <cell r="A127" t="str">
            <v>25-1053</v>
          </cell>
          <cell r="B127" t="str">
            <v>Environmental Science Teachers, Postsecondary</v>
          </cell>
          <cell r="C127" t="str">
            <v>detailed</v>
          </cell>
          <cell r="D127">
            <v>6690</v>
          </cell>
          <cell r="E127">
            <v>1.1000000000000001</v>
          </cell>
          <cell r="F127">
            <v>103610</v>
          </cell>
          <cell r="G127">
            <v>0.3</v>
          </cell>
          <cell r="H127">
            <v>94980</v>
          </cell>
        </row>
        <row r="128">
          <cell r="A128" t="str">
            <v>47-5080</v>
          </cell>
          <cell r="B128" t="str">
            <v>Helpers--Extraction Workers</v>
          </cell>
          <cell r="C128" t="str">
            <v>broad</v>
          </cell>
          <cell r="D128">
            <v>6700</v>
          </cell>
          <cell r="E128">
            <v>8.6</v>
          </cell>
          <cell r="F128">
            <v>50620</v>
          </cell>
          <cell r="G128">
            <v>1.2</v>
          </cell>
          <cell r="H128">
            <v>47730</v>
          </cell>
        </row>
        <row r="129">
          <cell r="A129" t="str">
            <v>47-5081</v>
          </cell>
          <cell r="B129" t="str">
            <v>Helpers--Extraction Workers</v>
          </cell>
          <cell r="C129" t="str">
            <v>detailed</v>
          </cell>
          <cell r="D129">
            <v>6700</v>
          </cell>
          <cell r="E129">
            <v>8.6</v>
          </cell>
          <cell r="F129">
            <v>50620</v>
          </cell>
          <cell r="G129">
            <v>1.2</v>
          </cell>
          <cell r="H129">
            <v>47730</v>
          </cell>
        </row>
        <row r="130">
          <cell r="A130" t="str">
            <v>39-4010</v>
          </cell>
          <cell r="B130" t="str">
            <v>Embalmers and Crematory Operators</v>
          </cell>
          <cell r="C130" t="str">
            <v>broad</v>
          </cell>
          <cell r="D130">
            <v>6870</v>
          </cell>
          <cell r="E130">
            <v>3.9</v>
          </cell>
          <cell r="F130">
            <v>52880</v>
          </cell>
          <cell r="G130">
            <v>1.2</v>
          </cell>
          <cell r="H130">
            <v>50280</v>
          </cell>
        </row>
        <row r="131">
          <cell r="A131" t="str">
            <v>51-9193</v>
          </cell>
          <cell r="B131" t="str">
            <v>Cooling and Freezing Equipment Operators and Tenders</v>
          </cell>
          <cell r="C131" t="str">
            <v>detailed</v>
          </cell>
          <cell r="D131">
            <v>6900</v>
          </cell>
          <cell r="E131">
            <v>3.1</v>
          </cell>
          <cell r="F131">
            <v>44940</v>
          </cell>
          <cell r="G131">
            <v>0.8</v>
          </cell>
          <cell r="H131">
            <v>41330</v>
          </cell>
        </row>
        <row r="132">
          <cell r="A132" t="str">
            <v>27-1019</v>
          </cell>
          <cell r="B132" t="str">
            <v>Artists and Related Workers, All Other</v>
          </cell>
          <cell r="C132" t="str">
            <v>detailed</v>
          </cell>
          <cell r="D132">
            <v>6930</v>
          </cell>
          <cell r="E132">
            <v>8.3000000000000007</v>
          </cell>
          <cell r="F132">
            <v>80530</v>
          </cell>
          <cell r="G132">
            <v>3.9</v>
          </cell>
          <cell r="H132">
            <v>71240</v>
          </cell>
        </row>
        <row r="133">
          <cell r="A133" t="str">
            <v>49-2093</v>
          </cell>
          <cell r="B133" t="str">
            <v>Electrical and Electronics Installers and Repairers, Transportation Equipment</v>
          </cell>
          <cell r="C133" t="str">
            <v>detailed</v>
          </cell>
          <cell r="D133">
            <v>6940</v>
          </cell>
          <cell r="E133">
            <v>4.5999999999999996</v>
          </cell>
          <cell r="F133">
            <v>83300</v>
          </cell>
          <cell r="G133">
            <v>1.6</v>
          </cell>
          <cell r="H133">
            <v>84890</v>
          </cell>
        </row>
        <row r="134">
          <cell r="A134" t="str">
            <v>19-4043</v>
          </cell>
          <cell r="B134" t="str">
            <v>Geological Technicians, Except Hydrologic Technicians</v>
          </cell>
          <cell r="C134" t="str">
            <v>detailed</v>
          </cell>
          <cell r="D134">
            <v>6980</v>
          </cell>
          <cell r="E134">
            <v>8.3000000000000007</v>
          </cell>
          <cell r="F134">
            <v>61870</v>
          </cell>
          <cell r="G134">
            <v>3.5</v>
          </cell>
          <cell r="H134">
            <v>53350</v>
          </cell>
        </row>
        <row r="135">
          <cell r="A135" t="str">
            <v>39-3099</v>
          </cell>
          <cell r="B135" t="str">
            <v>Entertainment Attendants and Related Workers, All Other</v>
          </cell>
          <cell r="C135" t="str">
            <v>detailed</v>
          </cell>
          <cell r="D135">
            <v>7060</v>
          </cell>
          <cell r="E135">
            <v>7.8</v>
          </cell>
          <cell r="F135">
            <v>34980</v>
          </cell>
          <cell r="G135">
            <v>1.8</v>
          </cell>
          <cell r="H135">
            <v>32640</v>
          </cell>
        </row>
        <row r="136">
          <cell r="A136" t="str">
            <v>51-6041</v>
          </cell>
          <cell r="B136" t="str">
            <v>Shoe and Leather Workers and Repairers</v>
          </cell>
          <cell r="C136" t="str">
            <v>detailed</v>
          </cell>
          <cell r="D136">
            <v>7450</v>
          </cell>
          <cell r="E136">
            <v>8</v>
          </cell>
          <cell r="F136">
            <v>39160</v>
          </cell>
          <cell r="G136">
            <v>1.4</v>
          </cell>
          <cell r="H136">
            <v>37800</v>
          </cell>
        </row>
        <row r="137">
          <cell r="A137" t="str">
            <v>19-1090</v>
          </cell>
          <cell r="B137" t="str">
            <v>Miscellaneous Life Scientists</v>
          </cell>
          <cell r="C137" t="str">
            <v>broad</v>
          </cell>
          <cell r="D137">
            <v>7460</v>
          </cell>
          <cell r="E137">
            <v>6.6</v>
          </cell>
          <cell r="F137">
            <v>107860</v>
          </cell>
          <cell r="G137">
            <v>5.8</v>
          </cell>
          <cell r="H137">
            <v>93750</v>
          </cell>
        </row>
        <row r="138">
          <cell r="A138" t="str">
            <v>19-1099</v>
          </cell>
          <cell r="B138" t="str">
            <v>Life Scientists, All Other</v>
          </cell>
          <cell r="C138" t="str">
            <v>detailed</v>
          </cell>
          <cell r="D138">
            <v>7460</v>
          </cell>
          <cell r="E138">
            <v>6.6</v>
          </cell>
          <cell r="F138">
            <v>107860</v>
          </cell>
          <cell r="G138">
            <v>5.8</v>
          </cell>
          <cell r="H138">
            <v>93750</v>
          </cell>
        </row>
        <row r="139">
          <cell r="A139" t="str">
            <v>47-3014</v>
          </cell>
          <cell r="B139" t="str">
            <v>Helpers--Painters, Paperhangers, Plasterers, and Stucco Masons</v>
          </cell>
          <cell r="C139" t="str">
            <v>detailed</v>
          </cell>
          <cell r="D139">
            <v>7490</v>
          </cell>
          <cell r="E139">
            <v>12.3</v>
          </cell>
          <cell r="F139">
            <v>42440</v>
          </cell>
          <cell r="G139">
            <v>2.2999999999999998</v>
          </cell>
          <cell r="H139">
            <v>40470</v>
          </cell>
        </row>
        <row r="140">
          <cell r="A140" t="str">
            <v>25-1031</v>
          </cell>
          <cell r="B140" t="str">
            <v>Architecture Teachers, Postsecondary</v>
          </cell>
          <cell r="C140" t="str">
            <v>detailed</v>
          </cell>
          <cell r="D140">
            <v>7700</v>
          </cell>
          <cell r="E140">
            <v>0.8</v>
          </cell>
          <cell r="F140">
            <v>101250</v>
          </cell>
          <cell r="G140">
            <v>0.4</v>
          </cell>
          <cell r="H140">
            <v>96870</v>
          </cell>
        </row>
        <row r="141">
          <cell r="A141" t="str">
            <v>51-9194</v>
          </cell>
          <cell r="B141" t="str">
            <v>Etchers and Engravers</v>
          </cell>
          <cell r="C141" t="str">
            <v>detailed</v>
          </cell>
          <cell r="D141">
            <v>7750</v>
          </cell>
          <cell r="E141">
            <v>4.8</v>
          </cell>
          <cell r="F141">
            <v>46320</v>
          </cell>
          <cell r="G141">
            <v>1.6</v>
          </cell>
          <cell r="H141">
            <v>43310</v>
          </cell>
        </row>
        <row r="142">
          <cell r="A142" t="str">
            <v>47-2022</v>
          </cell>
          <cell r="B142" t="str">
            <v>Stonemasons</v>
          </cell>
          <cell r="C142" t="str">
            <v>detailed</v>
          </cell>
          <cell r="D142">
            <v>7820</v>
          </cell>
          <cell r="E142">
            <v>9.8000000000000007</v>
          </cell>
          <cell r="F142">
            <v>60710</v>
          </cell>
          <cell r="G142">
            <v>3.2</v>
          </cell>
          <cell r="H142">
            <v>57390</v>
          </cell>
        </row>
        <row r="143">
          <cell r="A143" t="str">
            <v>29-1291</v>
          </cell>
          <cell r="B143" t="str">
            <v>Acupuncturists</v>
          </cell>
          <cell r="C143" t="str">
            <v>detailed</v>
          </cell>
          <cell r="D143">
            <v>7830</v>
          </cell>
          <cell r="E143">
            <v>12.9</v>
          </cell>
          <cell r="F143">
            <v>87020</v>
          </cell>
          <cell r="G143">
            <v>5.6</v>
          </cell>
          <cell r="H143">
            <v>76040</v>
          </cell>
        </row>
        <row r="144">
          <cell r="A144" t="str">
            <v>53-6040</v>
          </cell>
          <cell r="B144" t="str">
            <v>Traffic Technicians</v>
          </cell>
          <cell r="C144" t="str">
            <v>broad</v>
          </cell>
          <cell r="D144">
            <v>7860</v>
          </cell>
          <cell r="E144">
            <v>5</v>
          </cell>
          <cell r="F144">
            <v>62050</v>
          </cell>
          <cell r="G144">
            <v>1.1000000000000001</v>
          </cell>
          <cell r="H144">
            <v>59090</v>
          </cell>
        </row>
        <row r="145">
          <cell r="A145" t="str">
            <v>53-6041</v>
          </cell>
          <cell r="B145" t="str">
            <v>Traffic Technicians</v>
          </cell>
          <cell r="C145" t="str">
            <v>detailed</v>
          </cell>
          <cell r="D145">
            <v>7860</v>
          </cell>
          <cell r="E145">
            <v>5</v>
          </cell>
          <cell r="F145">
            <v>62050</v>
          </cell>
          <cell r="G145">
            <v>1.1000000000000001</v>
          </cell>
          <cell r="H145">
            <v>59090</v>
          </cell>
        </row>
        <row r="146">
          <cell r="A146" t="str">
            <v>27-2091</v>
          </cell>
          <cell r="B146" t="str">
            <v>Disc Jockeys, Except Radio</v>
          </cell>
          <cell r="C146" t="str">
            <v>detailed</v>
          </cell>
          <cell r="D146">
            <v>7920</v>
          </cell>
          <cell r="E146">
            <v>9.3000000000000007</v>
          </cell>
          <cell r="F146" t="str">
            <v>*</v>
          </cell>
          <cell r="G146">
            <v>8.1</v>
          </cell>
          <cell r="H146" t="str">
            <v>*</v>
          </cell>
        </row>
        <row r="147">
          <cell r="A147" t="str">
            <v>29-1160</v>
          </cell>
          <cell r="B147" t="str">
            <v>Nurse Midwives</v>
          </cell>
          <cell r="C147" t="str">
            <v>broad</v>
          </cell>
          <cell r="D147">
            <v>7920</v>
          </cell>
          <cell r="E147">
            <v>5.5</v>
          </cell>
          <cell r="F147">
            <v>136980</v>
          </cell>
          <cell r="G147">
            <v>1</v>
          </cell>
          <cell r="H147">
            <v>134040</v>
          </cell>
        </row>
        <row r="148">
          <cell r="A148" t="str">
            <v>29-1161</v>
          </cell>
          <cell r="B148" t="str">
            <v>Nurse Midwives</v>
          </cell>
          <cell r="C148" t="str">
            <v>detailed</v>
          </cell>
          <cell r="D148">
            <v>7920</v>
          </cell>
          <cell r="E148">
            <v>5.5</v>
          </cell>
          <cell r="F148">
            <v>136980</v>
          </cell>
          <cell r="G148">
            <v>1</v>
          </cell>
          <cell r="H148">
            <v>134040</v>
          </cell>
        </row>
        <row r="149">
          <cell r="A149" t="str">
            <v>51-9123</v>
          </cell>
          <cell r="B149" t="str">
            <v>Painting, Coating, and Decorating Workers</v>
          </cell>
          <cell r="C149" t="str">
            <v>detailed</v>
          </cell>
          <cell r="D149">
            <v>7940</v>
          </cell>
          <cell r="E149">
            <v>9.9</v>
          </cell>
          <cell r="F149">
            <v>45210</v>
          </cell>
          <cell r="G149">
            <v>1.7</v>
          </cell>
          <cell r="H149">
            <v>41600</v>
          </cell>
        </row>
        <row r="150">
          <cell r="A150" t="str">
            <v>25-4011</v>
          </cell>
          <cell r="B150" t="str">
            <v>Archivists</v>
          </cell>
          <cell r="C150" t="str">
            <v>detailed</v>
          </cell>
          <cell r="D150">
            <v>7970</v>
          </cell>
          <cell r="E150">
            <v>3.5</v>
          </cell>
          <cell r="F150">
            <v>70640</v>
          </cell>
          <cell r="G150">
            <v>1.1000000000000001</v>
          </cell>
          <cell r="H150">
            <v>64550</v>
          </cell>
        </row>
        <row r="151">
          <cell r="A151" t="str">
            <v>39-5093</v>
          </cell>
          <cell r="B151" t="str">
            <v>Shampooers</v>
          </cell>
          <cell r="C151" t="str">
            <v>detailed</v>
          </cell>
          <cell r="D151">
            <v>8070</v>
          </cell>
          <cell r="E151">
            <v>11.7</v>
          </cell>
          <cell r="F151">
            <v>31980</v>
          </cell>
          <cell r="G151">
            <v>2.4</v>
          </cell>
          <cell r="H151">
            <v>32600</v>
          </cell>
        </row>
        <row r="152">
          <cell r="A152" t="str">
            <v>27-2031</v>
          </cell>
          <cell r="B152" t="str">
            <v>Dancers</v>
          </cell>
          <cell r="C152" t="str">
            <v>detailed</v>
          </cell>
          <cell r="D152">
            <v>8130</v>
          </cell>
          <cell r="E152">
            <v>7.3</v>
          </cell>
          <cell r="F152" t="str">
            <v>*</v>
          </cell>
          <cell r="G152">
            <v>3.6</v>
          </cell>
          <cell r="H152" t="str">
            <v>*</v>
          </cell>
        </row>
        <row r="153">
          <cell r="A153" t="str">
            <v>25-9020</v>
          </cell>
          <cell r="B153" t="str">
            <v>Farm and Home Management Educators</v>
          </cell>
          <cell r="C153" t="str">
            <v>broad</v>
          </cell>
          <cell r="D153">
            <v>8220</v>
          </cell>
          <cell r="E153">
            <v>5.9</v>
          </cell>
          <cell r="F153">
            <v>61060</v>
          </cell>
          <cell r="G153">
            <v>1.2</v>
          </cell>
          <cell r="H153">
            <v>60220</v>
          </cell>
        </row>
        <row r="154">
          <cell r="A154" t="str">
            <v>25-9021</v>
          </cell>
          <cell r="B154" t="str">
            <v>Farm and Home Management Educators</v>
          </cell>
          <cell r="C154" t="str">
            <v>detailed</v>
          </cell>
          <cell r="D154">
            <v>8220</v>
          </cell>
          <cell r="E154">
            <v>5.9</v>
          </cell>
          <cell r="F154">
            <v>61060</v>
          </cell>
          <cell r="G154">
            <v>1.2</v>
          </cell>
          <cell r="H154">
            <v>60220</v>
          </cell>
        </row>
        <row r="155">
          <cell r="A155" t="str">
            <v>17-2120</v>
          </cell>
          <cell r="B155" t="str">
            <v>Marine Engineers and Naval Architects</v>
          </cell>
          <cell r="C155" t="str">
            <v>broad</v>
          </cell>
          <cell r="D155">
            <v>8250</v>
          </cell>
          <cell r="E155">
            <v>5.5</v>
          </cell>
          <cell r="F155">
            <v>124180</v>
          </cell>
          <cell r="G155">
            <v>1</v>
          </cell>
          <cell r="H155">
            <v>112230</v>
          </cell>
        </row>
        <row r="156">
          <cell r="A156" t="str">
            <v>17-2121</v>
          </cell>
          <cell r="B156" t="str">
            <v>Marine Engineers and Naval Architects</v>
          </cell>
          <cell r="C156" t="str">
            <v>detailed</v>
          </cell>
          <cell r="D156">
            <v>8250</v>
          </cell>
          <cell r="E156">
            <v>5.5</v>
          </cell>
          <cell r="F156">
            <v>124180</v>
          </cell>
          <cell r="G156">
            <v>1</v>
          </cell>
          <cell r="H156">
            <v>112230</v>
          </cell>
        </row>
        <row r="157">
          <cell r="A157" t="str">
            <v>19-3020</v>
          </cell>
          <cell r="B157" t="str">
            <v>Survey Researchers</v>
          </cell>
          <cell r="C157" t="str">
            <v>broad</v>
          </cell>
          <cell r="D157">
            <v>8290</v>
          </cell>
          <cell r="E157">
            <v>5.3</v>
          </cell>
          <cell r="F157">
            <v>79580</v>
          </cell>
          <cell r="G157">
            <v>2.7</v>
          </cell>
          <cell r="H157">
            <v>69460</v>
          </cell>
        </row>
        <row r="158">
          <cell r="A158" t="str">
            <v>19-3022</v>
          </cell>
          <cell r="B158" t="str">
            <v>Survey Researchers</v>
          </cell>
          <cell r="C158" t="str">
            <v>detailed</v>
          </cell>
          <cell r="D158">
            <v>8290</v>
          </cell>
          <cell r="E158">
            <v>5.3</v>
          </cell>
          <cell r="F158">
            <v>79580</v>
          </cell>
          <cell r="G158">
            <v>2.7</v>
          </cell>
          <cell r="H158">
            <v>69460</v>
          </cell>
        </row>
        <row r="159">
          <cell r="A159" t="str">
            <v>53-5030</v>
          </cell>
          <cell r="B159" t="str">
            <v>Ship Engineers</v>
          </cell>
          <cell r="C159" t="str">
            <v>broad</v>
          </cell>
          <cell r="D159">
            <v>8400</v>
          </cell>
          <cell r="E159">
            <v>4.4000000000000004</v>
          </cell>
          <cell r="F159">
            <v>111790</v>
          </cell>
          <cell r="G159">
            <v>1.2</v>
          </cell>
          <cell r="H159">
            <v>109530</v>
          </cell>
        </row>
        <row r="160">
          <cell r="A160" t="str">
            <v>53-5031</v>
          </cell>
          <cell r="B160" t="str">
            <v>Ship Engineers</v>
          </cell>
          <cell r="C160" t="str">
            <v>detailed</v>
          </cell>
          <cell r="D160">
            <v>8400</v>
          </cell>
          <cell r="E160">
            <v>4.4000000000000004</v>
          </cell>
          <cell r="F160">
            <v>111790</v>
          </cell>
          <cell r="G160">
            <v>1.2</v>
          </cell>
          <cell r="H160">
            <v>109530</v>
          </cell>
        </row>
        <row r="161">
          <cell r="A161" t="str">
            <v>19-2032</v>
          </cell>
          <cell r="B161" t="str">
            <v>Materials Scientists</v>
          </cell>
          <cell r="C161" t="str">
            <v>detailed</v>
          </cell>
          <cell r="D161">
            <v>8470</v>
          </cell>
          <cell r="E161">
            <v>6.4</v>
          </cell>
          <cell r="F161">
            <v>126180</v>
          </cell>
          <cell r="G161">
            <v>1.2</v>
          </cell>
          <cell r="H161">
            <v>117790</v>
          </cell>
        </row>
        <row r="162">
          <cell r="A162" t="str">
            <v>51-8012</v>
          </cell>
          <cell r="B162" t="str">
            <v>Power Distributors and Dispatchers</v>
          </cell>
          <cell r="C162" t="str">
            <v>detailed</v>
          </cell>
          <cell r="D162">
            <v>8520</v>
          </cell>
          <cell r="E162">
            <v>5.7</v>
          </cell>
          <cell r="F162">
            <v>111320</v>
          </cell>
          <cell r="G162">
            <v>0.9</v>
          </cell>
          <cell r="H162">
            <v>106730</v>
          </cell>
        </row>
        <row r="163">
          <cell r="A163" t="str">
            <v>49-2096</v>
          </cell>
          <cell r="B163" t="str">
            <v>Electronic Equipment Installers and Repairers, Motor Vehicles</v>
          </cell>
          <cell r="C163" t="str">
            <v>detailed</v>
          </cell>
          <cell r="D163">
            <v>8550</v>
          </cell>
          <cell r="E163">
            <v>7.1</v>
          </cell>
          <cell r="F163">
            <v>51560</v>
          </cell>
          <cell r="G163">
            <v>1.9</v>
          </cell>
          <cell r="H163">
            <v>48420</v>
          </cell>
        </row>
        <row r="164">
          <cell r="A164" t="str">
            <v>29-1128</v>
          </cell>
          <cell r="B164" t="str">
            <v>Exercise Physiologists</v>
          </cell>
          <cell r="C164" t="str">
            <v>detailed</v>
          </cell>
          <cell r="D164">
            <v>8560</v>
          </cell>
          <cell r="E164">
            <v>5.4</v>
          </cell>
          <cell r="F164">
            <v>60940</v>
          </cell>
          <cell r="G164">
            <v>1.3</v>
          </cell>
          <cell r="H164">
            <v>59460</v>
          </cell>
        </row>
        <row r="165">
          <cell r="A165" t="str">
            <v>49-9097</v>
          </cell>
          <cell r="B165" t="str">
            <v>Signal and Track Switch Repairers</v>
          </cell>
          <cell r="C165" t="str">
            <v>detailed</v>
          </cell>
          <cell r="D165">
            <v>8720</v>
          </cell>
          <cell r="E165">
            <v>2.5</v>
          </cell>
          <cell r="F165">
            <v>90410</v>
          </cell>
          <cell r="G165">
            <v>0.9</v>
          </cell>
          <cell r="H165">
            <v>92460</v>
          </cell>
        </row>
        <row r="166">
          <cell r="A166" t="str">
            <v>27-4015</v>
          </cell>
          <cell r="B166" t="str">
            <v>Lighting Technicians</v>
          </cell>
          <cell r="C166" t="str">
            <v>detailed</v>
          </cell>
          <cell r="D166">
            <v>8900</v>
          </cell>
          <cell r="E166">
            <v>6.2</v>
          </cell>
          <cell r="F166">
            <v>78380</v>
          </cell>
          <cell r="G166">
            <v>1.9</v>
          </cell>
          <cell r="H166">
            <v>68060</v>
          </cell>
        </row>
        <row r="167">
          <cell r="A167" t="str">
            <v>25-1041</v>
          </cell>
          <cell r="B167" t="str">
            <v>Agricultural Sciences Teachers, Postsecondary</v>
          </cell>
          <cell r="C167" t="str">
            <v>detailed</v>
          </cell>
          <cell r="D167">
            <v>8920</v>
          </cell>
          <cell r="E167">
            <v>2.2999999999999998</v>
          </cell>
          <cell r="F167">
            <v>102050</v>
          </cell>
          <cell r="G167">
            <v>0.7</v>
          </cell>
          <cell r="H167">
            <v>98700</v>
          </cell>
        </row>
        <row r="168">
          <cell r="A168" t="str">
            <v>51-4022</v>
          </cell>
          <cell r="B168" t="str">
            <v>Forging Machine Setters, Operators, and Tenders, Metal and Plastic</v>
          </cell>
          <cell r="C168" t="str">
            <v>detailed</v>
          </cell>
          <cell r="D168">
            <v>8930</v>
          </cell>
          <cell r="E168">
            <v>5.9</v>
          </cell>
          <cell r="F168">
            <v>51680</v>
          </cell>
          <cell r="G168">
            <v>1.3</v>
          </cell>
          <cell r="H168">
            <v>49030</v>
          </cell>
        </row>
        <row r="169">
          <cell r="A169" t="str">
            <v>29-1241</v>
          </cell>
          <cell r="B169" t="str">
            <v>Ophthalmologists, Except Pediatric</v>
          </cell>
          <cell r="C169" t="str">
            <v>detailed</v>
          </cell>
          <cell r="D169">
            <v>8950</v>
          </cell>
          <cell r="E169">
            <v>13</v>
          </cell>
          <cell r="F169">
            <v>304650</v>
          </cell>
          <cell r="G169">
            <v>5.4</v>
          </cell>
          <cell r="H169">
            <v>300080</v>
          </cell>
        </row>
        <row r="170">
          <cell r="A170" t="str">
            <v>39-3012</v>
          </cell>
          <cell r="B170" t="str">
            <v>Gambling and Sports Book Writers and Runners</v>
          </cell>
          <cell r="C170" t="str">
            <v>detailed</v>
          </cell>
          <cell r="D170">
            <v>8950</v>
          </cell>
          <cell r="E170">
            <v>4.4000000000000004</v>
          </cell>
          <cell r="F170">
            <v>36450</v>
          </cell>
          <cell r="G170">
            <v>1.4</v>
          </cell>
          <cell r="H170">
            <v>34980</v>
          </cell>
        </row>
        <row r="171">
          <cell r="A171" t="str">
            <v>19-3091</v>
          </cell>
          <cell r="B171" t="str">
            <v>Anthropologists and Archeologists</v>
          </cell>
          <cell r="C171" t="str">
            <v>detailed</v>
          </cell>
          <cell r="D171">
            <v>8990</v>
          </cell>
          <cell r="E171">
            <v>6.6</v>
          </cell>
          <cell r="F171">
            <v>75620</v>
          </cell>
          <cell r="G171">
            <v>1.1000000000000001</v>
          </cell>
          <cell r="H171">
            <v>70770</v>
          </cell>
        </row>
        <row r="172">
          <cell r="A172" t="str">
            <v>51-6062</v>
          </cell>
          <cell r="B172" t="str">
            <v>Textile Cutting Machine Setters, Operators, and Tenders</v>
          </cell>
          <cell r="C172" t="str">
            <v>detailed</v>
          </cell>
          <cell r="D172">
            <v>9000</v>
          </cell>
          <cell r="E172">
            <v>4.4000000000000004</v>
          </cell>
          <cell r="F172">
            <v>39530</v>
          </cell>
          <cell r="G172">
            <v>0.9</v>
          </cell>
          <cell r="H172">
            <v>38760</v>
          </cell>
        </row>
        <row r="173">
          <cell r="A173" t="str">
            <v>33-3040</v>
          </cell>
          <cell r="B173" t="str">
            <v>Parking Enforcement Workers</v>
          </cell>
          <cell r="C173" t="str">
            <v>broad</v>
          </cell>
          <cell r="D173">
            <v>9050</v>
          </cell>
          <cell r="E173">
            <v>4.8</v>
          </cell>
          <cell r="F173">
            <v>51190</v>
          </cell>
          <cell r="G173">
            <v>0.9</v>
          </cell>
          <cell r="H173">
            <v>46730</v>
          </cell>
        </row>
        <row r="174">
          <cell r="A174" t="str">
            <v>33-3041</v>
          </cell>
          <cell r="B174" t="str">
            <v>Parking Enforcement Workers</v>
          </cell>
          <cell r="C174" t="str">
            <v>detailed</v>
          </cell>
          <cell r="D174">
            <v>9050</v>
          </cell>
          <cell r="E174">
            <v>4.8</v>
          </cell>
          <cell r="F174">
            <v>51190</v>
          </cell>
          <cell r="G174">
            <v>0.9</v>
          </cell>
          <cell r="H174">
            <v>46730</v>
          </cell>
        </row>
        <row r="175">
          <cell r="A175" t="str">
            <v>23-1022</v>
          </cell>
          <cell r="B175" t="str">
            <v>Arbitrators, Mediators, and Conciliators</v>
          </cell>
          <cell r="C175" t="str">
            <v>detailed</v>
          </cell>
          <cell r="D175">
            <v>9210</v>
          </cell>
          <cell r="E175">
            <v>10.7</v>
          </cell>
          <cell r="F175">
            <v>91010</v>
          </cell>
          <cell r="G175">
            <v>5.7</v>
          </cell>
          <cell r="H175">
            <v>75530</v>
          </cell>
        </row>
        <row r="176">
          <cell r="A176" t="str">
            <v>29-2091</v>
          </cell>
          <cell r="B176" t="str">
            <v>Orthotists and Prosthetists</v>
          </cell>
          <cell r="C176" t="str">
            <v>detailed</v>
          </cell>
          <cell r="D176">
            <v>9390</v>
          </cell>
          <cell r="E176">
            <v>9.6999999999999993</v>
          </cell>
          <cell r="F176">
            <v>83740</v>
          </cell>
          <cell r="G176">
            <v>1.6</v>
          </cell>
          <cell r="H176">
            <v>81110</v>
          </cell>
        </row>
        <row r="177">
          <cell r="A177" t="str">
            <v>49-9069</v>
          </cell>
          <cell r="B177" t="str">
            <v>Precision Instrument and Equipment Repairers, All Other</v>
          </cell>
          <cell r="C177" t="str">
            <v>detailed</v>
          </cell>
          <cell r="D177">
            <v>9400</v>
          </cell>
          <cell r="E177">
            <v>5.3</v>
          </cell>
          <cell r="F177">
            <v>71180</v>
          </cell>
          <cell r="G177">
            <v>2</v>
          </cell>
          <cell r="H177">
            <v>68990</v>
          </cell>
        </row>
        <row r="178">
          <cell r="A178" t="str">
            <v>27-1029</v>
          </cell>
          <cell r="B178" t="str">
            <v>Designers, All Other</v>
          </cell>
          <cell r="C178" t="str">
            <v>detailed</v>
          </cell>
          <cell r="D178">
            <v>9480</v>
          </cell>
          <cell r="E178">
            <v>7.9</v>
          </cell>
          <cell r="F178">
            <v>79090</v>
          </cell>
          <cell r="G178">
            <v>2.5</v>
          </cell>
          <cell r="H178">
            <v>64950</v>
          </cell>
        </row>
        <row r="179">
          <cell r="A179" t="str">
            <v>33-9031</v>
          </cell>
          <cell r="B179" t="str">
            <v>Gambling Surveillance Officers and Gambling Investigators</v>
          </cell>
          <cell r="C179" t="str">
            <v>detailed</v>
          </cell>
          <cell r="D179">
            <v>9520</v>
          </cell>
          <cell r="E179">
            <v>1.4</v>
          </cell>
          <cell r="F179">
            <v>45630</v>
          </cell>
          <cell r="G179">
            <v>0.4</v>
          </cell>
          <cell r="H179">
            <v>43370</v>
          </cell>
        </row>
        <row r="180">
          <cell r="A180" t="str">
            <v>29-1080</v>
          </cell>
          <cell r="B180" t="str">
            <v>Podiatrists</v>
          </cell>
          <cell r="C180" t="str">
            <v>broad</v>
          </cell>
          <cell r="D180">
            <v>9680</v>
          </cell>
          <cell r="E180">
            <v>3.8</v>
          </cell>
          <cell r="F180">
            <v>175480</v>
          </cell>
          <cell r="G180">
            <v>2.2000000000000002</v>
          </cell>
          <cell r="H180">
            <v>160300</v>
          </cell>
        </row>
        <row r="181">
          <cell r="A181" t="str">
            <v>29-1081</v>
          </cell>
          <cell r="B181" t="str">
            <v>Podiatrists</v>
          </cell>
          <cell r="C181" t="str">
            <v>detailed</v>
          </cell>
          <cell r="D181">
            <v>9680</v>
          </cell>
          <cell r="E181">
            <v>3.8</v>
          </cell>
          <cell r="F181">
            <v>175480</v>
          </cell>
          <cell r="G181">
            <v>2.2000000000000002</v>
          </cell>
          <cell r="H181">
            <v>160300</v>
          </cell>
        </row>
        <row r="182">
          <cell r="A182" t="str">
            <v>53-1041</v>
          </cell>
          <cell r="B182" t="str">
            <v>Aircraft Cargo Handling Supervisors</v>
          </cell>
          <cell r="C182" t="str">
            <v>detailed</v>
          </cell>
          <cell r="D182">
            <v>9760</v>
          </cell>
          <cell r="E182">
            <v>3.1</v>
          </cell>
          <cell r="F182">
            <v>65010</v>
          </cell>
          <cell r="G182">
            <v>1.2</v>
          </cell>
          <cell r="H182">
            <v>58170</v>
          </cell>
        </row>
        <row r="183">
          <cell r="A183" t="str">
            <v>53-7072</v>
          </cell>
          <cell r="B183" t="str">
            <v>Pump Operators, Except Wellhead Pumpers</v>
          </cell>
          <cell r="C183" t="str">
            <v>detailed</v>
          </cell>
          <cell r="D183">
            <v>9780</v>
          </cell>
          <cell r="E183">
            <v>6.4</v>
          </cell>
          <cell r="F183">
            <v>63960</v>
          </cell>
          <cell r="G183">
            <v>2.2000000000000002</v>
          </cell>
          <cell r="H183">
            <v>61770</v>
          </cell>
        </row>
        <row r="184">
          <cell r="A184" t="str">
            <v>25-1051</v>
          </cell>
          <cell r="B184" t="str">
            <v>Atmospheric, Earth, Marine, and Space Sciences Teachers, Postsecondary</v>
          </cell>
          <cell r="C184" t="str">
            <v>detailed</v>
          </cell>
          <cell r="D184">
            <v>9900</v>
          </cell>
          <cell r="E184">
            <v>0.9</v>
          </cell>
          <cell r="F184">
            <v>116020</v>
          </cell>
          <cell r="G184">
            <v>0.3</v>
          </cell>
          <cell r="H184">
            <v>103170</v>
          </cell>
        </row>
        <row r="185">
          <cell r="A185" t="str">
            <v>49-9080</v>
          </cell>
          <cell r="B185" t="str">
            <v>Wind Turbine Service Technicians</v>
          </cell>
          <cell r="C185" t="str">
            <v>broad</v>
          </cell>
          <cell r="D185">
            <v>9980</v>
          </cell>
          <cell r="E185">
            <v>6.2</v>
          </cell>
          <cell r="F185">
            <v>68980</v>
          </cell>
          <cell r="G185">
            <v>1</v>
          </cell>
          <cell r="H185">
            <v>64120</v>
          </cell>
        </row>
        <row r="186">
          <cell r="A186" t="str">
            <v>49-9081</v>
          </cell>
          <cell r="B186" t="str">
            <v>Wind Turbine Service Technicians</v>
          </cell>
          <cell r="C186" t="str">
            <v>detailed</v>
          </cell>
          <cell r="D186">
            <v>9980</v>
          </cell>
          <cell r="E186">
            <v>6.2</v>
          </cell>
          <cell r="F186">
            <v>68980</v>
          </cell>
          <cell r="G186">
            <v>1</v>
          </cell>
          <cell r="H186">
            <v>64120</v>
          </cell>
        </row>
        <row r="187">
          <cell r="A187" t="str">
            <v>19-2020</v>
          </cell>
          <cell r="B187" t="str">
            <v>Atmospheric and Space Scientists</v>
          </cell>
          <cell r="C187" t="str">
            <v>broad</v>
          </cell>
          <cell r="D187">
            <v>10000</v>
          </cell>
          <cell r="E187">
            <v>4.4000000000000004</v>
          </cell>
          <cell r="F187">
            <v>106110</v>
          </cell>
          <cell r="G187">
            <v>1.8</v>
          </cell>
          <cell r="H187">
            <v>99070</v>
          </cell>
        </row>
        <row r="188">
          <cell r="A188" t="str">
            <v>19-2021</v>
          </cell>
          <cell r="B188" t="str">
            <v>Atmospheric and Space Scientists</v>
          </cell>
          <cell r="C188" t="str">
            <v>detailed</v>
          </cell>
          <cell r="D188">
            <v>10000</v>
          </cell>
          <cell r="E188">
            <v>4.4000000000000004</v>
          </cell>
          <cell r="F188">
            <v>106110</v>
          </cell>
          <cell r="G188">
            <v>1.8</v>
          </cell>
          <cell r="H188">
            <v>99070</v>
          </cell>
        </row>
        <row r="189">
          <cell r="A189" t="str">
            <v>47-2010</v>
          </cell>
          <cell r="B189" t="str">
            <v>Boilermakers</v>
          </cell>
          <cell r="C189" t="str">
            <v>broad</v>
          </cell>
          <cell r="D189">
            <v>10190</v>
          </cell>
          <cell r="E189">
            <v>5.3</v>
          </cell>
          <cell r="F189">
            <v>80090</v>
          </cell>
          <cell r="G189">
            <v>1.5</v>
          </cell>
          <cell r="H189">
            <v>76410</v>
          </cell>
        </row>
        <row r="190">
          <cell r="A190" t="str">
            <v>47-2011</v>
          </cell>
          <cell r="B190" t="str">
            <v>Boilermakers</v>
          </cell>
          <cell r="C190" t="str">
            <v>detailed</v>
          </cell>
          <cell r="D190">
            <v>10190</v>
          </cell>
          <cell r="E190">
            <v>5.3</v>
          </cell>
          <cell r="F190">
            <v>80090</v>
          </cell>
          <cell r="G190">
            <v>1.5</v>
          </cell>
          <cell r="H190">
            <v>76410</v>
          </cell>
        </row>
        <row r="191">
          <cell r="A191" t="str">
            <v>53-4040</v>
          </cell>
          <cell r="B191" t="str">
            <v>Subway and Streetcar Operators</v>
          </cell>
          <cell r="C191" t="str">
            <v>broad</v>
          </cell>
          <cell r="D191">
            <v>10200</v>
          </cell>
          <cell r="E191">
            <v>2.2000000000000002</v>
          </cell>
          <cell r="F191">
            <v>77170</v>
          </cell>
          <cell r="G191">
            <v>0.5</v>
          </cell>
          <cell r="H191">
            <v>86380</v>
          </cell>
        </row>
        <row r="192">
          <cell r="A192" t="str">
            <v>53-4041</v>
          </cell>
          <cell r="B192" t="str">
            <v>Subway and Streetcar Operators</v>
          </cell>
          <cell r="C192" t="str">
            <v>detailed</v>
          </cell>
          <cell r="D192">
            <v>10200</v>
          </cell>
          <cell r="E192">
            <v>2.2000000000000002</v>
          </cell>
          <cell r="F192">
            <v>77170</v>
          </cell>
          <cell r="G192">
            <v>0.5</v>
          </cell>
          <cell r="H192">
            <v>86380</v>
          </cell>
        </row>
        <row r="193">
          <cell r="A193" t="str">
            <v>19-1032</v>
          </cell>
          <cell r="B193" t="str">
            <v>Foresters</v>
          </cell>
          <cell r="C193" t="str">
            <v>detailed</v>
          </cell>
          <cell r="D193">
            <v>10430</v>
          </cell>
          <cell r="E193">
            <v>3.2</v>
          </cell>
          <cell r="F193">
            <v>79170</v>
          </cell>
          <cell r="G193">
            <v>0.9</v>
          </cell>
          <cell r="H193">
            <v>76400</v>
          </cell>
        </row>
        <row r="194">
          <cell r="A194" t="str">
            <v>11-9179</v>
          </cell>
          <cell r="B194" t="str">
            <v>Personal Service Managers, All Other</v>
          </cell>
          <cell r="C194" t="str">
            <v>detailed</v>
          </cell>
          <cell r="D194">
            <v>10450</v>
          </cell>
          <cell r="E194">
            <v>4.7</v>
          </cell>
          <cell r="F194">
            <v>78190</v>
          </cell>
          <cell r="G194">
            <v>1.8</v>
          </cell>
          <cell r="H194">
            <v>69770</v>
          </cell>
        </row>
        <row r="195">
          <cell r="A195" t="str">
            <v>51-9022</v>
          </cell>
          <cell r="B195" t="str">
            <v>Grinding and Polishing Workers, Hand</v>
          </cell>
          <cell r="C195" t="str">
            <v>detailed</v>
          </cell>
          <cell r="D195">
            <v>10510</v>
          </cell>
          <cell r="E195">
            <v>4.7</v>
          </cell>
          <cell r="F195">
            <v>45020</v>
          </cell>
          <cell r="G195">
            <v>1.1000000000000001</v>
          </cell>
          <cell r="H195">
            <v>42660</v>
          </cell>
        </row>
        <row r="196">
          <cell r="A196" t="str">
            <v>29-1217</v>
          </cell>
          <cell r="B196" t="str">
            <v>Neurologists</v>
          </cell>
          <cell r="C196" t="str">
            <v>detailed</v>
          </cell>
          <cell r="D196">
            <v>10590</v>
          </cell>
          <cell r="E196">
            <v>9.9</v>
          </cell>
          <cell r="F196">
            <v>267630</v>
          </cell>
          <cell r="G196">
            <v>6.6</v>
          </cell>
          <cell r="H196">
            <v>248560</v>
          </cell>
        </row>
        <row r="197">
          <cell r="A197" t="str">
            <v>47-5011</v>
          </cell>
          <cell r="B197" t="str">
            <v>Derrick Operators, Oil and Gas</v>
          </cell>
          <cell r="C197" t="str">
            <v>detailed</v>
          </cell>
          <cell r="D197">
            <v>10590</v>
          </cell>
          <cell r="E197">
            <v>7.4</v>
          </cell>
          <cell r="F197">
            <v>60210</v>
          </cell>
          <cell r="G197">
            <v>2.2000000000000002</v>
          </cell>
          <cell r="H197">
            <v>58620</v>
          </cell>
        </row>
        <row r="198">
          <cell r="A198" t="str">
            <v>27-1027</v>
          </cell>
          <cell r="B198" t="str">
            <v>Set and Exhibit Designers</v>
          </cell>
          <cell r="C198" t="str">
            <v>detailed</v>
          </cell>
          <cell r="D198">
            <v>10630</v>
          </cell>
          <cell r="E198">
            <v>6.5</v>
          </cell>
          <cell r="F198">
            <v>83160</v>
          </cell>
          <cell r="G198">
            <v>2.8</v>
          </cell>
          <cell r="H198">
            <v>75240</v>
          </cell>
        </row>
        <row r="199">
          <cell r="A199" t="str">
            <v>53-7120</v>
          </cell>
          <cell r="B199" t="str">
            <v>Tank Car, Truck, and Ship Loaders</v>
          </cell>
          <cell r="C199" t="str">
            <v>broad</v>
          </cell>
          <cell r="D199">
            <v>10700</v>
          </cell>
          <cell r="E199">
            <v>6</v>
          </cell>
          <cell r="F199">
            <v>59970</v>
          </cell>
          <cell r="G199">
            <v>1.4</v>
          </cell>
          <cell r="H199">
            <v>58870</v>
          </cell>
        </row>
        <row r="200">
          <cell r="A200" t="str">
            <v>53-7121</v>
          </cell>
          <cell r="B200" t="str">
            <v>Tank Car, Truck, and Ship Loaders</v>
          </cell>
          <cell r="C200" t="str">
            <v>detailed</v>
          </cell>
          <cell r="D200">
            <v>10700</v>
          </cell>
          <cell r="E200">
            <v>6</v>
          </cell>
          <cell r="F200">
            <v>59970</v>
          </cell>
          <cell r="G200">
            <v>1.4</v>
          </cell>
          <cell r="H200">
            <v>58870</v>
          </cell>
        </row>
        <row r="201">
          <cell r="A201" t="str">
            <v>51-6040</v>
          </cell>
          <cell r="B201" t="str">
            <v>Shoe and Leather Workers</v>
          </cell>
          <cell r="C201" t="str">
            <v>broad</v>
          </cell>
          <cell r="D201">
            <v>10730</v>
          </cell>
          <cell r="E201">
            <v>4.5999999999999996</v>
          </cell>
          <cell r="F201">
            <v>38280</v>
          </cell>
          <cell r="G201">
            <v>1.2</v>
          </cell>
          <cell r="H201">
            <v>37380</v>
          </cell>
        </row>
        <row r="202">
          <cell r="A202" t="str">
            <v>27-2030</v>
          </cell>
          <cell r="B202" t="str">
            <v>Dancers and Choreographers</v>
          </cell>
          <cell r="C202" t="str">
            <v>broad</v>
          </cell>
          <cell r="D202">
            <v>10990</v>
          </cell>
          <cell r="E202">
            <v>5.9</v>
          </cell>
          <cell r="F202">
            <v>66460</v>
          </cell>
          <cell r="G202">
            <v>2.6</v>
          </cell>
          <cell r="H202">
            <v>52830</v>
          </cell>
        </row>
        <row r="203">
          <cell r="A203" t="str">
            <v>29-1222</v>
          </cell>
          <cell r="B203" t="str">
            <v>Physicians, Pathologists</v>
          </cell>
          <cell r="C203" t="str">
            <v>detailed</v>
          </cell>
          <cell r="D203">
            <v>11110</v>
          </cell>
          <cell r="E203">
            <v>7.1</v>
          </cell>
          <cell r="F203">
            <v>285420</v>
          </cell>
          <cell r="G203">
            <v>3.5</v>
          </cell>
          <cell r="H203">
            <v>312400</v>
          </cell>
        </row>
        <row r="204">
          <cell r="A204" t="str">
            <v>49-2021</v>
          </cell>
          <cell r="B204" t="str">
            <v>Radio, Cellular, and Tower Equipment Installers and Repairers</v>
          </cell>
          <cell r="C204" t="str">
            <v>detailed</v>
          </cell>
          <cell r="D204">
            <v>11140</v>
          </cell>
          <cell r="E204">
            <v>7.1</v>
          </cell>
          <cell r="F204">
            <v>69870</v>
          </cell>
          <cell r="G204">
            <v>1.6</v>
          </cell>
          <cell r="H204">
            <v>63520</v>
          </cell>
        </row>
        <row r="205">
          <cell r="A205" t="str">
            <v>27-1013</v>
          </cell>
          <cell r="B205" t="str">
            <v>Fine Artists, Including Painters, Sculptors, and Illustrators</v>
          </cell>
          <cell r="C205" t="str">
            <v>detailed</v>
          </cell>
          <cell r="D205">
            <v>11220</v>
          </cell>
          <cell r="E205">
            <v>7.4</v>
          </cell>
          <cell r="F205">
            <v>73150</v>
          </cell>
          <cell r="G205">
            <v>3.8</v>
          </cell>
          <cell r="H205">
            <v>55490</v>
          </cell>
        </row>
        <row r="206">
          <cell r="A206" t="str">
            <v>29-2092</v>
          </cell>
          <cell r="B206" t="str">
            <v>Hearing Aid Specialists</v>
          </cell>
          <cell r="C206" t="str">
            <v>detailed</v>
          </cell>
          <cell r="D206">
            <v>11270</v>
          </cell>
          <cell r="E206">
            <v>5.6</v>
          </cell>
          <cell r="F206">
            <v>66370</v>
          </cell>
          <cell r="G206">
            <v>1.4</v>
          </cell>
          <cell r="H206">
            <v>65160</v>
          </cell>
        </row>
        <row r="207">
          <cell r="A207" t="str">
            <v>17-3021</v>
          </cell>
          <cell r="B207" t="str">
            <v>Aerospace Engineering and Operations Technologists and Technicians</v>
          </cell>
          <cell r="C207" t="str">
            <v>detailed</v>
          </cell>
          <cell r="D207">
            <v>11280</v>
          </cell>
          <cell r="E207">
            <v>3.7</v>
          </cell>
          <cell r="F207">
            <v>91310</v>
          </cell>
          <cell r="G207">
            <v>0.8</v>
          </cell>
          <cell r="H207">
            <v>82890</v>
          </cell>
        </row>
        <row r="208">
          <cell r="A208" t="str">
            <v>51-9082</v>
          </cell>
          <cell r="B208" t="str">
            <v>Medical Appliance Technicians</v>
          </cell>
          <cell r="C208" t="str">
            <v>detailed</v>
          </cell>
          <cell r="D208">
            <v>11280</v>
          </cell>
          <cell r="E208">
            <v>5.7</v>
          </cell>
          <cell r="F208">
            <v>52730</v>
          </cell>
          <cell r="G208">
            <v>1.4</v>
          </cell>
          <cell r="H208">
            <v>48030</v>
          </cell>
        </row>
        <row r="209">
          <cell r="A209" t="str">
            <v>25-1062</v>
          </cell>
          <cell r="B209" t="str">
            <v>Area, Ethnic, and Cultural Studies Teachers, Postsecondary</v>
          </cell>
          <cell r="C209" t="str">
            <v>detailed</v>
          </cell>
          <cell r="D209">
            <v>11300</v>
          </cell>
          <cell r="E209">
            <v>0.6</v>
          </cell>
          <cell r="F209">
            <v>98330</v>
          </cell>
          <cell r="G209">
            <v>0.3</v>
          </cell>
          <cell r="H209">
            <v>85020</v>
          </cell>
        </row>
        <row r="210">
          <cell r="A210" t="str">
            <v>29-1213</v>
          </cell>
          <cell r="B210" t="str">
            <v>Dermatologists</v>
          </cell>
          <cell r="C210" t="str">
            <v>detailed</v>
          </cell>
          <cell r="D210">
            <v>11370</v>
          </cell>
          <cell r="E210">
            <v>9.4</v>
          </cell>
          <cell r="F210">
            <v>323530</v>
          </cell>
          <cell r="G210">
            <v>4.2</v>
          </cell>
          <cell r="H210">
            <v>328730</v>
          </cell>
        </row>
        <row r="211">
          <cell r="A211" t="str">
            <v>51-9191</v>
          </cell>
          <cell r="B211" t="str">
            <v>Adhesive Bonding Machine Operators and Tenders</v>
          </cell>
          <cell r="C211" t="str">
            <v>detailed</v>
          </cell>
          <cell r="D211">
            <v>11500</v>
          </cell>
          <cell r="E211">
            <v>4</v>
          </cell>
          <cell r="F211">
            <v>46850</v>
          </cell>
          <cell r="G211">
            <v>1</v>
          </cell>
          <cell r="H211">
            <v>46460</v>
          </cell>
        </row>
        <row r="212">
          <cell r="A212" t="str">
            <v>13-1032</v>
          </cell>
          <cell r="B212" t="str">
            <v>Insurance Appraisers, Auto Damage</v>
          </cell>
          <cell r="C212" t="str">
            <v>detailed</v>
          </cell>
          <cell r="D212">
            <v>11560</v>
          </cell>
          <cell r="E212">
            <v>5.4</v>
          </cell>
          <cell r="F212">
            <v>78900</v>
          </cell>
          <cell r="G212">
            <v>1</v>
          </cell>
          <cell r="H212">
            <v>78240</v>
          </cell>
        </row>
        <row r="213">
          <cell r="A213" t="str">
            <v>25-1063</v>
          </cell>
          <cell r="B213" t="str">
            <v>Economics Teachers, Postsecondary</v>
          </cell>
          <cell r="C213" t="str">
            <v>detailed</v>
          </cell>
          <cell r="D213">
            <v>11560</v>
          </cell>
          <cell r="E213">
            <v>0.4</v>
          </cell>
          <cell r="F213">
            <v>138850</v>
          </cell>
          <cell r="G213">
            <v>0.3</v>
          </cell>
          <cell r="H213">
            <v>123920</v>
          </cell>
        </row>
        <row r="214">
          <cell r="A214" t="str">
            <v>25-1067</v>
          </cell>
          <cell r="B214" t="str">
            <v>Sociology Teachers, Postsecondary</v>
          </cell>
          <cell r="C214" t="str">
            <v>detailed</v>
          </cell>
          <cell r="D214">
            <v>11850</v>
          </cell>
          <cell r="E214">
            <v>0.9</v>
          </cell>
          <cell r="F214">
            <v>96980</v>
          </cell>
          <cell r="G214">
            <v>0.4</v>
          </cell>
          <cell r="H214">
            <v>84290</v>
          </cell>
        </row>
        <row r="215">
          <cell r="A215" t="str">
            <v>43-4040</v>
          </cell>
          <cell r="B215" t="str">
            <v>Credit Authorizers, Checkers, and Clerks</v>
          </cell>
          <cell r="C215" t="str">
            <v>broad</v>
          </cell>
          <cell r="D215">
            <v>12030</v>
          </cell>
          <cell r="E215">
            <v>4.0999999999999996</v>
          </cell>
          <cell r="F215">
            <v>51420</v>
          </cell>
          <cell r="G215">
            <v>1.2</v>
          </cell>
          <cell r="H215">
            <v>50080</v>
          </cell>
        </row>
        <row r="216">
          <cell r="A216" t="str">
            <v>43-4041</v>
          </cell>
          <cell r="B216" t="str">
            <v>Credit Authorizers, Checkers, and Clerks</v>
          </cell>
          <cell r="C216" t="str">
            <v>detailed</v>
          </cell>
          <cell r="D216">
            <v>12030</v>
          </cell>
          <cell r="E216">
            <v>4.0999999999999996</v>
          </cell>
          <cell r="F216">
            <v>51420</v>
          </cell>
          <cell r="G216">
            <v>1.2</v>
          </cell>
          <cell r="H216">
            <v>50080</v>
          </cell>
        </row>
        <row r="217">
          <cell r="A217" t="str">
            <v>33-9010</v>
          </cell>
          <cell r="B217" t="str">
            <v>Animal Control Workers</v>
          </cell>
          <cell r="C217" t="str">
            <v>broad</v>
          </cell>
          <cell r="D217">
            <v>12070</v>
          </cell>
          <cell r="E217">
            <v>2.1</v>
          </cell>
          <cell r="F217">
            <v>48440</v>
          </cell>
          <cell r="G217">
            <v>0.5</v>
          </cell>
          <cell r="H217">
            <v>45660</v>
          </cell>
        </row>
        <row r="218">
          <cell r="A218" t="str">
            <v>33-9011</v>
          </cell>
          <cell r="B218" t="str">
            <v>Animal Control Workers</v>
          </cell>
          <cell r="C218" t="str">
            <v>detailed</v>
          </cell>
          <cell r="D218">
            <v>12070</v>
          </cell>
          <cell r="E218">
            <v>2.1</v>
          </cell>
          <cell r="F218">
            <v>48440</v>
          </cell>
          <cell r="G218">
            <v>0.5</v>
          </cell>
          <cell r="H218">
            <v>45660</v>
          </cell>
        </row>
        <row r="219">
          <cell r="A219" t="str">
            <v>19-1041</v>
          </cell>
          <cell r="B219" t="str">
            <v>Epidemiologists</v>
          </cell>
          <cell r="C219" t="str">
            <v>detailed</v>
          </cell>
          <cell r="D219">
            <v>12090</v>
          </cell>
          <cell r="E219">
            <v>3.2</v>
          </cell>
          <cell r="F219">
            <v>97890</v>
          </cell>
          <cell r="G219">
            <v>1</v>
          </cell>
          <cell r="H219">
            <v>87220</v>
          </cell>
        </row>
        <row r="220">
          <cell r="A220" t="str">
            <v>25-4012</v>
          </cell>
          <cell r="B220" t="str">
            <v>Curators</v>
          </cell>
          <cell r="C220" t="str">
            <v>detailed</v>
          </cell>
          <cell r="D220">
            <v>12150</v>
          </cell>
          <cell r="E220">
            <v>2.4</v>
          </cell>
          <cell r="F220">
            <v>71560</v>
          </cell>
          <cell r="G220">
            <v>0.7</v>
          </cell>
          <cell r="H220">
            <v>63420</v>
          </cell>
        </row>
        <row r="221">
          <cell r="A221" t="str">
            <v>49-3091</v>
          </cell>
          <cell r="B221" t="str">
            <v>Bicycle Repairers</v>
          </cell>
          <cell r="C221" t="str">
            <v>detailed</v>
          </cell>
          <cell r="D221">
            <v>12170</v>
          </cell>
          <cell r="E221">
            <v>5.2</v>
          </cell>
          <cell r="F221">
            <v>42730</v>
          </cell>
          <cell r="G221">
            <v>1</v>
          </cell>
          <cell r="H221">
            <v>42780</v>
          </cell>
        </row>
        <row r="222">
          <cell r="A222" t="str">
            <v>17-3025</v>
          </cell>
          <cell r="B222" t="str">
            <v>Environmental Engineering Technologists and Technicians</v>
          </cell>
          <cell r="C222" t="str">
            <v>detailed</v>
          </cell>
          <cell r="D222">
            <v>12190</v>
          </cell>
          <cell r="E222">
            <v>5.4</v>
          </cell>
          <cell r="F222">
            <v>64870</v>
          </cell>
          <cell r="G222">
            <v>1.2</v>
          </cell>
          <cell r="H222">
            <v>59920</v>
          </cell>
        </row>
        <row r="223">
          <cell r="A223" t="str">
            <v>25-4013</v>
          </cell>
          <cell r="B223" t="str">
            <v>Museum Technicians and Conservators</v>
          </cell>
          <cell r="C223" t="str">
            <v>detailed</v>
          </cell>
          <cell r="D223">
            <v>12310</v>
          </cell>
          <cell r="E223">
            <v>4.7</v>
          </cell>
          <cell r="F223">
            <v>57410</v>
          </cell>
          <cell r="G223">
            <v>0.9</v>
          </cell>
          <cell r="H223">
            <v>51440</v>
          </cell>
        </row>
        <row r="224">
          <cell r="A224" t="str">
            <v>53-4020</v>
          </cell>
          <cell r="B224" t="str">
            <v>Railroad Brake, Signal, and Switch Operators and Locomotive Firers</v>
          </cell>
          <cell r="C224" t="str">
            <v>broad</v>
          </cell>
          <cell r="D224">
            <v>12400</v>
          </cell>
          <cell r="E224">
            <v>1.7</v>
          </cell>
          <cell r="F224">
            <v>69030</v>
          </cell>
          <cell r="G224">
            <v>0.5</v>
          </cell>
          <cell r="H224">
            <v>68840</v>
          </cell>
        </row>
        <row r="225">
          <cell r="A225" t="str">
            <v>53-4022</v>
          </cell>
          <cell r="B225" t="str">
            <v>Railroad Brake, Signal, and Switch Operators and Locomotive Firers</v>
          </cell>
          <cell r="C225" t="str">
            <v>detailed</v>
          </cell>
          <cell r="D225">
            <v>12400</v>
          </cell>
          <cell r="E225">
            <v>1.7</v>
          </cell>
          <cell r="F225">
            <v>69030</v>
          </cell>
          <cell r="G225">
            <v>0.5</v>
          </cell>
          <cell r="H225">
            <v>68840</v>
          </cell>
        </row>
        <row r="226">
          <cell r="A226" t="str">
            <v>27-4090</v>
          </cell>
          <cell r="B226" t="str">
            <v>Miscellaneous Media and Communication Equipment Workers</v>
          </cell>
          <cell r="C226" t="str">
            <v>broad</v>
          </cell>
          <cell r="D226">
            <v>12450</v>
          </cell>
          <cell r="E226">
            <v>6.3</v>
          </cell>
          <cell r="F226">
            <v>81040</v>
          </cell>
          <cell r="G226">
            <v>1.6</v>
          </cell>
          <cell r="H226">
            <v>70720</v>
          </cell>
        </row>
        <row r="227">
          <cell r="A227" t="str">
            <v>27-4099</v>
          </cell>
          <cell r="B227" t="str">
            <v>Media and Communication Equipment Workers, All Other</v>
          </cell>
          <cell r="C227" t="str">
            <v>detailed</v>
          </cell>
          <cell r="D227">
            <v>12450</v>
          </cell>
          <cell r="E227">
            <v>6.3</v>
          </cell>
          <cell r="F227">
            <v>81040</v>
          </cell>
          <cell r="G227">
            <v>1.6</v>
          </cell>
          <cell r="H227">
            <v>70720</v>
          </cell>
        </row>
        <row r="228">
          <cell r="A228" t="str">
            <v>51-4035</v>
          </cell>
          <cell r="B228" t="str">
            <v>Milling and Planing Machine Setters, Operators, and Tenders, Metal and Plastic</v>
          </cell>
          <cell r="C228" t="str">
            <v>detailed</v>
          </cell>
          <cell r="D228">
            <v>12460</v>
          </cell>
          <cell r="E228">
            <v>5.4</v>
          </cell>
          <cell r="F228">
            <v>56740</v>
          </cell>
          <cell r="G228">
            <v>1.4</v>
          </cell>
          <cell r="H228">
            <v>52800</v>
          </cell>
        </row>
        <row r="229">
          <cell r="A229" t="str">
            <v>27-2041</v>
          </cell>
          <cell r="B229" t="str">
            <v>Music Directors and Composers</v>
          </cell>
          <cell r="C229" t="str">
            <v>detailed</v>
          </cell>
          <cell r="D229">
            <v>12540</v>
          </cell>
          <cell r="E229">
            <v>6.3</v>
          </cell>
          <cell r="F229">
            <v>90470</v>
          </cell>
          <cell r="G229">
            <v>4.3</v>
          </cell>
          <cell r="H229">
            <v>73710</v>
          </cell>
        </row>
        <row r="230">
          <cell r="A230" t="str">
            <v>47-5012</v>
          </cell>
          <cell r="B230" t="str">
            <v>Rotary Drill Operators, Oil and Gas</v>
          </cell>
          <cell r="C230" t="str">
            <v>detailed</v>
          </cell>
          <cell r="D230">
            <v>12600</v>
          </cell>
          <cell r="E230">
            <v>5.8</v>
          </cell>
          <cell r="F230">
            <v>72130</v>
          </cell>
          <cell r="G230">
            <v>1.6</v>
          </cell>
          <cell r="H230">
            <v>67890</v>
          </cell>
        </row>
        <row r="231">
          <cell r="A231" t="str">
            <v>25-1113</v>
          </cell>
          <cell r="B231" t="str">
            <v>Social Work Teachers, Postsecondary</v>
          </cell>
          <cell r="C231" t="str">
            <v>detailed</v>
          </cell>
          <cell r="D231">
            <v>12610</v>
          </cell>
          <cell r="E231">
            <v>1</v>
          </cell>
          <cell r="F231">
            <v>83940</v>
          </cell>
          <cell r="G231">
            <v>0.6</v>
          </cell>
          <cell r="H231">
            <v>77570</v>
          </cell>
        </row>
        <row r="232">
          <cell r="A232" t="str">
            <v>13-1010</v>
          </cell>
          <cell r="B232" t="str">
            <v>Agents and Business Managers of Artists, Performers, and Athletes</v>
          </cell>
          <cell r="C232" t="str">
            <v>broad</v>
          </cell>
          <cell r="D232">
            <v>12620</v>
          </cell>
          <cell r="E232">
            <v>6.4</v>
          </cell>
          <cell r="F232">
            <v>141580</v>
          </cell>
          <cell r="G232">
            <v>8.6</v>
          </cell>
          <cell r="H232">
            <v>82890</v>
          </cell>
        </row>
        <row r="233">
          <cell r="A233" t="str">
            <v>13-1011</v>
          </cell>
          <cell r="B233" t="str">
            <v>Agents and Business Managers of Artists, Performers, and Athletes</v>
          </cell>
          <cell r="C233" t="str">
            <v>detailed</v>
          </cell>
          <cell r="D233">
            <v>12620</v>
          </cell>
          <cell r="E233">
            <v>6.4</v>
          </cell>
          <cell r="F233">
            <v>141580</v>
          </cell>
          <cell r="G233">
            <v>8.6</v>
          </cell>
          <cell r="H233">
            <v>82890</v>
          </cell>
        </row>
        <row r="234">
          <cell r="A234" t="str">
            <v>25-1193</v>
          </cell>
          <cell r="B234" t="str">
            <v>Recreation and Fitness Studies Teachers, Postsecondary</v>
          </cell>
          <cell r="C234" t="str">
            <v>detailed</v>
          </cell>
          <cell r="D234">
            <v>12630</v>
          </cell>
          <cell r="E234">
            <v>0.7</v>
          </cell>
          <cell r="F234">
            <v>86620</v>
          </cell>
          <cell r="G234">
            <v>0.3</v>
          </cell>
          <cell r="H234">
            <v>77270</v>
          </cell>
        </row>
        <row r="235">
          <cell r="A235" t="str">
            <v>53-3010</v>
          </cell>
          <cell r="B235" t="str">
            <v>Ambulance Drivers and Attendants, Except Emergency Medical Technicians</v>
          </cell>
          <cell r="C235" t="str">
            <v>broad</v>
          </cell>
          <cell r="D235">
            <v>12630</v>
          </cell>
          <cell r="E235">
            <v>4.9000000000000004</v>
          </cell>
          <cell r="F235">
            <v>36210</v>
          </cell>
          <cell r="G235">
            <v>0.8</v>
          </cell>
          <cell r="H235">
            <v>35450</v>
          </cell>
        </row>
        <row r="236">
          <cell r="A236" t="str">
            <v>53-3011</v>
          </cell>
          <cell r="B236" t="str">
            <v>Ambulance Drivers and Attendants, Except Emergency Medical Technicians</v>
          </cell>
          <cell r="C236" t="str">
            <v>detailed</v>
          </cell>
          <cell r="D236">
            <v>12630</v>
          </cell>
          <cell r="E236">
            <v>4.9000000000000004</v>
          </cell>
          <cell r="F236">
            <v>36210</v>
          </cell>
          <cell r="G236">
            <v>0.8</v>
          </cell>
          <cell r="H236">
            <v>35450</v>
          </cell>
        </row>
        <row r="237">
          <cell r="A237" t="str">
            <v>51-4071</v>
          </cell>
          <cell r="B237" t="str">
            <v>Foundry Mold and Coremakers</v>
          </cell>
          <cell r="C237" t="str">
            <v>detailed</v>
          </cell>
          <cell r="D237">
            <v>12790</v>
          </cell>
          <cell r="E237">
            <v>3.1</v>
          </cell>
          <cell r="F237">
            <v>49860</v>
          </cell>
          <cell r="G237">
            <v>0.6</v>
          </cell>
          <cell r="H237">
            <v>48110</v>
          </cell>
        </row>
        <row r="238">
          <cell r="A238" t="str">
            <v>47-2082</v>
          </cell>
          <cell r="B238" t="str">
            <v>Tapers</v>
          </cell>
          <cell r="C238" t="str">
            <v>detailed</v>
          </cell>
          <cell r="D238">
            <v>12840</v>
          </cell>
          <cell r="E238">
            <v>7.4</v>
          </cell>
          <cell r="F238">
            <v>72710</v>
          </cell>
          <cell r="G238">
            <v>2</v>
          </cell>
          <cell r="H238">
            <v>68270</v>
          </cell>
        </row>
        <row r="239">
          <cell r="A239" t="str">
            <v>51-2021</v>
          </cell>
          <cell r="B239" t="str">
            <v>Coil Winders, Tapers, and Finishers</v>
          </cell>
          <cell r="C239" t="str">
            <v>detailed</v>
          </cell>
          <cell r="D239">
            <v>12840</v>
          </cell>
          <cell r="E239">
            <v>4.7</v>
          </cell>
          <cell r="F239">
            <v>50470</v>
          </cell>
          <cell r="G239">
            <v>0.7</v>
          </cell>
          <cell r="H239">
            <v>48220</v>
          </cell>
        </row>
        <row r="240">
          <cell r="A240" t="str">
            <v>51-6091</v>
          </cell>
          <cell r="B240" t="str">
            <v>Extruding and Forming Machine Setters, Operators, and Tenders, Synthetic and Glass Fibers</v>
          </cell>
          <cell r="C240" t="str">
            <v>detailed</v>
          </cell>
          <cell r="D240">
            <v>12850</v>
          </cell>
          <cell r="E240">
            <v>4.3</v>
          </cell>
          <cell r="F240">
            <v>48580</v>
          </cell>
          <cell r="G240">
            <v>1</v>
          </cell>
          <cell r="H240">
            <v>46350</v>
          </cell>
        </row>
        <row r="241">
          <cell r="A241" t="str">
            <v>27-3092</v>
          </cell>
          <cell r="B241" t="str">
            <v>Court Reporters and Simultaneous Captioners</v>
          </cell>
          <cell r="C241" t="str">
            <v>detailed</v>
          </cell>
          <cell r="D241">
            <v>12870</v>
          </cell>
          <cell r="E241">
            <v>2.7</v>
          </cell>
          <cell r="F241">
            <v>78760</v>
          </cell>
          <cell r="G241">
            <v>1.6</v>
          </cell>
          <cell r="H241">
            <v>72420</v>
          </cell>
        </row>
        <row r="242">
          <cell r="A242" t="str">
            <v>51-6063</v>
          </cell>
          <cell r="B242" t="str">
            <v>Textile Knitting and Weaving Machine Setters, Operators, and Tenders</v>
          </cell>
          <cell r="C242" t="str">
            <v>detailed</v>
          </cell>
          <cell r="D242">
            <v>13030</v>
          </cell>
          <cell r="E242">
            <v>2.8</v>
          </cell>
          <cell r="F242">
            <v>40720</v>
          </cell>
          <cell r="G242">
            <v>0.5</v>
          </cell>
          <cell r="H242">
            <v>39530</v>
          </cell>
        </row>
        <row r="243">
          <cell r="A243" t="str">
            <v>19-1012</v>
          </cell>
          <cell r="B243" t="str">
            <v>Food Scientists and Technologists</v>
          </cell>
          <cell r="C243" t="str">
            <v>detailed</v>
          </cell>
          <cell r="D243">
            <v>13060</v>
          </cell>
          <cell r="E243">
            <v>3.6</v>
          </cell>
          <cell r="F243">
            <v>95360</v>
          </cell>
          <cell r="G243">
            <v>1</v>
          </cell>
          <cell r="H243">
            <v>88720</v>
          </cell>
        </row>
        <row r="244">
          <cell r="A244" t="str">
            <v>27-4014</v>
          </cell>
          <cell r="B244" t="str">
            <v>Sound Engineering Technicians</v>
          </cell>
          <cell r="C244" t="str">
            <v>detailed</v>
          </cell>
          <cell r="D244">
            <v>13080</v>
          </cell>
          <cell r="E244">
            <v>11.2</v>
          </cell>
          <cell r="F244">
            <v>81390</v>
          </cell>
          <cell r="G244">
            <v>3.5</v>
          </cell>
          <cell r="H244">
            <v>73130</v>
          </cell>
        </row>
        <row r="245">
          <cell r="A245" t="str">
            <v>25-1054</v>
          </cell>
          <cell r="B245" t="str">
            <v>Physics Teachers, Postsecondary</v>
          </cell>
          <cell r="C245" t="str">
            <v>detailed</v>
          </cell>
          <cell r="D245">
            <v>13090</v>
          </cell>
          <cell r="E245">
            <v>0.4</v>
          </cell>
          <cell r="F245">
            <v>111460</v>
          </cell>
          <cell r="G245">
            <v>0.3</v>
          </cell>
          <cell r="H245">
            <v>100310</v>
          </cell>
        </row>
        <row r="246">
          <cell r="A246" t="str">
            <v>25-1111</v>
          </cell>
          <cell r="B246" t="str">
            <v>Criminal Justice and Law Enforcement Teachers, Postsecondary</v>
          </cell>
          <cell r="C246" t="str">
            <v>detailed</v>
          </cell>
          <cell r="D246">
            <v>13150</v>
          </cell>
          <cell r="E246">
            <v>1.1000000000000001</v>
          </cell>
          <cell r="F246">
            <v>87550</v>
          </cell>
          <cell r="G246">
            <v>0.6</v>
          </cell>
          <cell r="H246">
            <v>76590</v>
          </cell>
        </row>
        <row r="247">
          <cell r="A247" t="str">
            <v>23-1012</v>
          </cell>
          <cell r="B247" t="str">
            <v>Judicial Law Clerks</v>
          </cell>
          <cell r="C247" t="str">
            <v>detailed</v>
          </cell>
          <cell r="D247">
            <v>13290</v>
          </cell>
          <cell r="E247">
            <v>1</v>
          </cell>
          <cell r="F247">
            <v>72950</v>
          </cell>
          <cell r="G247">
            <v>0.4</v>
          </cell>
          <cell r="H247">
            <v>64920</v>
          </cell>
        </row>
        <row r="248">
          <cell r="A248" t="str">
            <v>11-9160</v>
          </cell>
          <cell r="B248" t="str">
            <v>Emergency Management Directors</v>
          </cell>
          <cell r="C248" t="str">
            <v>broad</v>
          </cell>
          <cell r="D248">
            <v>13500</v>
          </cell>
          <cell r="E248">
            <v>1.7</v>
          </cell>
          <cell r="F248">
            <v>102420</v>
          </cell>
          <cell r="G248">
            <v>0.6</v>
          </cell>
          <cell r="H248">
            <v>93330</v>
          </cell>
        </row>
        <row r="249">
          <cell r="A249" t="str">
            <v>11-9161</v>
          </cell>
          <cell r="B249" t="str">
            <v>Emergency Management Directors</v>
          </cell>
          <cell r="C249" t="str">
            <v>detailed</v>
          </cell>
          <cell r="D249">
            <v>13500</v>
          </cell>
          <cell r="E249">
            <v>1.7</v>
          </cell>
          <cell r="F249">
            <v>102420</v>
          </cell>
          <cell r="G249">
            <v>0.6</v>
          </cell>
          <cell r="H249">
            <v>93330</v>
          </cell>
        </row>
        <row r="250">
          <cell r="A250" t="str">
            <v>49-3052</v>
          </cell>
          <cell r="B250" t="str">
            <v>Motorcycle Mechanics</v>
          </cell>
          <cell r="C250" t="str">
            <v>detailed</v>
          </cell>
          <cell r="D250">
            <v>13510</v>
          </cell>
          <cell r="E250">
            <v>3</v>
          </cell>
          <cell r="F250">
            <v>52370</v>
          </cell>
          <cell r="G250">
            <v>0.9</v>
          </cell>
          <cell r="H250">
            <v>48580</v>
          </cell>
        </row>
        <row r="251">
          <cell r="A251" t="str">
            <v>51-6099</v>
          </cell>
          <cell r="B251" t="str">
            <v>Textile, Apparel, and Furnishings Workers, All Other</v>
          </cell>
          <cell r="C251" t="str">
            <v>detailed</v>
          </cell>
          <cell r="D251">
            <v>13530</v>
          </cell>
          <cell r="E251">
            <v>6.1</v>
          </cell>
          <cell r="F251">
            <v>40560</v>
          </cell>
          <cell r="G251">
            <v>1.4</v>
          </cell>
          <cell r="H251">
            <v>37280</v>
          </cell>
        </row>
        <row r="252">
          <cell r="A252" t="str">
            <v>53-6090</v>
          </cell>
          <cell r="B252" t="str">
            <v>Miscellaneous Transportation Workers</v>
          </cell>
          <cell r="C252" t="str">
            <v>broad</v>
          </cell>
          <cell r="D252">
            <v>13550</v>
          </cell>
          <cell r="E252">
            <v>3.8</v>
          </cell>
          <cell r="F252">
            <v>50890</v>
          </cell>
          <cell r="G252">
            <v>1.2</v>
          </cell>
          <cell r="H252">
            <v>45650</v>
          </cell>
        </row>
        <row r="253">
          <cell r="A253" t="str">
            <v>53-6099</v>
          </cell>
          <cell r="B253" t="str">
            <v>Transportation Workers, All Other</v>
          </cell>
          <cell r="C253" t="str">
            <v>detailed</v>
          </cell>
          <cell r="D253">
            <v>13550</v>
          </cell>
          <cell r="E253">
            <v>3.8</v>
          </cell>
          <cell r="F253">
            <v>50890</v>
          </cell>
          <cell r="G253">
            <v>1.2</v>
          </cell>
          <cell r="H253">
            <v>45650</v>
          </cell>
        </row>
        <row r="254">
          <cell r="A254" t="str">
            <v>37-3019</v>
          </cell>
          <cell r="B254" t="str">
            <v>Grounds Maintenance Workers, All Other</v>
          </cell>
          <cell r="C254" t="str">
            <v>detailed</v>
          </cell>
          <cell r="D254">
            <v>13630</v>
          </cell>
          <cell r="E254">
            <v>5.7</v>
          </cell>
          <cell r="F254">
            <v>48830</v>
          </cell>
          <cell r="G254">
            <v>1.3</v>
          </cell>
          <cell r="H254">
            <v>46860</v>
          </cell>
        </row>
        <row r="255">
          <cell r="A255" t="str">
            <v>29-1180</v>
          </cell>
          <cell r="B255" t="str">
            <v>Audiologists</v>
          </cell>
          <cell r="C255" t="str">
            <v>broad</v>
          </cell>
          <cell r="D255">
            <v>13660</v>
          </cell>
          <cell r="E255">
            <v>4.8</v>
          </cell>
          <cell r="F255">
            <v>97740</v>
          </cell>
          <cell r="G255">
            <v>2</v>
          </cell>
          <cell r="H255">
            <v>95780</v>
          </cell>
        </row>
        <row r="256">
          <cell r="A256" t="str">
            <v>29-1181</v>
          </cell>
          <cell r="B256" t="str">
            <v>Audiologists</v>
          </cell>
          <cell r="C256" t="str">
            <v>detailed</v>
          </cell>
          <cell r="D256">
            <v>13660</v>
          </cell>
          <cell r="E256">
            <v>4.8</v>
          </cell>
          <cell r="F256">
            <v>97740</v>
          </cell>
          <cell r="G256">
            <v>2</v>
          </cell>
          <cell r="H256">
            <v>95780</v>
          </cell>
        </row>
        <row r="257">
          <cell r="A257" t="str">
            <v>47-2041</v>
          </cell>
          <cell r="B257" t="str">
            <v>Carpet Installers</v>
          </cell>
          <cell r="C257" t="str">
            <v>detailed</v>
          </cell>
          <cell r="D257">
            <v>13780</v>
          </cell>
          <cell r="E257">
            <v>5.6</v>
          </cell>
          <cell r="F257">
            <v>56990</v>
          </cell>
          <cell r="G257">
            <v>2.2000000000000002</v>
          </cell>
          <cell r="H257">
            <v>50340</v>
          </cell>
        </row>
        <row r="258">
          <cell r="A258" t="str">
            <v>33-2021</v>
          </cell>
          <cell r="B258" t="str">
            <v>Fire Inspectors and Investigators</v>
          </cell>
          <cell r="C258" t="str">
            <v>detailed</v>
          </cell>
          <cell r="D258">
            <v>13800</v>
          </cell>
          <cell r="E258">
            <v>4.0999999999999996</v>
          </cell>
          <cell r="F258">
            <v>78670</v>
          </cell>
          <cell r="G258">
            <v>1.2</v>
          </cell>
          <cell r="H258">
            <v>75920</v>
          </cell>
        </row>
        <row r="259">
          <cell r="A259" t="str">
            <v>47-2170</v>
          </cell>
          <cell r="B259" t="str">
            <v>Reinforcing Iron and Rebar Workers</v>
          </cell>
          <cell r="C259" t="str">
            <v>broad</v>
          </cell>
          <cell r="D259">
            <v>13800</v>
          </cell>
          <cell r="E259">
            <v>7.7</v>
          </cell>
          <cell r="F259">
            <v>66060</v>
          </cell>
          <cell r="G259">
            <v>2.6</v>
          </cell>
          <cell r="H259">
            <v>58970</v>
          </cell>
        </row>
        <row r="260">
          <cell r="A260" t="str">
            <v>47-2171</v>
          </cell>
          <cell r="B260" t="str">
            <v>Reinforcing Iron and Rebar Workers</v>
          </cell>
          <cell r="C260" t="str">
            <v>detailed</v>
          </cell>
          <cell r="D260">
            <v>13800</v>
          </cell>
          <cell r="E260">
            <v>7.7</v>
          </cell>
          <cell r="F260">
            <v>66060</v>
          </cell>
          <cell r="G260">
            <v>2.6</v>
          </cell>
          <cell r="H260">
            <v>58970</v>
          </cell>
        </row>
        <row r="261">
          <cell r="A261" t="str">
            <v>11-9130</v>
          </cell>
          <cell r="B261" t="str">
            <v>Postmasters and Mail Superintendents</v>
          </cell>
          <cell r="C261" t="str">
            <v>broad</v>
          </cell>
          <cell r="D261">
            <v>13810</v>
          </cell>
          <cell r="E261">
            <v>0</v>
          </cell>
          <cell r="F261">
            <v>97360</v>
          </cell>
          <cell r="G261">
            <v>0</v>
          </cell>
          <cell r="H261">
            <v>96660</v>
          </cell>
        </row>
        <row r="262">
          <cell r="A262" t="str">
            <v>11-9131</v>
          </cell>
          <cell r="B262" t="str">
            <v>Postmasters and Mail Superintendents</v>
          </cell>
          <cell r="C262" t="str">
            <v>detailed</v>
          </cell>
          <cell r="D262">
            <v>13810</v>
          </cell>
          <cell r="E262">
            <v>0</v>
          </cell>
          <cell r="F262">
            <v>97360</v>
          </cell>
          <cell r="G262">
            <v>0</v>
          </cell>
          <cell r="H262">
            <v>96660</v>
          </cell>
        </row>
        <row r="263">
          <cell r="A263" t="str">
            <v>11-9171</v>
          </cell>
          <cell r="B263" t="str">
            <v>Funeral Home Managers</v>
          </cell>
          <cell r="C263" t="str">
            <v>detailed</v>
          </cell>
          <cell r="D263">
            <v>13910</v>
          </cell>
          <cell r="E263">
            <v>1.9</v>
          </cell>
          <cell r="F263">
            <v>92840</v>
          </cell>
          <cell r="G263">
            <v>1.2</v>
          </cell>
          <cell r="H263">
            <v>78790</v>
          </cell>
        </row>
        <row r="264">
          <cell r="A264" t="str">
            <v>51-6052</v>
          </cell>
          <cell r="B264" t="str">
            <v>Tailors, Dressmakers, and Custom Sewers</v>
          </cell>
          <cell r="C264" t="str">
            <v>detailed</v>
          </cell>
          <cell r="D264">
            <v>13920</v>
          </cell>
          <cell r="E264">
            <v>5.4</v>
          </cell>
          <cell r="F264">
            <v>45140</v>
          </cell>
          <cell r="G264">
            <v>1.3</v>
          </cell>
          <cell r="H264">
            <v>41640</v>
          </cell>
        </row>
        <row r="265">
          <cell r="A265" t="str">
            <v>47-5041</v>
          </cell>
          <cell r="B265" t="str">
            <v>Continuous Mining Machine Operators</v>
          </cell>
          <cell r="C265" t="str">
            <v>detailed</v>
          </cell>
          <cell r="D265">
            <v>14000</v>
          </cell>
          <cell r="E265">
            <v>2.5</v>
          </cell>
          <cell r="F265">
            <v>65050</v>
          </cell>
          <cell r="G265">
            <v>1</v>
          </cell>
          <cell r="H265">
            <v>61810</v>
          </cell>
        </row>
        <row r="266">
          <cell r="A266" t="str">
            <v>51-4191</v>
          </cell>
          <cell r="B266" t="str">
            <v>Heat Treating Equipment Setters, Operators, and Tenders, Metal and Plastic</v>
          </cell>
          <cell r="C266" t="str">
            <v>detailed</v>
          </cell>
          <cell r="D266">
            <v>14000</v>
          </cell>
          <cell r="E266">
            <v>3.5</v>
          </cell>
          <cell r="F266">
            <v>50450</v>
          </cell>
          <cell r="G266">
            <v>0.8</v>
          </cell>
          <cell r="H266">
            <v>48750</v>
          </cell>
        </row>
        <row r="267">
          <cell r="A267" t="str">
            <v>51-8099</v>
          </cell>
          <cell r="B267" t="str">
            <v>Plant and System Operators, All Other</v>
          </cell>
          <cell r="C267" t="str">
            <v>detailed</v>
          </cell>
          <cell r="D267">
            <v>14080</v>
          </cell>
          <cell r="E267">
            <v>4.4000000000000004</v>
          </cell>
          <cell r="F267">
            <v>65700</v>
          </cell>
          <cell r="G267">
            <v>1.1000000000000001</v>
          </cell>
          <cell r="H267">
            <v>62470</v>
          </cell>
        </row>
        <row r="268">
          <cell r="A268" t="str">
            <v>29-1242</v>
          </cell>
          <cell r="B268" t="str">
            <v>Orthopedic Surgeons, Except Pediatric</v>
          </cell>
          <cell r="C268" t="str">
            <v>detailed</v>
          </cell>
          <cell r="D268">
            <v>14100</v>
          </cell>
          <cell r="E268">
            <v>10.9</v>
          </cell>
          <cell r="F268">
            <v>373570</v>
          </cell>
          <cell r="G268">
            <v>3.6</v>
          </cell>
          <cell r="H268">
            <v>358550</v>
          </cell>
        </row>
        <row r="269">
          <cell r="A269" t="str">
            <v>39-3019</v>
          </cell>
          <cell r="B269" t="str">
            <v>Gambling Service Workers, All Other</v>
          </cell>
          <cell r="C269" t="str">
            <v>detailed</v>
          </cell>
          <cell r="D269">
            <v>14140</v>
          </cell>
          <cell r="E269">
            <v>4.0999999999999996</v>
          </cell>
          <cell r="F269">
            <v>41380</v>
          </cell>
          <cell r="G269">
            <v>1.8</v>
          </cell>
          <cell r="H269">
            <v>36310</v>
          </cell>
        </row>
        <row r="270">
          <cell r="A270" t="str">
            <v>47-3011</v>
          </cell>
          <cell r="B270" t="str">
            <v>Helpers--Brickmasons, Blockmasons, Stonemasons, and Tile and Marble Setters</v>
          </cell>
          <cell r="C270" t="str">
            <v>detailed</v>
          </cell>
          <cell r="D270">
            <v>14170</v>
          </cell>
          <cell r="E270">
            <v>5.2</v>
          </cell>
          <cell r="F270">
            <v>50920</v>
          </cell>
          <cell r="G270">
            <v>1.3</v>
          </cell>
          <cell r="H270">
            <v>47550</v>
          </cell>
        </row>
        <row r="271">
          <cell r="A271" t="str">
            <v>17-1021</v>
          </cell>
          <cell r="B271" t="str">
            <v>Cartographers and Photogrammetrists</v>
          </cell>
          <cell r="C271" t="str">
            <v>detailed</v>
          </cell>
          <cell r="D271">
            <v>14260</v>
          </cell>
          <cell r="E271">
            <v>3</v>
          </cell>
          <cell r="F271">
            <v>86690</v>
          </cell>
          <cell r="G271">
            <v>0.9</v>
          </cell>
          <cell r="H271">
            <v>81390</v>
          </cell>
        </row>
        <row r="272">
          <cell r="A272" t="str">
            <v>51-9050</v>
          </cell>
          <cell r="B272" t="str">
            <v>Furnace, Kiln, Oven, Drier, and Kettle Operators and Tenders</v>
          </cell>
          <cell r="C272" t="str">
            <v>broad</v>
          </cell>
          <cell r="D272">
            <v>14280</v>
          </cell>
          <cell r="E272">
            <v>3.4</v>
          </cell>
          <cell r="F272">
            <v>50940</v>
          </cell>
          <cell r="G272">
            <v>0.8</v>
          </cell>
          <cell r="H272">
            <v>48040</v>
          </cell>
        </row>
        <row r="273">
          <cell r="A273" t="str">
            <v>51-9051</v>
          </cell>
          <cell r="B273" t="str">
            <v>Furnace, Kiln, Oven, Drier, and Kettle Operators and Tenders</v>
          </cell>
          <cell r="C273" t="str">
            <v>detailed</v>
          </cell>
          <cell r="D273">
            <v>14280</v>
          </cell>
          <cell r="E273">
            <v>3.4</v>
          </cell>
          <cell r="F273">
            <v>50940</v>
          </cell>
          <cell r="G273">
            <v>0.8</v>
          </cell>
          <cell r="H273">
            <v>48040</v>
          </cell>
        </row>
        <row r="274">
          <cell r="A274" t="str">
            <v>45-2010</v>
          </cell>
          <cell r="B274" t="str">
            <v>Agricultural Inspectors</v>
          </cell>
          <cell r="C274" t="str">
            <v>broad</v>
          </cell>
          <cell r="D274">
            <v>14410</v>
          </cell>
          <cell r="E274">
            <v>1.9</v>
          </cell>
          <cell r="F274">
            <v>54910</v>
          </cell>
          <cell r="G274">
            <v>0.4</v>
          </cell>
          <cell r="H274">
            <v>49940</v>
          </cell>
        </row>
        <row r="275">
          <cell r="A275" t="str">
            <v>45-2011</v>
          </cell>
          <cell r="B275" t="str">
            <v>Agricultural Inspectors</v>
          </cell>
          <cell r="C275" t="str">
            <v>detailed</v>
          </cell>
          <cell r="D275">
            <v>14410</v>
          </cell>
          <cell r="E275">
            <v>1.9</v>
          </cell>
          <cell r="F275">
            <v>54910</v>
          </cell>
          <cell r="G275">
            <v>0.4</v>
          </cell>
          <cell r="H275">
            <v>49940</v>
          </cell>
        </row>
        <row r="276">
          <cell r="A276" t="str">
            <v>43-3040</v>
          </cell>
          <cell r="B276" t="str">
            <v>Gambling Cage Workers</v>
          </cell>
          <cell r="C276" t="str">
            <v>broad</v>
          </cell>
          <cell r="D276">
            <v>14430</v>
          </cell>
          <cell r="E276">
            <v>0.8</v>
          </cell>
          <cell r="F276">
            <v>39510</v>
          </cell>
          <cell r="G276">
            <v>0.2</v>
          </cell>
          <cell r="H276">
            <v>37580</v>
          </cell>
        </row>
        <row r="277">
          <cell r="A277" t="str">
            <v>43-3041</v>
          </cell>
          <cell r="B277" t="str">
            <v>Gambling Cage Workers</v>
          </cell>
          <cell r="C277" t="str">
            <v>detailed</v>
          </cell>
          <cell r="D277">
            <v>14430</v>
          </cell>
          <cell r="E277">
            <v>0.8</v>
          </cell>
          <cell r="F277">
            <v>39510</v>
          </cell>
          <cell r="G277">
            <v>0.2</v>
          </cell>
          <cell r="H277">
            <v>37580</v>
          </cell>
        </row>
        <row r="278">
          <cell r="A278" t="str">
            <v>49-2092</v>
          </cell>
          <cell r="B278" t="str">
            <v>Electric Motor, Power Tool, and Related Repairers</v>
          </cell>
          <cell r="C278" t="str">
            <v>detailed</v>
          </cell>
          <cell r="D278">
            <v>14450</v>
          </cell>
          <cell r="E278">
            <v>6.1</v>
          </cell>
          <cell r="F278">
            <v>58610</v>
          </cell>
          <cell r="G278">
            <v>1.6</v>
          </cell>
          <cell r="H278">
            <v>56210</v>
          </cell>
        </row>
        <row r="279">
          <cell r="A279" t="str">
            <v>17-3019</v>
          </cell>
          <cell r="B279" t="str">
            <v>Drafters, All Other</v>
          </cell>
          <cell r="C279" t="str">
            <v>detailed</v>
          </cell>
          <cell r="D279">
            <v>14470</v>
          </cell>
          <cell r="E279">
            <v>3.6</v>
          </cell>
          <cell r="F279">
            <v>68250</v>
          </cell>
          <cell r="G279">
            <v>1.1000000000000001</v>
          </cell>
          <cell r="H279">
            <v>63520</v>
          </cell>
        </row>
        <row r="280">
          <cell r="A280" t="str">
            <v>51-7020</v>
          </cell>
          <cell r="B280" t="str">
            <v>Furniture Finishers</v>
          </cell>
          <cell r="C280" t="str">
            <v>broad</v>
          </cell>
          <cell r="D280">
            <v>14480</v>
          </cell>
          <cell r="E280">
            <v>3.4</v>
          </cell>
          <cell r="F280">
            <v>45300</v>
          </cell>
          <cell r="G280">
            <v>0.6</v>
          </cell>
          <cell r="H280">
            <v>44540</v>
          </cell>
        </row>
        <row r="281">
          <cell r="A281" t="str">
            <v>51-7021</v>
          </cell>
          <cell r="B281" t="str">
            <v>Furniture Finishers</v>
          </cell>
          <cell r="C281" t="str">
            <v>detailed</v>
          </cell>
          <cell r="D281">
            <v>14480</v>
          </cell>
          <cell r="E281">
            <v>3.4</v>
          </cell>
          <cell r="F281">
            <v>45300</v>
          </cell>
          <cell r="G281">
            <v>0.6</v>
          </cell>
          <cell r="H281">
            <v>44540</v>
          </cell>
        </row>
        <row r="282">
          <cell r="A282" t="str">
            <v>19-4013</v>
          </cell>
          <cell r="B282" t="str">
            <v>Food Science Technicians</v>
          </cell>
          <cell r="C282" t="str">
            <v>detailed</v>
          </cell>
          <cell r="D282">
            <v>14600</v>
          </cell>
          <cell r="E282">
            <v>2.5</v>
          </cell>
          <cell r="F282">
            <v>56660</v>
          </cell>
          <cell r="G282">
            <v>0.9</v>
          </cell>
          <cell r="H282">
            <v>52130</v>
          </cell>
        </row>
        <row r="283">
          <cell r="A283" t="str">
            <v>51-9192</v>
          </cell>
          <cell r="B283" t="str">
            <v>Cleaning, Washing, and Metal Pickling Equipment Operators and Tenders</v>
          </cell>
          <cell r="C283" t="str">
            <v>detailed</v>
          </cell>
          <cell r="D283">
            <v>14760</v>
          </cell>
          <cell r="E283">
            <v>2.7</v>
          </cell>
          <cell r="F283">
            <v>44600</v>
          </cell>
          <cell r="G283">
            <v>0.5</v>
          </cell>
          <cell r="H283">
            <v>43530</v>
          </cell>
        </row>
        <row r="284">
          <cell r="A284" t="str">
            <v>29-1125</v>
          </cell>
          <cell r="B284" t="str">
            <v>Recreational Therapists</v>
          </cell>
          <cell r="C284" t="str">
            <v>detailed</v>
          </cell>
          <cell r="D284">
            <v>14930</v>
          </cell>
          <cell r="E284">
            <v>2.6</v>
          </cell>
          <cell r="F284">
            <v>67630</v>
          </cell>
          <cell r="G284">
            <v>2.1</v>
          </cell>
          <cell r="H284">
            <v>61960</v>
          </cell>
        </row>
        <row r="285">
          <cell r="A285" t="str">
            <v>39-5011</v>
          </cell>
          <cell r="B285" t="str">
            <v>Barbers</v>
          </cell>
          <cell r="C285" t="str">
            <v>detailed</v>
          </cell>
          <cell r="D285">
            <v>15000</v>
          </cell>
          <cell r="E285">
            <v>7.4</v>
          </cell>
          <cell r="F285">
            <v>47070</v>
          </cell>
          <cell r="G285">
            <v>3.3</v>
          </cell>
          <cell r="H285">
            <v>38210</v>
          </cell>
        </row>
        <row r="286">
          <cell r="A286" t="str">
            <v>49-9094</v>
          </cell>
          <cell r="B286" t="str">
            <v>Locksmiths and Safe Repairers</v>
          </cell>
          <cell r="C286" t="str">
            <v>detailed</v>
          </cell>
          <cell r="D286">
            <v>15040</v>
          </cell>
          <cell r="E286">
            <v>2</v>
          </cell>
          <cell r="F286">
            <v>55470</v>
          </cell>
          <cell r="G286">
            <v>1.4</v>
          </cell>
          <cell r="H286">
            <v>51320</v>
          </cell>
        </row>
        <row r="287">
          <cell r="A287" t="str">
            <v>27-2021</v>
          </cell>
          <cell r="B287" t="str">
            <v>Athletes and Sports Competitors</v>
          </cell>
          <cell r="C287" t="str">
            <v>detailed</v>
          </cell>
          <cell r="D287">
            <v>15070</v>
          </cell>
          <cell r="E287">
            <v>7.1</v>
          </cell>
          <cell r="F287">
            <v>206180</v>
          </cell>
          <cell r="G287">
            <v>10.1</v>
          </cell>
          <cell r="H287">
            <v>66710</v>
          </cell>
        </row>
        <row r="288">
          <cell r="A288" t="str">
            <v>19-4012</v>
          </cell>
          <cell r="B288" t="str">
            <v>Agricultural Technicians</v>
          </cell>
          <cell r="C288" t="str">
            <v>detailed</v>
          </cell>
          <cell r="D288">
            <v>15130</v>
          </cell>
          <cell r="E288">
            <v>4.9000000000000004</v>
          </cell>
          <cell r="F288">
            <v>53840</v>
          </cell>
          <cell r="G288">
            <v>1.3</v>
          </cell>
          <cell r="H288">
            <v>49630</v>
          </cell>
        </row>
        <row r="289">
          <cell r="A289" t="str">
            <v>53-2022</v>
          </cell>
          <cell r="B289" t="str">
            <v>Airfield Operations Specialists</v>
          </cell>
          <cell r="C289" t="str">
            <v>detailed</v>
          </cell>
          <cell r="D289">
            <v>15190</v>
          </cell>
          <cell r="E289">
            <v>4.4000000000000004</v>
          </cell>
          <cell r="F289">
            <v>63610</v>
          </cell>
          <cell r="G289">
            <v>1.8</v>
          </cell>
          <cell r="H289">
            <v>56850</v>
          </cell>
        </row>
        <row r="290">
          <cell r="A290" t="str">
            <v>17-2160</v>
          </cell>
          <cell r="B290" t="str">
            <v>Nuclear Engineers</v>
          </cell>
          <cell r="C290" t="str">
            <v>broad</v>
          </cell>
          <cell r="D290">
            <v>15280</v>
          </cell>
          <cell r="E290">
            <v>3.4</v>
          </cell>
          <cell r="F290">
            <v>140420</v>
          </cell>
          <cell r="G290">
            <v>1.2</v>
          </cell>
          <cell r="H290">
            <v>133970</v>
          </cell>
        </row>
        <row r="291">
          <cell r="A291" t="str">
            <v>17-2161</v>
          </cell>
          <cell r="B291" t="str">
            <v>Nuclear Engineers</v>
          </cell>
          <cell r="C291" t="str">
            <v>detailed</v>
          </cell>
          <cell r="D291">
            <v>15280</v>
          </cell>
          <cell r="E291">
            <v>3.4</v>
          </cell>
          <cell r="F291">
            <v>140420</v>
          </cell>
          <cell r="G291">
            <v>1.2</v>
          </cell>
          <cell r="H291">
            <v>133970</v>
          </cell>
        </row>
        <row r="292">
          <cell r="A292" t="str">
            <v>17-3024</v>
          </cell>
          <cell r="B292" t="str">
            <v>Electro-Mechanical and Mechatronics Technologists and Technicians</v>
          </cell>
          <cell r="C292" t="str">
            <v>detailed</v>
          </cell>
          <cell r="D292">
            <v>15520</v>
          </cell>
          <cell r="E292">
            <v>4.0999999999999996</v>
          </cell>
          <cell r="F292">
            <v>76420</v>
          </cell>
          <cell r="G292">
            <v>1.5</v>
          </cell>
          <cell r="H292">
            <v>73900</v>
          </cell>
        </row>
        <row r="293">
          <cell r="A293" t="str">
            <v>39-3093</v>
          </cell>
          <cell r="B293" t="str">
            <v>Locker Room, Coatroom, and Dressing Room Attendants</v>
          </cell>
          <cell r="C293" t="str">
            <v>detailed</v>
          </cell>
          <cell r="D293">
            <v>15560</v>
          </cell>
          <cell r="E293">
            <v>5.4</v>
          </cell>
          <cell r="F293">
            <v>38460</v>
          </cell>
          <cell r="G293">
            <v>1.6</v>
          </cell>
          <cell r="H293">
            <v>36300</v>
          </cell>
        </row>
        <row r="294">
          <cell r="A294" t="str">
            <v>19-1013</v>
          </cell>
          <cell r="B294" t="str">
            <v>Soil and Plant Scientists</v>
          </cell>
          <cell r="C294" t="str">
            <v>detailed</v>
          </cell>
          <cell r="D294">
            <v>15730</v>
          </cell>
          <cell r="E294">
            <v>4</v>
          </cell>
          <cell r="F294">
            <v>87720</v>
          </cell>
          <cell r="G294">
            <v>1.3</v>
          </cell>
          <cell r="H294">
            <v>78850</v>
          </cell>
        </row>
        <row r="295">
          <cell r="A295" t="str">
            <v>21-2090</v>
          </cell>
          <cell r="B295" t="str">
            <v>Miscellaneous Religious Workers</v>
          </cell>
          <cell r="C295" t="str">
            <v>broad</v>
          </cell>
          <cell r="D295">
            <v>15760</v>
          </cell>
          <cell r="E295">
            <v>9.6</v>
          </cell>
          <cell r="F295">
            <v>53870</v>
          </cell>
          <cell r="G295">
            <v>4.4000000000000004</v>
          </cell>
          <cell r="H295">
            <v>45280</v>
          </cell>
        </row>
        <row r="296">
          <cell r="A296" t="str">
            <v>21-2099</v>
          </cell>
          <cell r="B296" t="str">
            <v>Religious Workers, All Other</v>
          </cell>
          <cell r="C296" t="str">
            <v>detailed</v>
          </cell>
          <cell r="D296">
            <v>15760</v>
          </cell>
          <cell r="E296">
            <v>9.6</v>
          </cell>
          <cell r="F296">
            <v>53870</v>
          </cell>
          <cell r="G296">
            <v>4.4000000000000004</v>
          </cell>
          <cell r="H296">
            <v>45280</v>
          </cell>
        </row>
        <row r="297">
          <cell r="A297" t="str">
            <v>27-2023</v>
          </cell>
          <cell r="B297" t="str">
            <v>Umpires, Referees, and Other Sports Officials</v>
          </cell>
          <cell r="C297" t="str">
            <v>detailed</v>
          </cell>
          <cell r="D297">
            <v>15780</v>
          </cell>
          <cell r="E297">
            <v>5</v>
          </cell>
          <cell r="F297">
            <v>53010</v>
          </cell>
          <cell r="G297">
            <v>8.4</v>
          </cell>
          <cell r="H297">
            <v>40710</v>
          </cell>
        </row>
        <row r="298">
          <cell r="A298" t="str">
            <v>51-4199</v>
          </cell>
          <cell r="B298" t="str">
            <v>Metal Workers and Plastic Workers, All Other</v>
          </cell>
          <cell r="C298" t="str">
            <v>detailed</v>
          </cell>
          <cell r="D298">
            <v>15900</v>
          </cell>
          <cell r="E298">
            <v>3.7</v>
          </cell>
          <cell r="F298">
            <v>48580</v>
          </cell>
          <cell r="G298">
            <v>0.7</v>
          </cell>
          <cell r="H298">
            <v>45950</v>
          </cell>
        </row>
        <row r="299">
          <cell r="A299" t="str">
            <v>51-6050</v>
          </cell>
          <cell r="B299" t="str">
            <v>Tailors, Dressmakers, and Sewers</v>
          </cell>
          <cell r="C299" t="str">
            <v>broad</v>
          </cell>
          <cell r="D299">
            <v>16110</v>
          </cell>
          <cell r="E299">
            <v>4.9000000000000004</v>
          </cell>
          <cell r="F299">
            <v>44060</v>
          </cell>
          <cell r="G299">
            <v>1.2</v>
          </cell>
          <cell r="H299">
            <v>40100</v>
          </cell>
        </row>
        <row r="300">
          <cell r="A300" t="str">
            <v>51-2050</v>
          </cell>
          <cell r="B300" t="str">
            <v>Fiberglass Laminators and Fabricators</v>
          </cell>
          <cell r="C300" t="str">
            <v>broad</v>
          </cell>
          <cell r="D300">
            <v>16170</v>
          </cell>
          <cell r="E300">
            <v>3.8</v>
          </cell>
          <cell r="F300">
            <v>49550</v>
          </cell>
          <cell r="G300">
            <v>0.9</v>
          </cell>
          <cell r="H300">
            <v>46880</v>
          </cell>
        </row>
        <row r="301">
          <cell r="A301" t="str">
            <v>51-2051</v>
          </cell>
          <cell r="B301" t="str">
            <v>Fiberglass Laminators and Fabricators</v>
          </cell>
          <cell r="C301" t="str">
            <v>detailed</v>
          </cell>
          <cell r="D301">
            <v>16170</v>
          </cell>
          <cell r="E301">
            <v>3.8</v>
          </cell>
          <cell r="F301">
            <v>49550</v>
          </cell>
          <cell r="G301">
            <v>0.9</v>
          </cell>
          <cell r="H301">
            <v>46880</v>
          </cell>
        </row>
        <row r="302">
          <cell r="A302" t="str">
            <v>23-1021</v>
          </cell>
          <cell r="B302" t="str">
            <v>Administrative Law Judges, Adjudicators, and Hearing Officers</v>
          </cell>
          <cell r="C302" t="str">
            <v>detailed</v>
          </cell>
          <cell r="D302">
            <v>16370</v>
          </cell>
          <cell r="E302">
            <v>0.4</v>
          </cell>
          <cell r="F302">
            <v>125990</v>
          </cell>
          <cell r="G302">
            <v>0.3</v>
          </cell>
          <cell r="H302">
            <v>117860</v>
          </cell>
        </row>
        <row r="303">
          <cell r="A303" t="str">
            <v>17-3028</v>
          </cell>
          <cell r="B303" t="str">
            <v>Calibration Technologists and Technicians</v>
          </cell>
          <cell r="C303" t="str">
            <v>detailed</v>
          </cell>
          <cell r="D303">
            <v>16540</v>
          </cell>
          <cell r="E303">
            <v>5</v>
          </cell>
          <cell r="F303">
            <v>74170</v>
          </cell>
          <cell r="G303">
            <v>1.6</v>
          </cell>
          <cell r="H303">
            <v>67820</v>
          </cell>
        </row>
        <row r="304">
          <cell r="A304" t="str">
            <v>27-2099</v>
          </cell>
          <cell r="B304" t="str">
            <v>Entertainers and Performers, Sports and Related Workers, All Other</v>
          </cell>
          <cell r="C304" t="str">
            <v>detailed</v>
          </cell>
          <cell r="D304">
            <v>16550</v>
          </cell>
          <cell r="E304">
            <v>8.6999999999999993</v>
          </cell>
          <cell r="F304" t="str">
            <v>*</v>
          </cell>
          <cell r="G304">
            <v>5.8</v>
          </cell>
          <cell r="H304" t="str">
            <v>*</v>
          </cell>
        </row>
        <row r="305">
          <cell r="A305" t="str">
            <v>25-1069</v>
          </cell>
          <cell r="B305" t="str">
            <v>Social Sciences Teachers, Postsecondary, All Other</v>
          </cell>
          <cell r="C305" t="str">
            <v>detailed</v>
          </cell>
          <cell r="D305">
            <v>16580</v>
          </cell>
          <cell r="E305">
            <v>1</v>
          </cell>
          <cell r="F305">
            <v>88390</v>
          </cell>
          <cell r="G305">
            <v>0.4</v>
          </cell>
          <cell r="H305">
            <v>72990</v>
          </cell>
        </row>
        <row r="306">
          <cell r="A306" t="str">
            <v>33-2020</v>
          </cell>
          <cell r="B306" t="str">
            <v>Fire Inspectors</v>
          </cell>
          <cell r="C306" t="str">
            <v>broad</v>
          </cell>
          <cell r="D306">
            <v>16580</v>
          </cell>
          <cell r="E306">
            <v>3.9</v>
          </cell>
          <cell r="F306">
            <v>76650</v>
          </cell>
          <cell r="G306">
            <v>1.3</v>
          </cell>
          <cell r="H306">
            <v>73680</v>
          </cell>
        </row>
        <row r="307">
          <cell r="A307" t="str">
            <v>51-8091</v>
          </cell>
          <cell r="B307" t="str">
            <v>Chemical Plant and System Operators</v>
          </cell>
          <cell r="C307" t="str">
            <v>detailed</v>
          </cell>
          <cell r="D307">
            <v>16610</v>
          </cell>
          <cell r="E307">
            <v>5.2</v>
          </cell>
          <cell r="F307">
            <v>79970</v>
          </cell>
          <cell r="G307">
            <v>1.4</v>
          </cell>
          <cell r="H307">
            <v>78120</v>
          </cell>
        </row>
        <row r="308">
          <cell r="A308" t="str">
            <v>51-4034</v>
          </cell>
          <cell r="B308" t="str">
            <v>Lathe and Turning Machine Tool Setters, Operators, and Tenders, Metal and Plastic</v>
          </cell>
          <cell r="C308" t="str">
            <v>detailed</v>
          </cell>
          <cell r="D308">
            <v>16710</v>
          </cell>
          <cell r="E308">
            <v>4.2</v>
          </cell>
          <cell r="F308">
            <v>52490</v>
          </cell>
          <cell r="G308">
            <v>0.9</v>
          </cell>
          <cell r="H308">
            <v>50620</v>
          </cell>
        </row>
        <row r="309">
          <cell r="A309" t="str">
            <v>51-4051</v>
          </cell>
          <cell r="B309" t="str">
            <v>Metal-Refining Furnace Operators and Tenders</v>
          </cell>
          <cell r="C309" t="str">
            <v>detailed</v>
          </cell>
          <cell r="D309">
            <v>16780</v>
          </cell>
          <cell r="E309">
            <v>2.5</v>
          </cell>
          <cell r="F309">
            <v>55490</v>
          </cell>
          <cell r="G309">
            <v>0.4</v>
          </cell>
          <cell r="H309">
            <v>54430</v>
          </cell>
        </row>
        <row r="310">
          <cell r="A310" t="str">
            <v>25-2023</v>
          </cell>
          <cell r="B310" t="str">
            <v>Career/Technical Education Teachers, Middle School</v>
          </cell>
          <cell r="C310" t="str">
            <v>detailed</v>
          </cell>
          <cell r="D310">
            <v>16870</v>
          </cell>
          <cell r="E310">
            <v>3.2</v>
          </cell>
          <cell r="F310">
            <v>71590</v>
          </cell>
          <cell r="G310">
            <v>1</v>
          </cell>
          <cell r="H310">
            <v>65030</v>
          </cell>
        </row>
        <row r="311">
          <cell r="A311" t="str">
            <v>25-1065</v>
          </cell>
          <cell r="B311" t="str">
            <v>Political Science Teachers, Postsecondary</v>
          </cell>
          <cell r="C311" t="str">
            <v>detailed</v>
          </cell>
          <cell r="D311">
            <v>16970</v>
          </cell>
          <cell r="E311">
            <v>0.9</v>
          </cell>
          <cell r="F311">
            <v>108100</v>
          </cell>
          <cell r="G311">
            <v>0.5</v>
          </cell>
          <cell r="H311">
            <v>98070</v>
          </cell>
        </row>
        <row r="312">
          <cell r="A312" t="str">
            <v>29-1124</v>
          </cell>
          <cell r="B312" t="str">
            <v>Radiation Therapists</v>
          </cell>
          <cell r="C312" t="str">
            <v>detailed</v>
          </cell>
          <cell r="D312">
            <v>17070</v>
          </cell>
          <cell r="E312">
            <v>7.1</v>
          </cell>
          <cell r="F312">
            <v>114990</v>
          </cell>
          <cell r="G312">
            <v>1.1000000000000001</v>
          </cell>
          <cell r="H312">
            <v>105310</v>
          </cell>
        </row>
        <row r="313">
          <cell r="A313" t="str">
            <v>29-2033</v>
          </cell>
          <cell r="B313" t="str">
            <v>Nuclear Medicine Technologists</v>
          </cell>
          <cell r="C313" t="str">
            <v>detailed</v>
          </cell>
          <cell r="D313">
            <v>17080</v>
          </cell>
          <cell r="E313">
            <v>1.8</v>
          </cell>
          <cell r="F313">
            <v>105160</v>
          </cell>
          <cell r="G313">
            <v>0.8</v>
          </cell>
          <cell r="H313">
            <v>101370</v>
          </cell>
        </row>
        <row r="314">
          <cell r="A314" t="str">
            <v>37-2019</v>
          </cell>
          <cell r="B314" t="str">
            <v>Building Cleaning Workers, All Other</v>
          </cell>
          <cell r="C314" t="str">
            <v>detailed</v>
          </cell>
          <cell r="D314">
            <v>17210</v>
          </cell>
          <cell r="E314">
            <v>8.8000000000000007</v>
          </cell>
          <cell r="F314">
            <v>46420</v>
          </cell>
          <cell r="G314">
            <v>2.5</v>
          </cell>
          <cell r="H314">
            <v>44040</v>
          </cell>
        </row>
        <row r="315">
          <cell r="A315" t="str">
            <v>29-1212</v>
          </cell>
          <cell r="B315" t="str">
            <v>Cardiologists</v>
          </cell>
          <cell r="C315" t="str">
            <v>detailed</v>
          </cell>
          <cell r="D315">
            <v>17290</v>
          </cell>
          <cell r="E315">
            <v>5.4</v>
          </cell>
          <cell r="F315">
            <v>454940</v>
          </cell>
          <cell r="G315">
            <v>2.2000000000000002</v>
          </cell>
          <cell r="H315">
            <v>496010</v>
          </cell>
        </row>
        <row r="316">
          <cell r="A316" t="str">
            <v>33-3011</v>
          </cell>
          <cell r="B316" t="str">
            <v>Bailiffs</v>
          </cell>
          <cell r="C316" t="str">
            <v>detailed</v>
          </cell>
          <cell r="D316">
            <v>17310</v>
          </cell>
          <cell r="E316">
            <v>1.3</v>
          </cell>
          <cell r="F316">
            <v>61660</v>
          </cell>
          <cell r="G316">
            <v>0.6</v>
          </cell>
          <cell r="H316">
            <v>56600</v>
          </cell>
        </row>
        <row r="317">
          <cell r="A317" t="str">
            <v>49-3092</v>
          </cell>
          <cell r="B317" t="str">
            <v>Recreational Vehicle Service Technicians</v>
          </cell>
          <cell r="C317" t="str">
            <v>detailed</v>
          </cell>
          <cell r="D317">
            <v>17430</v>
          </cell>
          <cell r="E317">
            <v>4</v>
          </cell>
          <cell r="F317">
            <v>56440</v>
          </cell>
          <cell r="G317">
            <v>1.3</v>
          </cell>
          <cell r="H317">
            <v>52000</v>
          </cell>
        </row>
        <row r="318">
          <cell r="A318" t="str">
            <v>19-3010</v>
          </cell>
          <cell r="B318" t="str">
            <v>Economists</v>
          </cell>
          <cell r="C318" t="str">
            <v>broad</v>
          </cell>
          <cell r="D318">
            <v>17790</v>
          </cell>
          <cell r="E318">
            <v>8.9</v>
          </cell>
          <cell r="F318">
            <v>142130</v>
          </cell>
          <cell r="G318">
            <v>4.3</v>
          </cell>
          <cell r="H318">
            <v>124720</v>
          </cell>
        </row>
        <row r="319">
          <cell r="A319" t="str">
            <v>19-3011</v>
          </cell>
          <cell r="B319" t="str">
            <v>Economists</v>
          </cell>
          <cell r="C319" t="str">
            <v>detailed</v>
          </cell>
          <cell r="D319">
            <v>17790</v>
          </cell>
          <cell r="E319">
            <v>8.9</v>
          </cell>
          <cell r="F319">
            <v>142130</v>
          </cell>
          <cell r="G319">
            <v>4.3</v>
          </cell>
          <cell r="H319">
            <v>124720</v>
          </cell>
        </row>
        <row r="320">
          <cell r="A320" t="str">
            <v>17-3012</v>
          </cell>
          <cell r="B320" t="str">
            <v>Electrical and Electronics Drafters</v>
          </cell>
          <cell r="C320" t="str">
            <v>detailed</v>
          </cell>
          <cell r="D320">
            <v>17920</v>
          </cell>
          <cell r="E320">
            <v>3.3</v>
          </cell>
          <cell r="F320">
            <v>81280</v>
          </cell>
          <cell r="G320">
            <v>0.8</v>
          </cell>
          <cell r="H320">
            <v>76870</v>
          </cell>
        </row>
        <row r="321">
          <cell r="A321" t="str">
            <v>53-7073</v>
          </cell>
          <cell r="B321" t="str">
            <v>Wellhead Pumpers</v>
          </cell>
          <cell r="C321" t="str">
            <v>detailed</v>
          </cell>
          <cell r="D321">
            <v>17990</v>
          </cell>
          <cell r="E321">
            <v>7.5</v>
          </cell>
          <cell r="F321">
            <v>70370</v>
          </cell>
          <cell r="G321">
            <v>2.4</v>
          </cell>
          <cell r="H321">
            <v>69960</v>
          </cell>
        </row>
        <row r="322">
          <cell r="A322" t="str">
            <v>51-8092</v>
          </cell>
          <cell r="B322" t="str">
            <v>Gas Plant Operators</v>
          </cell>
          <cell r="C322" t="str">
            <v>detailed</v>
          </cell>
          <cell r="D322">
            <v>18030</v>
          </cell>
          <cell r="E322">
            <v>3.5</v>
          </cell>
          <cell r="F322">
            <v>88710</v>
          </cell>
          <cell r="G322">
            <v>0.6</v>
          </cell>
          <cell r="H322">
            <v>87820</v>
          </cell>
        </row>
        <row r="323">
          <cell r="A323" t="str">
            <v>17-2170</v>
          </cell>
          <cell r="B323" t="str">
            <v>Petroleum Engineers</v>
          </cell>
          <cell r="C323" t="str">
            <v>broad</v>
          </cell>
          <cell r="D323">
            <v>18060</v>
          </cell>
          <cell r="E323">
            <v>5.7</v>
          </cell>
          <cell r="F323">
            <v>157150</v>
          </cell>
          <cell r="G323">
            <v>2.2999999999999998</v>
          </cell>
          <cell r="H323">
            <v>144910</v>
          </cell>
        </row>
        <row r="324">
          <cell r="A324" t="str">
            <v>17-2171</v>
          </cell>
          <cell r="B324" t="str">
            <v>Petroleum Engineers</v>
          </cell>
          <cell r="C324" t="str">
            <v>detailed</v>
          </cell>
          <cell r="D324">
            <v>18060</v>
          </cell>
          <cell r="E324">
            <v>5.7</v>
          </cell>
          <cell r="F324">
            <v>157150</v>
          </cell>
          <cell r="G324">
            <v>2.2999999999999998</v>
          </cell>
          <cell r="H324">
            <v>144910</v>
          </cell>
        </row>
        <row r="325">
          <cell r="A325" t="str">
            <v>19-1023</v>
          </cell>
          <cell r="B325" t="str">
            <v>Zoologists and Wildlife Biologists</v>
          </cell>
          <cell r="C325" t="str">
            <v>detailed</v>
          </cell>
          <cell r="D325">
            <v>18120</v>
          </cell>
          <cell r="E325">
            <v>3</v>
          </cell>
          <cell r="F325">
            <v>83020</v>
          </cell>
          <cell r="G325">
            <v>2.4</v>
          </cell>
          <cell r="H325">
            <v>76780</v>
          </cell>
        </row>
        <row r="326">
          <cell r="A326" t="str">
            <v>51-9083</v>
          </cell>
          <cell r="B326" t="str">
            <v>Ophthalmic Laboratory Technicians</v>
          </cell>
          <cell r="C326" t="str">
            <v>detailed</v>
          </cell>
          <cell r="D326">
            <v>18660</v>
          </cell>
          <cell r="E326">
            <v>4.8</v>
          </cell>
          <cell r="F326">
            <v>43190</v>
          </cell>
          <cell r="G326">
            <v>1</v>
          </cell>
          <cell r="H326">
            <v>39460</v>
          </cell>
        </row>
        <row r="327">
          <cell r="A327" t="str">
            <v>39-2010</v>
          </cell>
          <cell r="B327" t="str">
            <v>Animal Trainers</v>
          </cell>
          <cell r="C327" t="str">
            <v>broad</v>
          </cell>
          <cell r="D327">
            <v>18770</v>
          </cell>
          <cell r="E327">
            <v>4.9000000000000004</v>
          </cell>
          <cell r="F327">
            <v>47020</v>
          </cell>
          <cell r="G327">
            <v>2.2999999999999998</v>
          </cell>
          <cell r="H327">
            <v>39990</v>
          </cell>
        </row>
        <row r="328">
          <cell r="A328" t="str">
            <v>39-2011</v>
          </cell>
          <cell r="B328" t="str">
            <v>Animal Trainers</v>
          </cell>
          <cell r="C328" t="str">
            <v>detailed</v>
          </cell>
          <cell r="D328">
            <v>18770</v>
          </cell>
          <cell r="E328">
            <v>4.9000000000000004</v>
          </cell>
          <cell r="F328">
            <v>47020</v>
          </cell>
          <cell r="G328">
            <v>2.2999999999999998</v>
          </cell>
          <cell r="H328">
            <v>39990</v>
          </cell>
        </row>
        <row r="329">
          <cell r="A329" t="str">
            <v>25-1125</v>
          </cell>
          <cell r="B329" t="str">
            <v>History Teachers, Postsecondary</v>
          </cell>
          <cell r="C329" t="str">
            <v>detailed</v>
          </cell>
          <cell r="D329">
            <v>18790</v>
          </cell>
          <cell r="E329">
            <v>0.4</v>
          </cell>
          <cell r="F329">
            <v>96580</v>
          </cell>
          <cell r="G329">
            <v>0.3</v>
          </cell>
          <cell r="H329">
            <v>83820</v>
          </cell>
        </row>
        <row r="330">
          <cell r="A330" t="str">
            <v>19-3039</v>
          </cell>
          <cell r="B330" t="str">
            <v>Psychologists, All Other</v>
          </cell>
          <cell r="C330" t="str">
            <v>detailed</v>
          </cell>
          <cell r="D330">
            <v>18820</v>
          </cell>
          <cell r="E330">
            <v>3.4</v>
          </cell>
          <cell r="F330">
            <v>111210</v>
          </cell>
          <cell r="G330">
            <v>2</v>
          </cell>
          <cell r="H330">
            <v>110840</v>
          </cell>
        </row>
        <row r="331">
          <cell r="A331" t="str">
            <v>49-2091</v>
          </cell>
          <cell r="B331" t="str">
            <v>Avionics Technicians</v>
          </cell>
          <cell r="C331" t="str">
            <v>detailed</v>
          </cell>
          <cell r="D331">
            <v>18830</v>
          </cell>
          <cell r="E331">
            <v>3.5</v>
          </cell>
          <cell r="F331">
            <v>83380</v>
          </cell>
          <cell r="G331">
            <v>0.8</v>
          </cell>
          <cell r="H331">
            <v>82280</v>
          </cell>
        </row>
        <row r="332">
          <cell r="A332" t="str">
            <v>19-1022</v>
          </cell>
          <cell r="B332" t="str">
            <v>Microbiologists</v>
          </cell>
          <cell r="C332" t="str">
            <v>detailed</v>
          </cell>
          <cell r="D332">
            <v>18940</v>
          </cell>
          <cell r="E332">
            <v>4.3</v>
          </cell>
          <cell r="F332">
            <v>97600</v>
          </cell>
          <cell r="G332">
            <v>0.9</v>
          </cell>
          <cell r="H332">
            <v>87990</v>
          </cell>
        </row>
        <row r="333">
          <cell r="A333" t="str">
            <v>19-4092</v>
          </cell>
          <cell r="B333" t="str">
            <v>Forensic Science Technicians</v>
          </cell>
          <cell r="C333" t="str">
            <v>detailed</v>
          </cell>
          <cell r="D333">
            <v>19120</v>
          </cell>
          <cell r="E333">
            <v>1</v>
          </cell>
          <cell r="F333">
            <v>79200</v>
          </cell>
          <cell r="G333">
            <v>0.8</v>
          </cell>
          <cell r="H333">
            <v>72060</v>
          </cell>
        </row>
        <row r="334">
          <cell r="A334" t="str">
            <v>47-2160</v>
          </cell>
          <cell r="B334" t="str">
            <v>Plasterers and Stucco Masons</v>
          </cell>
          <cell r="C334" t="str">
            <v>broad</v>
          </cell>
          <cell r="D334">
            <v>19310</v>
          </cell>
          <cell r="E334">
            <v>5.8</v>
          </cell>
          <cell r="F334">
            <v>62050</v>
          </cell>
          <cell r="G334">
            <v>2.6</v>
          </cell>
          <cell r="H334">
            <v>57660</v>
          </cell>
        </row>
        <row r="335">
          <cell r="A335" t="str">
            <v>47-2161</v>
          </cell>
          <cell r="B335" t="str">
            <v>Plasterers and Stucco Masons</v>
          </cell>
          <cell r="C335" t="str">
            <v>detailed</v>
          </cell>
          <cell r="D335">
            <v>19310</v>
          </cell>
          <cell r="E335">
            <v>5.8</v>
          </cell>
          <cell r="F335">
            <v>62050</v>
          </cell>
          <cell r="G335">
            <v>2.6</v>
          </cell>
          <cell r="H335">
            <v>57660</v>
          </cell>
        </row>
        <row r="336">
          <cell r="A336" t="str">
            <v>35-2019</v>
          </cell>
          <cell r="B336" t="str">
            <v>Cooks, All Other</v>
          </cell>
          <cell r="C336" t="str">
            <v>detailed</v>
          </cell>
          <cell r="D336">
            <v>19350</v>
          </cell>
          <cell r="E336">
            <v>8.6999999999999993</v>
          </cell>
          <cell r="F336">
            <v>39150</v>
          </cell>
          <cell r="G336">
            <v>2.2999999999999998</v>
          </cell>
          <cell r="H336">
            <v>37690</v>
          </cell>
        </row>
        <row r="337">
          <cell r="A337" t="str">
            <v>43-5040</v>
          </cell>
          <cell r="B337" t="str">
            <v>Meter Readers, Utilities</v>
          </cell>
          <cell r="C337" t="str">
            <v>broad</v>
          </cell>
          <cell r="D337">
            <v>19430</v>
          </cell>
          <cell r="E337">
            <v>3.7</v>
          </cell>
          <cell r="F337">
            <v>55380</v>
          </cell>
          <cell r="G337">
            <v>1.1000000000000001</v>
          </cell>
          <cell r="H337">
            <v>48150</v>
          </cell>
        </row>
        <row r="338">
          <cell r="A338" t="str">
            <v>43-5041</v>
          </cell>
          <cell r="B338" t="str">
            <v>Meter Readers, Utilities</v>
          </cell>
          <cell r="C338" t="str">
            <v>detailed</v>
          </cell>
          <cell r="D338">
            <v>19430</v>
          </cell>
          <cell r="E338">
            <v>3.7</v>
          </cell>
          <cell r="F338">
            <v>55380</v>
          </cell>
          <cell r="G338">
            <v>1.1000000000000001</v>
          </cell>
          <cell r="H338">
            <v>48150</v>
          </cell>
        </row>
        <row r="339">
          <cell r="A339" t="str">
            <v>47-5023</v>
          </cell>
          <cell r="B339" t="str">
            <v>Earth Drillers, Except Oil and Gas</v>
          </cell>
          <cell r="C339" t="str">
            <v>detailed</v>
          </cell>
          <cell r="D339">
            <v>19450</v>
          </cell>
          <cell r="E339">
            <v>4.0999999999999996</v>
          </cell>
          <cell r="F339">
            <v>62830</v>
          </cell>
          <cell r="G339">
            <v>1</v>
          </cell>
          <cell r="H339">
            <v>60190</v>
          </cell>
        </row>
        <row r="340">
          <cell r="A340" t="str">
            <v>47-4060</v>
          </cell>
          <cell r="B340" t="str">
            <v>Rail-Track Laying and Maintenance Equipment Operators</v>
          </cell>
          <cell r="C340" t="str">
            <v>broad</v>
          </cell>
          <cell r="D340">
            <v>19580</v>
          </cell>
          <cell r="E340">
            <v>2.2999999999999998</v>
          </cell>
          <cell r="F340">
            <v>68740</v>
          </cell>
          <cell r="G340">
            <v>0.8</v>
          </cell>
          <cell r="H340">
            <v>70070</v>
          </cell>
        </row>
        <row r="341">
          <cell r="A341" t="str">
            <v>47-4061</v>
          </cell>
          <cell r="B341" t="str">
            <v>Rail-Track Laying and Maintenance Equipment Operators</v>
          </cell>
          <cell r="C341" t="str">
            <v>detailed</v>
          </cell>
          <cell r="D341">
            <v>19580</v>
          </cell>
          <cell r="E341">
            <v>2.2999999999999998</v>
          </cell>
          <cell r="F341">
            <v>68740</v>
          </cell>
          <cell r="G341">
            <v>0.8</v>
          </cell>
          <cell r="H341">
            <v>70070</v>
          </cell>
        </row>
        <row r="342">
          <cell r="A342" t="str">
            <v>27-3099</v>
          </cell>
          <cell r="B342" t="str">
            <v>Media and Communication Workers, All Other</v>
          </cell>
          <cell r="C342" t="str">
            <v>detailed</v>
          </cell>
          <cell r="D342">
            <v>19590</v>
          </cell>
          <cell r="E342">
            <v>3.7</v>
          </cell>
          <cell r="F342">
            <v>83860</v>
          </cell>
          <cell r="G342">
            <v>1.7</v>
          </cell>
          <cell r="H342">
            <v>73620</v>
          </cell>
        </row>
        <row r="343">
          <cell r="A343" t="str">
            <v>17-1012</v>
          </cell>
          <cell r="B343" t="str">
            <v>Landscape Architects</v>
          </cell>
          <cell r="C343" t="str">
            <v>detailed</v>
          </cell>
          <cell r="D343">
            <v>19600</v>
          </cell>
          <cell r="E343">
            <v>4.4000000000000004</v>
          </cell>
          <cell r="F343">
            <v>88780</v>
          </cell>
          <cell r="G343">
            <v>1.1000000000000001</v>
          </cell>
          <cell r="H343">
            <v>79870</v>
          </cell>
        </row>
        <row r="344">
          <cell r="A344" t="str">
            <v>49-2097</v>
          </cell>
          <cell r="B344" t="str">
            <v>Audiovisual Equipment Installers and Repairers</v>
          </cell>
          <cell r="C344" t="str">
            <v>detailed</v>
          </cell>
          <cell r="D344">
            <v>19780</v>
          </cell>
          <cell r="E344">
            <v>6.3</v>
          </cell>
          <cell r="F344">
            <v>57930</v>
          </cell>
          <cell r="G344">
            <v>2</v>
          </cell>
          <cell r="H344">
            <v>52600</v>
          </cell>
        </row>
        <row r="345">
          <cell r="A345" t="str">
            <v>25-1124</v>
          </cell>
          <cell r="B345" t="str">
            <v>Foreign Language and Literature Teachers, Postsecondary</v>
          </cell>
          <cell r="C345" t="str">
            <v>detailed</v>
          </cell>
          <cell r="D345">
            <v>19830</v>
          </cell>
          <cell r="E345">
            <v>0.5</v>
          </cell>
          <cell r="F345">
            <v>89990</v>
          </cell>
          <cell r="G345">
            <v>0.4</v>
          </cell>
          <cell r="H345">
            <v>79350</v>
          </cell>
        </row>
        <row r="346">
          <cell r="A346" t="str">
            <v>27-1014</v>
          </cell>
          <cell r="B346" t="str">
            <v>Special Effects Artists and Animators</v>
          </cell>
          <cell r="C346" t="str">
            <v>detailed</v>
          </cell>
          <cell r="D346">
            <v>19970</v>
          </cell>
          <cell r="E346">
            <v>5.9</v>
          </cell>
          <cell r="F346">
            <v>112870</v>
          </cell>
          <cell r="G346">
            <v>1.7</v>
          </cell>
          <cell r="H346">
            <v>102030</v>
          </cell>
        </row>
        <row r="347">
          <cell r="A347" t="str">
            <v>25-1052</v>
          </cell>
          <cell r="B347" t="str">
            <v>Chemistry Teachers, Postsecondary</v>
          </cell>
          <cell r="C347" t="str">
            <v>detailed</v>
          </cell>
          <cell r="D347">
            <v>19980</v>
          </cell>
          <cell r="E347">
            <v>0.3</v>
          </cell>
          <cell r="F347">
            <v>105210</v>
          </cell>
          <cell r="G347">
            <v>0.3</v>
          </cell>
          <cell r="H347">
            <v>93250</v>
          </cell>
        </row>
        <row r="348">
          <cell r="A348" t="str">
            <v>25-1112</v>
          </cell>
          <cell r="B348" t="str">
            <v>Law Teachers, Postsecondary</v>
          </cell>
          <cell r="C348" t="str">
            <v>detailed</v>
          </cell>
          <cell r="D348">
            <v>20060</v>
          </cell>
          <cell r="E348">
            <v>1.9</v>
          </cell>
          <cell r="F348">
            <v>144770</v>
          </cell>
          <cell r="G348">
            <v>0.7</v>
          </cell>
          <cell r="H348">
            <v>128500</v>
          </cell>
        </row>
        <row r="349">
          <cell r="A349" t="str">
            <v>51-6093</v>
          </cell>
          <cell r="B349" t="str">
            <v>Upholsterers</v>
          </cell>
          <cell r="C349" t="str">
            <v>detailed</v>
          </cell>
          <cell r="D349">
            <v>20140</v>
          </cell>
          <cell r="E349">
            <v>2.7</v>
          </cell>
          <cell r="F349">
            <v>47340</v>
          </cell>
          <cell r="G349">
            <v>0.6</v>
          </cell>
          <cell r="H349">
            <v>46340</v>
          </cell>
        </row>
        <row r="350">
          <cell r="A350" t="str">
            <v>49-3022</v>
          </cell>
          <cell r="B350" t="str">
            <v>Automotive Glass Installers and Repairers</v>
          </cell>
          <cell r="C350" t="str">
            <v>detailed</v>
          </cell>
          <cell r="D350">
            <v>20310</v>
          </cell>
          <cell r="E350">
            <v>3.6</v>
          </cell>
          <cell r="F350">
            <v>50430</v>
          </cell>
          <cell r="G350">
            <v>0.9</v>
          </cell>
          <cell r="H350">
            <v>47630</v>
          </cell>
        </row>
        <row r="351">
          <cell r="A351" t="str">
            <v>51-3091</v>
          </cell>
          <cell r="B351" t="str">
            <v>Food and Tobacco Roasting, Baking, and Drying Machine Operators and Tenders</v>
          </cell>
          <cell r="C351" t="str">
            <v>detailed</v>
          </cell>
          <cell r="D351">
            <v>20370</v>
          </cell>
          <cell r="E351">
            <v>3.4</v>
          </cell>
          <cell r="F351">
            <v>45930</v>
          </cell>
          <cell r="G351">
            <v>0.9</v>
          </cell>
          <cell r="H351">
            <v>44810</v>
          </cell>
        </row>
        <row r="352">
          <cell r="A352" t="str">
            <v>19-2012</v>
          </cell>
          <cell r="B352" t="str">
            <v>Physicists</v>
          </cell>
          <cell r="C352" t="str">
            <v>detailed</v>
          </cell>
          <cell r="D352">
            <v>20430</v>
          </cell>
          <cell r="E352">
            <v>3.1</v>
          </cell>
          <cell r="F352">
            <v>171180</v>
          </cell>
          <cell r="G352">
            <v>1</v>
          </cell>
          <cell r="H352">
            <v>172250</v>
          </cell>
        </row>
        <row r="353">
          <cell r="A353" t="str">
            <v>25-1126</v>
          </cell>
          <cell r="B353" t="str">
            <v>Philosophy and Religion Teachers, Postsecondary</v>
          </cell>
          <cell r="C353" t="str">
            <v>detailed</v>
          </cell>
          <cell r="D353">
            <v>20460</v>
          </cell>
          <cell r="E353">
            <v>2.1</v>
          </cell>
          <cell r="F353">
            <v>92040</v>
          </cell>
          <cell r="G353">
            <v>0.9</v>
          </cell>
          <cell r="H353">
            <v>80260</v>
          </cell>
        </row>
        <row r="354">
          <cell r="A354" t="str">
            <v>33-1099</v>
          </cell>
          <cell r="B354" t="str">
            <v>First-Line Supervisors of Protective Service Workers, All Other</v>
          </cell>
          <cell r="C354" t="str">
            <v>detailed</v>
          </cell>
          <cell r="D354">
            <v>20690</v>
          </cell>
          <cell r="E354">
            <v>1.9</v>
          </cell>
          <cell r="F354">
            <v>74390</v>
          </cell>
          <cell r="G354">
            <v>0.7</v>
          </cell>
          <cell r="H354">
            <v>76400</v>
          </cell>
        </row>
        <row r="355">
          <cell r="A355" t="str">
            <v>49-2095</v>
          </cell>
          <cell r="B355" t="str">
            <v>Electrical and Electronics Repairers, Powerhouse, Substation, and Relay</v>
          </cell>
          <cell r="C355" t="str">
            <v>detailed</v>
          </cell>
          <cell r="D355">
            <v>20720</v>
          </cell>
          <cell r="E355">
            <v>2.5</v>
          </cell>
          <cell r="F355">
            <v>100760</v>
          </cell>
          <cell r="G355">
            <v>0.6</v>
          </cell>
          <cell r="H355">
            <v>103020</v>
          </cell>
        </row>
        <row r="356">
          <cell r="A356" t="str">
            <v>51-9197</v>
          </cell>
          <cell r="B356" t="str">
            <v>Tire Builders</v>
          </cell>
          <cell r="C356" t="str">
            <v>detailed</v>
          </cell>
          <cell r="D356">
            <v>20770</v>
          </cell>
          <cell r="E356">
            <v>2.7</v>
          </cell>
          <cell r="F356">
            <v>57160</v>
          </cell>
          <cell r="G356">
            <v>0.6</v>
          </cell>
          <cell r="H356">
            <v>57390</v>
          </cell>
        </row>
        <row r="357">
          <cell r="A357" t="str">
            <v>45-4022</v>
          </cell>
          <cell r="B357" t="str">
            <v>Logging Equipment Operators</v>
          </cell>
          <cell r="C357" t="str">
            <v>detailed</v>
          </cell>
          <cell r="D357">
            <v>21060</v>
          </cell>
          <cell r="E357">
            <v>2.1</v>
          </cell>
          <cell r="F357">
            <v>53190</v>
          </cell>
          <cell r="G357">
            <v>0.9</v>
          </cell>
          <cell r="H357">
            <v>49740</v>
          </cell>
        </row>
        <row r="358">
          <cell r="A358" t="str">
            <v>17-2040</v>
          </cell>
          <cell r="B358" t="str">
            <v>Chemical Engineers</v>
          </cell>
          <cell r="C358" t="str">
            <v>broad</v>
          </cell>
          <cell r="D358">
            <v>21070</v>
          </cell>
          <cell r="E358">
            <v>3.6</v>
          </cell>
          <cell r="F358">
            <v>129980</v>
          </cell>
          <cell r="G358">
            <v>2.2000000000000002</v>
          </cell>
          <cell r="H358">
            <v>125040</v>
          </cell>
        </row>
        <row r="359">
          <cell r="A359" t="str">
            <v>17-2041</v>
          </cell>
          <cell r="B359" t="str">
            <v>Chemical Engineers</v>
          </cell>
          <cell r="C359" t="str">
            <v>detailed</v>
          </cell>
          <cell r="D359">
            <v>21070</v>
          </cell>
          <cell r="E359">
            <v>3.6</v>
          </cell>
          <cell r="F359">
            <v>129980</v>
          </cell>
          <cell r="G359">
            <v>2.2000000000000002</v>
          </cell>
          <cell r="H359">
            <v>125040</v>
          </cell>
        </row>
        <row r="360">
          <cell r="A360" t="str">
            <v>27-4012</v>
          </cell>
          <cell r="B360" t="str">
            <v>Broadcast Technicians</v>
          </cell>
          <cell r="C360" t="str">
            <v>detailed</v>
          </cell>
          <cell r="D360">
            <v>21110</v>
          </cell>
          <cell r="E360">
            <v>3.1</v>
          </cell>
          <cell r="F360">
            <v>67960</v>
          </cell>
          <cell r="G360">
            <v>2.1</v>
          </cell>
          <cell r="H360">
            <v>59570</v>
          </cell>
        </row>
        <row r="361">
          <cell r="A361" t="str">
            <v>27-3010</v>
          </cell>
          <cell r="B361" t="str">
            <v>Broadcast Announcers and Radio Disc Jockeys</v>
          </cell>
          <cell r="C361" t="str">
            <v>broad</v>
          </cell>
          <cell r="D361">
            <v>21240</v>
          </cell>
          <cell r="E361">
            <v>2.2999999999999998</v>
          </cell>
          <cell r="F361">
            <v>78720</v>
          </cell>
          <cell r="G361">
            <v>2.2999999999999998</v>
          </cell>
          <cell r="H361">
            <v>47340</v>
          </cell>
        </row>
        <row r="362">
          <cell r="A362" t="str">
            <v>27-3011</v>
          </cell>
          <cell r="B362" t="str">
            <v>Broadcast Announcers and Radio Disc Jockeys</v>
          </cell>
          <cell r="C362" t="str">
            <v>detailed</v>
          </cell>
          <cell r="D362">
            <v>21240</v>
          </cell>
          <cell r="E362">
            <v>2.2999999999999998</v>
          </cell>
          <cell r="F362">
            <v>78720</v>
          </cell>
          <cell r="G362">
            <v>2.2999999999999998</v>
          </cell>
          <cell r="H362">
            <v>47340</v>
          </cell>
        </row>
        <row r="363">
          <cell r="A363" t="str">
            <v>29-1218</v>
          </cell>
          <cell r="B363" t="str">
            <v>Obstetricians and Gynecologists</v>
          </cell>
          <cell r="C363" t="str">
            <v>detailed</v>
          </cell>
          <cell r="D363">
            <v>21260</v>
          </cell>
          <cell r="E363">
            <v>5.7</v>
          </cell>
          <cell r="F363">
            <v>279040</v>
          </cell>
          <cell r="G363">
            <v>2.2999999999999998</v>
          </cell>
          <cell r="H363">
            <v>292910</v>
          </cell>
        </row>
        <row r="364">
          <cell r="A364" t="str">
            <v>51-4050</v>
          </cell>
          <cell r="B364" t="str">
            <v>Metal Furnace Operators, Tenders, Pourers, and Casters</v>
          </cell>
          <cell r="C364" t="str">
            <v>broad</v>
          </cell>
          <cell r="D364">
            <v>21340</v>
          </cell>
          <cell r="E364">
            <v>2.1</v>
          </cell>
          <cell r="F364">
            <v>55230</v>
          </cell>
          <cell r="G364">
            <v>0.4</v>
          </cell>
          <cell r="H364">
            <v>53760</v>
          </cell>
        </row>
        <row r="365">
          <cell r="A365" t="str">
            <v>49-3043</v>
          </cell>
          <cell r="B365" t="str">
            <v>Rail Car Repairers</v>
          </cell>
          <cell r="C365" t="str">
            <v>detailed</v>
          </cell>
          <cell r="D365">
            <v>21350</v>
          </cell>
          <cell r="E365">
            <v>2.5</v>
          </cell>
          <cell r="F365">
            <v>70680</v>
          </cell>
          <cell r="G365">
            <v>0.7</v>
          </cell>
          <cell r="H365">
            <v>67530</v>
          </cell>
        </row>
        <row r="366">
          <cell r="A366" t="str">
            <v>17-2111</v>
          </cell>
          <cell r="B366" t="str">
            <v>Health and Safety Engineers, Except Mining Safety Engineers and Inspectors</v>
          </cell>
          <cell r="C366" t="str">
            <v>detailed</v>
          </cell>
          <cell r="D366">
            <v>21450</v>
          </cell>
          <cell r="E366">
            <v>6.5</v>
          </cell>
          <cell r="F366">
            <v>119770</v>
          </cell>
          <cell r="G366">
            <v>1.8</v>
          </cell>
          <cell r="H366">
            <v>115160</v>
          </cell>
        </row>
        <row r="367">
          <cell r="A367" t="str">
            <v>27-1022</v>
          </cell>
          <cell r="B367" t="str">
            <v>Fashion Designers</v>
          </cell>
          <cell r="C367" t="str">
            <v>detailed</v>
          </cell>
          <cell r="D367">
            <v>21450</v>
          </cell>
          <cell r="E367">
            <v>7.5</v>
          </cell>
          <cell r="F367">
            <v>91230</v>
          </cell>
          <cell r="G367">
            <v>12.4</v>
          </cell>
          <cell r="H367">
            <v>80960</v>
          </cell>
        </row>
        <row r="368">
          <cell r="A368" t="str">
            <v>11-2010</v>
          </cell>
          <cell r="B368" t="str">
            <v>Advertising and Promotions Managers</v>
          </cell>
          <cell r="C368" t="str">
            <v>broad</v>
          </cell>
          <cell r="D368">
            <v>21470</v>
          </cell>
          <cell r="E368">
            <v>3.9</v>
          </cell>
          <cell r="F368">
            <v>154280</v>
          </cell>
          <cell r="G368">
            <v>3</v>
          </cell>
          <cell r="H368">
            <v>133660</v>
          </cell>
        </row>
        <row r="369">
          <cell r="A369" t="str">
            <v>11-2011</v>
          </cell>
          <cell r="B369" t="str">
            <v>Advertising and Promotions Managers</v>
          </cell>
          <cell r="C369" t="str">
            <v>detailed</v>
          </cell>
          <cell r="D369">
            <v>21470</v>
          </cell>
          <cell r="E369">
            <v>3.9</v>
          </cell>
          <cell r="F369">
            <v>154280</v>
          </cell>
          <cell r="G369">
            <v>3</v>
          </cell>
          <cell r="H369">
            <v>133660</v>
          </cell>
        </row>
        <row r="370">
          <cell r="A370" t="str">
            <v>41-2012</v>
          </cell>
          <cell r="B370" t="str">
            <v>Gambling Change Persons and Booth Cashiers</v>
          </cell>
          <cell r="C370" t="str">
            <v>detailed</v>
          </cell>
          <cell r="D370">
            <v>21530</v>
          </cell>
          <cell r="E370">
            <v>2</v>
          </cell>
          <cell r="F370">
            <v>39100</v>
          </cell>
          <cell r="G370">
            <v>0.8</v>
          </cell>
          <cell r="H370">
            <v>36220</v>
          </cell>
        </row>
        <row r="371">
          <cell r="A371" t="str">
            <v>27-4031</v>
          </cell>
          <cell r="B371" t="str">
            <v>Camera Operators, Television, Video, and Film</v>
          </cell>
          <cell r="C371" t="str">
            <v>detailed</v>
          </cell>
          <cell r="D371">
            <v>21550</v>
          </cell>
          <cell r="E371">
            <v>4.0999999999999996</v>
          </cell>
          <cell r="F371">
            <v>83210</v>
          </cell>
          <cell r="G371">
            <v>2.1</v>
          </cell>
          <cell r="H371">
            <v>74990</v>
          </cell>
        </row>
        <row r="372">
          <cell r="A372" t="str">
            <v>47-3012</v>
          </cell>
          <cell r="B372" t="str">
            <v>Helpers--Carpenters</v>
          </cell>
          <cell r="C372" t="str">
            <v>detailed</v>
          </cell>
          <cell r="D372">
            <v>21680</v>
          </cell>
          <cell r="E372">
            <v>5.4</v>
          </cell>
          <cell r="F372">
            <v>44050</v>
          </cell>
          <cell r="G372">
            <v>1</v>
          </cell>
          <cell r="H372">
            <v>43780</v>
          </cell>
        </row>
        <row r="373">
          <cell r="A373" t="str">
            <v>51-6064</v>
          </cell>
          <cell r="B373" t="str">
            <v>Textile Winding, Twisting, and Drawing Out Machine Setters, Operators, and Tenders</v>
          </cell>
          <cell r="C373" t="str">
            <v>detailed</v>
          </cell>
          <cell r="D373">
            <v>22020</v>
          </cell>
          <cell r="E373">
            <v>2.5</v>
          </cell>
          <cell r="F373">
            <v>40120</v>
          </cell>
          <cell r="G373">
            <v>0.5</v>
          </cell>
          <cell r="H373">
            <v>38670</v>
          </cell>
        </row>
        <row r="374">
          <cell r="A374" t="str">
            <v>21-2020</v>
          </cell>
          <cell r="B374" t="str">
            <v>Directors, Religious Activities and Education</v>
          </cell>
          <cell r="C374" t="str">
            <v>broad</v>
          </cell>
          <cell r="D374">
            <v>22160</v>
          </cell>
          <cell r="E374">
            <v>4.0999999999999996</v>
          </cell>
          <cell r="F374">
            <v>62100</v>
          </cell>
          <cell r="G374">
            <v>1.5</v>
          </cell>
          <cell r="H374">
            <v>52100</v>
          </cell>
        </row>
        <row r="375">
          <cell r="A375" t="str">
            <v>21-2021</v>
          </cell>
          <cell r="B375" t="str">
            <v>Directors, Religious Activities and Education</v>
          </cell>
          <cell r="C375" t="str">
            <v>detailed</v>
          </cell>
          <cell r="D375">
            <v>22160</v>
          </cell>
          <cell r="E375">
            <v>4.0999999999999996</v>
          </cell>
          <cell r="F375">
            <v>62100</v>
          </cell>
          <cell r="G375">
            <v>1.5</v>
          </cell>
          <cell r="H375">
            <v>52100</v>
          </cell>
        </row>
        <row r="376">
          <cell r="A376" t="str">
            <v>29-9093</v>
          </cell>
          <cell r="B376" t="str">
            <v>Surgical Assistants</v>
          </cell>
          <cell r="C376" t="str">
            <v>detailed</v>
          </cell>
          <cell r="D376">
            <v>22270</v>
          </cell>
          <cell r="E376">
            <v>6.4</v>
          </cell>
          <cell r="F376">
            <v>72710</v>
          </cell>
          <cell r="G376">
            <v>2.2999999999999998</v>
          </cell>
          <cell r="H376">
            <v>66800</v>
          </cell>
        </row>
        <row r="377">
          <cell r="A377" t="str">
            <v>19-2090</v>
          </cell>
          <cell r="B377" t="str">
            <v>Miscellaneous Physical Scientists</v>
          </cell>
          <cell r="C377" t="str">
            <v>broad</v>
          </cell>
          <cell r="D377">
            <v>22300</v>
          </cell>
          <cell r="E377">
            <v>1.9</v>
          </cell>
          <cell r="F377">
            <v>129230</v>
          </cell>
          <cell r="G377">
            <v>1.2</v>
          </cell>
          <cell r="H377">
            <v>122570</v>
          </cell>
        </row>
        <row r="378">
          <cell r="A378" t="str">
            <v>19-2099</v>
          </cell>
          <cell r="B378" t="str">
            <v>Physical Scientists, All Other</v>
          </cell>
          <cell r="C378" t="str">
            <v>detailed</v>
          </cell>
          <cell r="D378">
            <v>22300</v>
          </cell>
          <cell r="E378">
            <v>1.9</v>
          </cell>
          <cell r="F378">
            <v>129230</v>
          </cell>
          <cell r="G378">
            <v>1.2</v>
          </cell>
          <cell r="H378">
            <v>122570</v>
          </cell>
        </row>
        <row r="379">
          <cell r="A379" t="str">
            <v>51-9070</v>
          </cell>
          <cell r="B379" t="str">
            <v>Jewelers and Precious Stone and Metal Workers</v>
          </cell>
          <cell r="C379" t="str">
            <v>broad</v>
          </cell>
          <cell r="D379">
            <v>22440</v>
          </cell>
          <cell r="E379">
            <v>3.9</v>
          </cell>
          <cell r="F379">
            <v>57960</v>
          </cell>
          <cell r="G379">
            <v>2.4</v>
          </cell>
          <cell r="H379">
            <v>52540</v>
          </cell>
        </row>
        <row r="380">
          <cell r="A380" t="str">
            <v>51-9071</v>
          </cell>
          <cell r="B380" t="str">
            <v>Jewelers and Precious Stone and Metal Workers</v>
          </cell>
          <cell r="C380" t="str">
            <v>detailed</v>
          </cell>
          <cell r="D380">
            <v>22440</v>
          </cell>
          <cell r="E380">
            <v>3.9</v>
          </cell>
          <cell r="F380">
            <v>57960</v>
          </cell>
          <cell r="G380">
            <v>2.4</v>
          </cell>
          <cell r="H380">
            <v>52540</v>
          </cell>
        </row>
        <row r="381">
          <cell r="A381" t="str">
            <v>53-2021</v>
          </cell>
          <cell r="B381" t="str">
            <v>Air Traffic Controllers</v>
          </cell>
          <cell r="C381" t="str">
            <v>detailed</v>
          </cell>
          <cell r="D381">
            <v>22510</v>
          </cell>
          <cell r="E381">
            <v>0.7</v>
          </cell>
          <cell r="F381">
            <v>146490</v>
          </cell>
          <cell r="G381">
            <v>0.3</v>
          </cell>
          <cell r="H381">
            <v>148080</v>
          </cell>
        </row>
        <row r="382">
          <cell r="A382" t="str">
            <v>49-9096</v>
          </cell>
          <cell r="B382" t="str">
            <v>Riggers</v>
          </cell>
          <cell r="C382" t="str">
            <v>detailed</v>
          </cell>
          <cell r="D382">
            <v>22530</v>
          </cell>
          <cell r="E382">
            <v>4</v>
          </cell>
          <cell r="F382">
            <v>66810</v>
          </cell>
          <cell r="G382">
            <v>1.3</v>
          </cell>
          <cell r="H382">
            <v>62640</v>
          </cell>
        </row>
        <row r="383">
          <cell r="A383" t="str">
            <v>19-2010</v>
          </cell>
          <cell r="B383" t="str">
            <v>Astronomers and Physicists</v>
          </cell>
          <cell r="C383" t="str">
            <v>broad</v>
          </cell>
          <cell r="D383">
            <v>22540</v>
          </cell>
          <cell r="E383">
            <v>2.9</v>
          </cell>
          <cell r="F383">
            <v>167590</v>
          </cell>
          <cell r="G383">
            <v>0.9</v>
          </cell>
          <cell r="H383">
            <v>166880</v>
          </cell>
        </row>
        <row r="384">
          <cell r="A384" t="str">
            <v>29-1129</v>
          </cell>
          <cell r="B384" t="str">
            <v>Therapists, All Other</v>
          </cell>
          <cell r="C384" t="str">
            <v>detailed</v>
          </cell>
          <cell r="D384">
            <v>22640</v>
          </cell>
          <cell r="E384">
            <v>5.5</v>
          </cell>
          <cell r="F384">
            <v>90420</v>
          </cell>
          <cell r="G384">
            <v>3.4</v>
          </cell>
          <cell r="H384">
            <v>77930</v>
          </cell>
        </row>
        <row r="385">
          <cell r="A385" t="str">
            <v>17-2130</v>
          </cell>
          <cell r="B385" t="str">
            <v>Materials Engineers</v>
          </cell>
          <cell r="C385" t="str">
            <v>broad</v>
          </cell>
          <cell r="D385">
            <v>22770</v>
          </cell>
          <cell r="E385">
            <v>2</v>
          </cell>
          <cell r="F385">
            <v>120250</v>
          </cell>
          <cell r="G385">
            <v>0.6</v>
          </cell>
          <cell r="H385">
            <v>112860</v>
          </cell>
        </row>
        <row r="386">
          <cell r="A386" t="str">
            <v>17-2131</v>
          </cell>
          <cell r="B386" t="str">
            <v>Materials Engineers</v>
          </cell>
          <cell r="C386" t="str">
            <v>detailed</v>
          </cell>
          <cell r="D386">
            <v>22770</v>
          </cell>
          <cell r="E386">
            <v>2</v>
          </cell>
          <cell r="F386">
            <v>120250</v>
          </cell>
          <cell r="G386">
            <v>0.6</v>
          </cell>
          <cell r="H386">
            <v>112860</v>
          </cell>
        </row>
        <row r="387">
          <cell r="A387" t="str">
            <v>53-7010</v>
          </cell>
          <cell r="B387" t="str">
            <v>Conveyor Operators and Tenders</v>
          </cell>
          <cell r="C387" t="str">
            <v>broad</v>
          </cell>
          <cell r="D387">
            <v>22930</v>
          </cell>
          <cell r="E387">
            <v>3.3</v>
          </cell>
          <cell r="F387">
            <v>45080</v>
          </cell>
          <cell r="G387">
            <v>0.6</v>
          </cell>
          <cell r="H387">
            <v>42420</v>
          </cell>
        </row>
        <row r="388">
          <cell r="A388" t="str">
            <v>53-7011</v>
          </cell>
          <cell r="B388" t="str">
            <v>Conveyor Operators and Tenders</v>
          </cell>
          <cell r="C388" t="str">
            <v>detailed</v>
          </cell>
          <cell r="D388">
            <v>22930</v>
          </cell>
          <cell r="E388">
            <v>3.3</v>
          </cell>
          <cell r="F388">
            <v>45080</v>
          </cell>
          <cell r="G388">
            <v>0.6</v>
          </cell>
          <cell r="H388">
            <v>42420</v>
          </cell>
        </row>
        <row r="389">
          <cell r="A389" t="str">
            <v>11-3110</v>
          </cell>
          <cell r="B389" t="str">
            <v>Compensation and Benefits Managers</v>
          </cell>
          <cell r="C389" t="str">
            <v>broad</v>
          </cell>
          <cell r="D389">
            <v>22940</v>
          </cell>
          <cell r="E389">
            <v>2.1</v>
          </cell>
          <cell r="F389">
            <v>162640</v>
          </cell>
          <cell r="G389">
            <v>0.8</v>
          </cell>
          <cell r="H389">
            <v>149230</v>
          </cell>
        </row>
        <row r="390">
          <cell r="A390" t="str">
            <v>11-3111</v>
          </cell>
          <cell r="B390" t="str">
            <v>Compensation and Benefits Managers</v>
          </cell>
          <cell r="C390" t="str">
            <v>detailed</v>
          </cell>
          <cell r="D390">
            <v>22940</v>
          </cell>
          <cell r="E390">
            <v>2.1</v>
          </cell>
          <cell r="F390">
            <v>162640</v>
          </cell>
          <cell r="G390">
            <v>0.8</v>
          </cell>
          <cell r="H390">
            <v>149230</v>
          </cell>
        </row>
        <row r="391">
          <cell r="A391" t="str">
            <v>49-3051</v>
          </cell>
          <cell r="B391" t="str">
            <v>Motorboat Mechanics and Service Technicians</v>
          </cell>
          <cell r="C391" t="str">
            <v>detailed</v>
          </cell>
          <cell r="D391">
            <v>23220</v>
          </cell>
          <cell r="E391">
            <v>3.1</v>
          </cell>
          <cell r="F391">
            <v>58070</v>
          </cell>
          <cell r="G391">
            <v>1.1000000000000001</v>
          </cell>
          <cell r="H391">
            <v>57550</v>
          </cell>
        </row>
        <row r="392">
          <cell r="A392" t="str">
            <v>19-2042</v>
          </cell>
          <cell r="B392" t="str">
            <v>Geoscientists, Except Hydrologists and Geographers</v>
          </cell>
          <cell r="C392" t="str">
            <v>detailed</v>
          </cell>
          <cell r="D392">
            <v>23470</v>
          </cell>
          <cell r="E392">
            <v>3.1</v>
          </cell>
          <cell r="F392">
            <v>116150</v>
          </cell>
          <cell r="G392">
            <v>1.9</v>
          </cell>
          <cell r="H392">
            <v>101920</v>
          </cell>
        </row>
        <row r="393">
          <cell r="A393" t="str">
            <v>17-2030</v>
          </cell>
          <cell r="B393" t="str">
            <v>Bioengineers and Biomedical Engineers</v>
          </cell>
          <cell r="C393" t="str">
            <v>broad</v>
          </cell>
          <cell r="D393">
            <v>23480</v>
          </cell>
          <cell r="E393">
            <v>4.5999999999999996</v>
          </cell>
          <cell r="F393">
            <v>116890</v>
          </cell>
          <cell r="G393">
            <v>2.1</v>
          </cell>
          <cell r="H393">
            <v>109370</v>
          </cell>
        </row>
        <row r="394">
          <cell r="A394" t="str">
            <v>17-2031</v>
          </cell>
          <cell r="B394" t="str">
            <v>Bioengineers and Biomedical Engineers</v>
          </cell>
          <cell r="C394" t="str">
            <v>detailed</v>
          </cell>
          <cell r="D394">
            <v>23480</v>
          </cell>
          <cell r="E394">
            <v>4.5999999999999996</v>
          </cell>
          <cell r="F394">
            <v>116890</v>
          </cell>
          <cell r="G394">
            <v>2.1</v>
          </cell>
          <cell r="H394">
            <v>109370</v>
          </cell>
        </row>
        <row r="395">
          <cell r="A395" t="str">
            <v>53-7190</v>
          </cell>
          <cell r="B395" t="str">
            <v>Miscellaneous Material Moving Workers</v>
          </cell>
          <cell r="C395" t="str">
            <v>broad</v>
          </cell>
          <cell r="D395">
            <v>23480</v>
          </cell>
          <cell r="E395">
            <v>4</v>
          </cell>
          <cell r="F395">
            <v>45640</v>
          </cell>
          <cell r="G395">
            <v>1</v>
          </cell>
          <cell r="H395">
            <v>41800</v>
          </cell>
        </row>
        <row r="396">
          <cell r="A396" t="str">
            <v>53-7199</v>
          </cell>
          <cell r="B396" t="str">
            <v>Material Moving Workers, All Other</v>
          </cell>
          <cell r="C396" t="str">
            <v>detailed</v>
          </cell>
          <cell r="D396">
            <v>23480</v>
          </cell>
          <cell r="E396">
            <v>4</v>
          </cell>
          <cell r="F396">
            <v>45640</v>
          </cell>
          <cell r="G396">
            <v>1</v>
          </cell>
          <cell r="H396">
            <v>41800</v>
          </cell>
        </row>
        <row r="397">
          <cell r="A397" t="str">
            <v>47-2042</v>
          </cell>
          <cell r="B397" t="str">
            <v>Floor Layers, Except Carpet, Wood, and Hard Tiles</v>
          </cell>
          <cell r="C397" t="str">
            <v>detailed</v>
          </cell>
          <cell r="D397">
            <v>23640</v>
          </cell>
          <cell r="E397">
            <v>4.5999999999999996</v>
          </cell>
          <cell r="F397">
            <v>61760</v>
          </cell>
          <cell r="G397">
            <v>1.8</v>
          </cell>
          <cell r="H397">
            <v>56460</v>
          </cell>
        </row>
        <row r="398">
          <cell r="A398" t="str">
            <v>47-4020</v>
          </cell>
          <cell r="B398" t="str">
            <v>Elevator and Escalator Installers and Repairers</v>
          </cell>
          <cell r="C398" t="str">
            <v>broad</v>
          </cell>
          <cell r="D398">
            <v>23790</v>
          </cell>
          <cell r="E398">
            <v>5.8</v>
          </cell>
          <cell r="F398">
            <v>109820</v>
          </cell>
          <cell r="G398">
            <v>1.6</v>
          </cell>
          <cell r="H398">
            <v>109910</v>
          </cell>
        </row>
        <row r="399">
          <cell r="A399" t="str">
            <v>47-4021</v>
          </cell>
          <cell r="B399" t="str">
            <v>Elevator and Escalator Installers and Repairers</v>
          </cell>
          <cell r="C399" t="str">
            <v>detailed</v>
          </cell>
          <cell r="D399">
            <v>23790</v>
          </cell>
          <cell r="E399">
            <v>5.8</v>
          </cell>
          <cell r="F399">
            <v>109820</v>
          </cell>
          <cell r="G399">
            <v>1.6</v>
          </cell>
          <cell r="H399">
            <v>109910</v>
          </cell>
        </row>
        <row r="400">
          <cell r="A400" t="str">
            <v>51-5111</v>
          </cell>
          <cell r="B400" t="str">
            <v>Prepress Technicians and Workers</v>
          </cell>
          <cell r="C400" t="str">
            <v>detailed</v>
          </cell>
          <cell r="D400">
            <v>23840</v>
          </cell>
          <cell r="E400">
            <v>2.2999999999999998</v>
          </cell>
          <cell r="F400">
            <v>50800</v>
          </cell>
          <cell r="G400">
            <v>0.6</v>
          </cell>
          <cell r="H400">
            <v>48690</v>
          </cell>
        </row>
        <row r="401">
          <cell r="A401" t="str">
            <v>23-1023</v>
          </cell>
          <cell r="B401" t="str">
            <v>Judges, Magistrate Judges, and Magistrates</v>
          </cell>
          <cell r="C401" t="str">
            <v>detailed</v>
          </cell>
          <cell r="D401">
            <v>24030</v>
          </cell>
          <cell r="E401">
            <v>0.6</v>
          </cell>
          <cell r="F401">
            <v>143830</v>
          </cell>
          <cell r="G401">
            <v>0.7</v>
          </cell>
          <cell r="H401">
            <v>153990</v>
          </cell>
        </row>
        <row r="402">
          <cell r="A402" t="str">
            <v>11-9170</v>
          </cell>
          <cell r="B402" t="str">
            <v>Personal Service Managers</v>
          </cell>
          <cell r="C402" t="str">
            <v>broad</v>
          </cell>
          <cell r="D402">
            <v>24350</v>
          </cell>
          <cell r="E402">
            <v>2.4</v>
          </cell>
          <cell r="F402">
            <v>86550</v>
          </cell>
          <cell r="G402">
            <v>1.1000000000000001</v>
          </cell>
          <cell r="H402">
            <v>76240</v>
          </cell>
        </row>
        <row r="403">
          <cell r="A403" t="str">
            <v>27-2090</v>
          </cell>
          <cell r="B403" t="str">
            <v>Miscellaneous Entertainers and Performers, Sports and Related Workers</v>
          </cell>
          <cell r="C403" t="str">
            <v>broad</v>
          </cell>
          <cell r="D403">
            <v>24470</v>
          </cell>
          <cell r="E403">
            <v>6.7</v>
          </cell>
          <cell r="F403" t="str">
            <v>*</v>
          </cell>
          <cell r="G403">
            <v>5.0999999999999996</v>
          </cell>
          <cell r="H403" t="str">
            <v>*</v>
          </cell>
        </row>
        <row r="404">
          <cell r="A404" t="str">
            <v>47-4030</v>
          </cell>
          <cell r="B404" t="str">
            <v>Fence Erectors</v>
          </cell>
          <cell r="C404" t="str">
            <v>broad</v>
          </cell>
          <cell r="D404">
            <v>24480</v>
          </cell>
          <cell r="E404">
            <v>6</v>
          </cell>
          <cell r="F404">
            <v>50530</v>
          </cell>
          <cell r="G404">
            <v>1.3</v>
          </cell>
          <cell r="H404">
            <v>47980</v>
          </cell>
        </row>
        <row r="405">
          <cell r="A405" t="str">
            <v>47-4031</v>
          </cell>
          <cell r="B405" t="str">
            <v>Fence Erectors</v>
          </cell>
          <cell r="C405" t="str">
            <v>detailed</v>
          </cell>
          <cell r="D405">
            <v>24480</v>
          </cell>
          <cell r="E405">
            <v>6</v>
          </cell>
          <cell r="F405">
            <v>50530</v>
          </cell>
          <cell r="G405">
            <v>1.3</v>
          </cell>
          <cell r="H405">
            <v>47980</v>
          </cell>
        </row>
        <row r="406">
          <cell r="A406" t="str">
            <v>53-6050</v>
          </cell>
          <cell r="B406" t="str">
            <v>Transportation Inspectors</v>
          </cell>
          <cell r="C406" t="str">
            <v>broad</v>
          </cell>
          <cell r="D406">
            <v>24500</v>
          </cell>
          <cell r="E406">
            <v>3.2</v>
          </cell>
          <cell r="F406">
            <v>88540</v>
          </cell>
          <cell r="G406">
            <v>1.7</v>
          </cell>
          <cell r="H406">
            <v>92100</v>
          </cell>
        </row>
        <row r="407">
          <cell r="A407" t="str">
            <v>53-6051</v>
          </cell>
          <cell r="B407" t="str">
            <v>Transportation Inspectors</v>
          </cell>
          <cell r="C407" t="str">
            <v>detailed</v>
          </cell>
          <cell r="D407">
            <v>24500</v>
          </cell>
          <cell r="E407">
            <v>3.2</v>
          </cell>
          <cell r="F407">
            <v>88540</v>
          </cell>
          <cell r="G407">
            <v>1.7</v>
          </cell>
          <cell r="H407">
            <v>92100</v>
          </cell>
        </row>
        <row r="408">
          <cell r="A408" t="str">
            <v>47-3019</v>
          </cell>
          <cell r="B408" t="str">
            <v>Helpers, Construction Trades, All Other</v>
          </cell>
          <cell r="C408" t="str">
            <v>detailed</v>
          </cell>
          <cell r="D408">
            <v>24770</v>
          </cell>
          <cell r="E408">
            <v>5.7</v>
          </cell>
          <cell r="F408">
            <v>45140</v>
          </cell>
          <cell r="G408">
            <v>1.1000000000000001</v>
          </cell>
          <cell r="H408">
            <v>42670</v>
          </cell>
        </row>
        <row r="409">
          <cell r="A409" t="str">
            <v>39-4030</v>
          </cell>
          <cell r="B409" t="str">
            <v>Morticians, Undertakers, and Funeral Arrangers</v>
          </cell>
          <cell r="C409" t="str">
            <v>broad</v>
          </cell>
          <cell r="D409">
            <v>25100</v>
          </cell>
          <cell r="E409">
            <v>2</v>
          </cell>
          <cell r="F409">
            <v>58160</v>
          </cell>
          <cell r="G409">
            <v>1.3</v>
          </cell>
          <cell r="H409">
            <v>55010</v>
          </cell>
        </row>
        <row r="410">
          <cell r="A410" t="str">
            <v>39-4031</v>
          </cell>
          <cell r="B410" t="str">
            <v>Morticians, Undertakers, and Funeral Arrangers</v>
          </cell>
          <cell r="C410" t="str">
            <v>detailed</v>
          </cell>
          <cell r="D410">
            <v>25100</v>
          </cell>
          <cell r="E410">
            <v>2</v>
          </cell>
          <cell r="F410">
            <v>58160</v>
          </cell>
          <cell r="G410">
            <v>1.3</v>
          </cell>
          <cell r="H410">
            <v>55010</v>
          </cell>
        </row>
        <row r="411">
          <cell r="A411" t="str">
            <v>43-9070</v>
          </cell>
          <cell r="B411" t="str">
            <v>Office Machine Operators, Except Computer</v>
          </cell>
          <cell r="C411" t="str">
            <v>broad</v>
          </cell>
          <cell r="D411">
            <v>25130</v>
          </cell>
          <cell r="E411">
            <v>4.0999999999999996</v>
          </cell>
          <cell r="F411">
            <v>43220</v>
          </cell>
          <cell r="G411">
            <v>1</v>
          </cell>
          <cell r="H411">
            <v>40960</v>
          </cell>
        </row>
        <row r="412">
          <cell r="A412" t="str">
            <v>43-9071</v>
          </cell>
          <cell r="B412" t="str">
            <v>Office Machine Operators, Except Computer</v>
          </cell>
          <cell r="C412" t="str">
            <v>detailed</v>
          </cell>
          <cell r="D412">
            <v>25130</v>
          </cell>
          <cell r="E412">
            <v>4.0999999999999996</v>
          </cell>
          <cell r="F412">
            <v>43220</v>
          </cell>
          <cell r="G412">
            <v>1</v>
          </cell>
          <cell r="H412">
            <v>40960</v>
          </cell>
        </row>
        <row r="413">
          <cell r="A413" t="str">
            <v>29-1249</v>
          </cell>
          <cell r="B413" t="str">
            <v>Surgeons, All Other</v>
          </cell>
          <cell r="C413" t="str">
            <v>detailed</v>
          </cell>
          <cell r="D413">
            <v>25140</v>
          </cell>
          <cell r="E413">
            <v>9.6</v>
          </cell>
          <cell r="F413">
            <v>373930</v>
          </cell>
          <cell r="G413">
            <v>5.3</v>
          </cell>
          <cell r="H413">
            <v>414010</v>
          </cell>
        </row>
        <row r="414">
          <cell r="A414" t="str">
            <v>45-2040</v>
          </cell>
          <cell r="B414" t="str">
            <v>Graders and Sorters, Agricultural Products</v>
          </cell>
          <cell r="C414" t="str">
            <v>broad</v>
          </cell>
          <cell r="D414">
            <v>25180</v>
          </cell>
          <cell r="E414">
            <v>2.8</v>
          </cell>
          <cell r="F414">
            <v>36430</v>
          </cell>
          <cell r="G414">
            <v>0.7</v>
          </cell>
          <cell r="H414">
            <v>35730</v>
          </cell>
        </row>
        <row r="415">
          <cell r="A415" t="str">
            <v>45-2041</v>
          </cell>
          <cell r="B415" t="str">
            <v>Graders and Sorters, Agricultural Products</v>
          </cell>
          <cell r="C415" t="str">
            <v>detailed</v>
          </cell>
          <cell r="D415">
            <v>25180</v>
          </cell>
          <cell r="E415">
            <v>2.8</v>
          </cell>
          <cell r="F415">
            <v>36430</v>
          </cell>
          <cell r="G415">
            <v>0.7</v>
          </cell>
          <cell r="H415">
            <v>35730</v>
          </cell>
        </row>
        <row r="416">
          <cell r="A416" t="str">
            <v>51-4023</v>
          </cell>
          <cell r="B416" t="str">
            <v>Rolling Machine Setters, Operators, and Tenders, Metal and Plastic</v>
          </cell>
          <cell r="C416" t="str">
            <v>detailed</v>
          </cell>
          <cell r="D416">
            <v>25250</v>
          </cell>
          <cell r="E416">
            <v>2.6</v>
          </cell>
          <cell r="F416">
            <v>53220</v>
          </cell>
          <cell r="G416">
            <v>0.5</v>
          </cell>
          <cell r="H416">
            <v>50140</v>
          </cell>
        </row>
        <row r="417">
          <cell r="A417" t="str">
            <v>47-5040</v>
          </cell>
          <cell r="B417" t="str">
            <v>Underground Mining Machine Operators</v>
          </cell>
          <cell r="C417" t="str">
            <v>broad</v>
          </cell>
          <cell r="D417">
            <v>25260</v>
          </cell>
          <cell r="E417">
            <v>2.7</v>
          </cell>
          <cell r="F417">
            <v>68220</v>
          </cell>
          <cell r="G417">
            <v>0.7</v>
          </cell>
          <cell r="H417">
            <v>66670</v>
          </cell>
        </row>
        <row r="418">
          <cell r="A418" t="str">
            <v>27-4032</v>
          </cell>
          <cell r="B418" t="str">
            <v>Film and Video Editors</v>
          </cell>
          <cell r="C418" t="str">
            <v>detailed</v>
          </cell>
          <cell r="D418">
            <v>25610</v>
          </cell>
          <cell r="E418">
            <v>4.7</v>
          </cell>
          <cell r="F418">
            <v>86130</v>
          </cell>
          <cell r="G418">
            <v>2.5</v>
          </cell>
          <cell r="H418">
            <v>75420</v>
          </cell>
        </row>
        <row r="419">
          <cell r="A419" t="str">
            <v>47-2132</v>
          </cell>
          <cell r="B419" t="str">
            <v>Insulation Workers, Mechanical</v>
          </cell>
          <cell r="C419" t="str">
            <v>detailed</v>
          </cell>
          <cell r="D419">
            <v>25660</v>
          </cell>
          <cell r="E419">
            <v>5.2</v>
          </cell>
          <cell r="F419">
            <v>65530</v>
          </cell>
          <cell r="G419">
            <v>2.1</v>
          </cell>
          <cell r="H419">
            <v>58340</v>
          </cell>
        </row>
        <row r="420">
          <cell r="A420" t="str">
            <v>19-1031</v>
          </cell>
          <cell r="B420" t="str">
            <v>Conservation Scientists</v>
          </cell>
          <cell r="C420" t="str">
            <v>detailed</v>
          </cell>
          <cell r="D420">
            <v>25950</v>
          </cell>
          <cell r="E420">
            <v>2.4</v>
          </cell>
          <cell r="F420">
            <v>77130</v>
          </cell>
          <cell r="G420">
            <v>0.7</v>
          </cell>
          <cell r="H420">
            <v>73010</v>
          </cell>
        </row>
        <row r="421">
          <cell r="A421" t="str">
            <v>51-9021</v>
          </cell>
          <cell r="B421" t="str">
            <v>Crushing, Grinding, and Polishing Machine Setters, Operators, and Tenders</v>
          </cell>
          <cell r="C421" t="str">
            <v>detailed</v>
          </cell>
          <cell r="D421">
            <v>26000</v>
          </cell>
          <cell r="E421">
            <v>2.8</v>
          </cell>
          <cell r="F421">
            <v>51380</v>
          </cell>
          <cell r="G421">
            <v>0.6</v>
          </cell>
          <cell r="H421">
            <v>48540</v>
          </cell>
        </row>
        <row r="422">
          <cell r="A422" t="str">
            <v>39-1013</v>
          </cell>
          <cell r="B422" t="str">
            <v>First-Line Supervisors of Gambling Services Workers</v>
          </cell>
          <cell r="C422" t="str">
            <v>detailed</v>
          </cell>
          <cell r="D422">
            <v>26010</v>
          </cell>
          <cell r="E422">
            <v>0.8</v>
          </cell>
          <cell r="F422">
            <v>64830</v>
          </cell>
          <cell r="G422">
            <v>0.5</v>
          </cell>
          <cell r="H422">
            <v>63820</v>
          </cell>
        </row>
        <row r="423">
          <cell r="A423" t="str">
            <v>51-6020</v>
          </cell>
          <cell r="B423" t="str">
            <v>Pressers, Textile, Garment, and Related Materials</v>
          </cell>
          <cell r="C423" t="str">
            <v>broad</v>
          </cell>
          <cell r="D423">
            <v>26120</v>
          </cell>
          <cell r="E423">
            <v>3.1</v>
          </cell>
          <cell r="F423">
            <v>34640</v>
          </cell>
          <cell r="G423">
            <v>0.7</v>
          </cell>
          <cell r="H423">
            <v>35060</v>
          </cell>
        </row>
        <row r="424">
          <cell r="A424" t="str">
            <v>51-6021</v>
          </cell>
          <cell r="B424" t="str">
            <v>Pressers, Textile, Garment, and Related Materials</v>
          </cell>
          <cell r="C424" t="str">
            <v>detailed</v>
          </cell>
          <cell r="D424">
            <v>26120</v>
          </cell>
          <cell r="E424">
            <v>3.1</v>
          </cell>
          <cell r="F424">
            <v>34640</v>
          </cell>
          <cell r="G424">
            <v>0.7</v>
          </cell>
          <cell r="H424">
            <v>35060</v>
          </cell>
        </row>
        <row r="425">
          <cell r="A425" t="str">
            <v>49-9091</v>
          </cell>
          <cell r="B425" t="str">
            <v>Coin, Vending, and Amusement Machine Servicers and Repairers</v>
          </cell>
          <cell r="C425" t="str">
            <v>detailed</v>
          </cell>
          <cell r="D425">
            <v>26410</v>
          </cell>
          <cell r="E425">
            <v>2.9</v>
          </cell>
          <cell r="F425">
            <v>49770</v>
          </cell>
          <cell r="G425">
            <v>0.7</v>
          </cell>
          <cell r="H425">
            <v>47450</v>
          </cell>
        </row>
        <row r="426">
          <cell r="A426" t="str">
            <v>15-2010</v>
          </cell>
          <cell r="B426" t="str">
            <v>Actuaries</v>
          </cell>
          <cell r="C426" t="str">
            <v>broad</v>
          </cell>
          <cell r="D426">
            <v>26670</v>
          </cell>
          <cell r="E426">
            <v>3.2</v>
          </cell>
          <cell r="F426">
            <v>141480</v>
          </cell>
          <cell r="G426">
            <v>2.2999999999999998</v>
          </cell>
          <cell r="H426">
            <v>130000</v>
          </cell>
        </row>
        <row r="427">
          <cell r="A427" t="str">
            <v>15-2011</v>
          </cell>
          <cell r="B427" t="str">
            <v>Actuaries</v>
          </cell>
          <cell r="C427" t="str">
            <v>detailed</v>
          </cell>
          <cell r="D427">
            <v>26670</v>
          </cell>
          <cell r="E427">
            <v>3.2</v>
          </cell>
          <cell r="F427">
            <v>141480</v>
          </cell>
          <cell r="G427">
            <v>2.2999999999999998</v>
          </cell>
          <cell r="H427">
            <v>130000</v>
          </cell>
        </row>
        <row r="428">
          <cell r="A428" t="str">
            <v>29-1224</v>
          </cell>
          <cell r="B428" t="str">
            <v>Radiologists</v>
          </cell>
          <cell r="C428" t="str">
            <v>detailed</v>
          </cell>
          <cell r="D428">
            <v>26770</v>
          </cell>
          <cell r="E428">
            <v>7.3</v>
          </cell>
          <cell r="F428">
            <v>381530</v>
          </cell>
          <cell r="G428">
            <v>2.6</v>
          </cell>
          <cell r="H428">
            <v>420860</v>
          </cell>
        </row>
        <row r="429">
          <cell r="A429" t="str">
            <v>37-3012</v>
          </cell>
          <cell r="B429" t="str">
            <v>Pesticide Handlers, Sprayers, and Applicators, Vegetation</v>
          </cell>
          <cell r="C429" t="str">
            <v>detailed</v>
          </cell>
          <cell r="D429">
            <v>27050</v>
          </cell>
          <cell r="E429">
            <v>4.5999999999999996</v>
          </cell>
          <cell r="F429">
            <v>47070</v>
          </cell>
          <cell r="G429">
            <v>0.9</v>
          </cell>
          <cell r="H429">
            <v>46340</v>
          </cell>
        </row>
        <row r="430">
          <cell r="A430" t="str">
            <v>53-6060</v>
          </cell>
          <cell r="B430" t="str">
            <v>Passenger Attendants</v>
          </cell>
          <cell r="C430" t="str">
            <v>broad</v>
          </cell>
          <cell r="D430">
            <v>27110</v>
          </cell>
          <cell r="E430">
            <v>4.7</v>
          </cell>
          <cell r="F430">
            <v>37820</v>
          </cell>
          <cell r="G430">
            <v>1.2</v>
          </cell>
          <cell r="H430">
            <v>37720</v>
          </cell>
        </row>
        <row r="431">
          <cell r="A431" t="str">
            <v>53-6061</v>
          </cell>
          <cell r="B431" t="str">
            <v>Passenger Attendants</v>
          </cell>
          <cell r="C431" t="str">
            <v>detailed</v>
          </cell>
          <cell r="D431">
            <v>27110</v>
          </cell>
          <cell r="E431">
            <v>4.7</v>
          </cell>
          <cell r="F431">
            <v>37820</v>
          </cell>
          <cell r="G431">
            <v>1.2</v>
          </cell>
          <cell r="H431">
            <v>37720</v>
          </cell>
        </row>
        <row r="432">
          <cell r="A432" t="str">
            <v>49-9011</v>
          </cell>
          <cell r="B432" t="str">
            <v>Mechanical Door Repairers</v>
          </cell>
          <cell r="C432" t="str">
            <v>detailed</v>
          </cell>
          <cell r="D432">
            <v>27120</v>
          </cell>
          <cell r="E432">
            <v>5.4</v>
          </cell>
          <cell r="F432">
            <v>57540</v>
          </cell>
          <cell r="G432">
            <v>1.2</v>
          </cell>
          <cell r="H432">
            <v>55720</v>
          </cell>
        </row>
        <row r="433">
          <cell r="A433" t="str">
            <v>13-2071</v>
          </cell>
          <cell r="B433" t="str">
            <v>Credit Counselors</v>
          </cell>
          <cell r="C433" t="str">
            <v>detailed</v>
          </cell>
          <cell r="D433">
            <v>27770</v>
          </cell>
          <cell r="E433">
            <v>2.5</v>
          </cell>
          <cell r="F433">
            <v>57210</v>
          </cell>
          <cell r="G433">
            <v>0.8</v>
          </cell>
          <cell r="H433">
            <v>52230</v>
          </cell>
        </row>
        <row r="434">
          <cell r="A434" t="str">
            <v>45-1000</v>
          </cell>
          <cell r="B434" t="str">
            <v>Supervisors of Farming, Fishing, and Forestry Workers</v>
          </cell>
          <cell r="C434" t="str">
            <v>minor</v>
          </cell>
          <cell r="D434">
            <v>27960</v>
          </cell>
          <cell r="E434">
            <v>2.1</v>
          </cell>
          <cell r="F434">
            <v>62730</v>
          </cell>
          <cell r="G434">
            <v>0.8</v>
          </cell>
          <cell r="H434">
            <v>59320</v>
          </cell>
        </row>
        <row r="435">
          <cell r="A435" t="str">
            <v>45-1010</v>
          </cell>
          <cell r="B435" t="str">
            <v>First-Line Supervisors of Farming, Fishing, and Forestry Workers</v>
          </cell>
          <cell r="C435" t="str">
            <v>broad</v>
          </cell>
          <cell r="D435">
            <v>27960</v>
          </cell>
          <cell r="E435">
            <v>2.1</v>
          </cell>
          <cell r="F435">
            <v>62730</v>
          </cell>
          <cell r="G435">
            <v>0.8</v>
          </cell>
          <cell r="H435">
            <v>59320</v>
          </cell>
        </row>
        <row r="436">
          <cell r="A436" t="str">
            <v>45-1011</v>
          </cell>
          <cell r="B436" t="str">
            <v>First-Line Supervisors of Farming, Fishing, and Forestry Workers</v>
          </cell>
          <cell r="C436" t="str">
            <v>detailed</v>
          </cell>
          <cell r="D436">
            <v>27960</v>
          </cell>
          <cell r="E436">
            <v>2.1</v>
          </cell>
          <cell r="F436">
            <v>62730</v>
          </cell>
          <cell r="G436">
            <v>0.8</v>
          </cell>
          <cell r="H436">
            <v>59320</v>
          </cell>
        </row>
        <row r="437">
          <cell r="A437" t="str">
            <v>29-1223</v>
          </cell>
          <cell r="B437" t="str">
            <v>Psychiatrists</v>
          </cell>
          <cell r="C437" t="str">
            <v>detailed</v>
          </cell>
          <cell r="D437">
            <v>27980</v>
          </cell>
          <cell r="E437">
            <v>3.5</v>
          </cell>
          <cell r="F437">
            <v>269940</v>
          </cell>
          <cell r="G437">
            <v>2.4</v>
          </cell>
          <cell r="H437">
            <v>281870</v>
          </cell>
        </row>
        <row r="438">
          <cell r="A438" t="str">
            <v>51-8020</v>
          </cell>
          <cell r="B438" t="str">
            <v>Stationary Engineers and Boiler Operators</v>
          </cell>
          <cell r="C438" t="str">
            <v>broad</v>
          </cell>
          <cell r="D438">
            <v>28250</v>
          </cell>
          <cell r="E438">
            <v>2.1</v>
          </cell>
          <cell r="F438">
            <v>83960</v>
          </cell>
          <cell r="G438">
            <v>0.6</v>
          </cell>
          <cell r="H438">
            <v>78620</v>
          </cell>
        </row>
        <row r="439">
          <cell r="A439" t="str">
            <v>51-8021</v>
          </cell>
          <cell r="B439" t="str">
            <v>Stationary Engineers and Boiler Operators</v>
          </cell>
          <cell r="C439" t="str">
            <v>detailed</v>
          </cell>
          <cell r="D439">
            <v>28250</v>
          </cell>
          <cell r="E439">
            <v>2.1</v>
          </cell>
          <cell r="F439">
            <v>83960</v>
          </cell>
          <cell r="G439">
            <v>0.6</v>
          </cell>
          <cell r="H439">
            <v>78620</v>
          </cell>
        </row>
        <row r="440">
          <cell r="A440" t="str">
            <v>47-4090</v>
          </cell>
          <cell r="B440" t="str">
            <v>Miscellaneous Construction and Related Workers</v>
          </cell>
          <cell r="C440" t="str">
            <v>broad</v>
          </cell>
          <cell r="D440">
            <v>28380</v>
          </cell>
          <cell r="E440">
            <v>5.2</v>
          </cell>
          <cell r="F440">
            <v>55130</v>
          </cell>
          <cell r="G440">
            <v>1.7</v>
          </cell>
          <cell r="H440">
            <v>49910</v>
          </cell>
        </row>
        <row r="441">
          <cell r="A441" t="str">
            <v>47-4090</v>
          </cell>
          <cell r="B441" t="str">
            <v>Miscellaneous Construction and Related Workers</v>
          </cell>
          <cell r="C441" t="str">
            <v>detailed</v>
          </cell>
          <cell r="D441">
            <v>28380</v>
          </cell>
          <cell r="E441">
            <v>5.2</v>
          </cell>
          <cell r="F441">
            <v>55130</v>
          </cell>
          <cell r="G441">
            <v>1.7</v>
          </cell>
          <cell r="H441">
            <v>49910</v>
          </cell>
        </row>
        <row r="442">
          <cell r="A442" t="str">
            <v>45-2091</v>
          </cell>
          <cell r="B442" t="str">
            <v>Agricultural Equipment Operators</v>
          </cell>
          <cell r="C442" t="str">
            <v>detailed</v>
          </cell>
          <cell r="D442">
            <v>28500</v>
          </cell>
          <cell r="E442">
            <v>3.6</v>
          </cell>
          <cell r="F442">
            <v>43710</v>
          </cell>
          <cell r="G442">
            <v>0.8</v>
          </cell>
          <cell r="H442">
            <v>41730</v>
          </cell>
        </row>
        <row r="443">
          <cell r="A443" t="str">
            <v>51-9162</v>
          </cell>
          <cell r="B443" t="str">
            <v>Computer Numerically Controlled Tool Programmers</v>
          </cell>
          <cell r="C443" t="str">
            <v>detailed</v>
          </cell>
          <cell r="D443">
            <v>28500</v>
          </cell>
          <cell r="E443">
            <v>1.8</v>
          </cell>
          <cell r="F443">
            <v>72210</v>
          </cell>
          <cell r="G443">
            <v>0.7</v>
          </cell>
          <cell r="H443">
            <v>68120</v>
          </cell>
        </row>
        <row r="444">
          <cell r="A444" t="str">
            <v>39-6011</v>
          </cell>
          <cell r="B444" t="str">
            <v>Baggage Porters and Bellhops</v>
          </cell>
          <cell r="C444" t="str">
            <v>detailed</v>
          </cell>
          <cell r="D444">
            <v>28510</v>
          </cell>
          <cell r="E444">
            <v>3.6</v>
          </cell>
          <cell r="F444">
            <v>38570</v>
          </cell>
          <cell r="G444">
            <v>1</v>
          </cell>
          <cell r="H444">
            <v>37080</v>
          </cell>
        </row>
        <row r="445">
          <cell r="A445" t="str">
            <v>21-1019</v>
          </cell>
          <cell r="B445" t="str">
            <v>Counselors, All Other</v>
          </cell>
          <cell r="C445" t="str">
            <v>detailed</v>
          </cell>
          <cell r="D445">
            <v>28580</v>
          </cell>
          <cell r="E445">
            <v>5.2</v>
          </cell>
          <cell r="F445">
            <v>58210</v>
          </cell>
          <cell r="G445">
            <v>1.8</v>
          </cell>
          <cell r="H445">
            <v>50860</v>
          </cell>
        </row>
        <row r="446">
          <cell r="A446" t="str">
            <v>29-1299</v>
          </cell>
          <cell r="B446" t="str">
            <v>Healthcare Diagnosing or Treating Practitioners, All Other</v>
          </cell>
          <cell r="C446" t="str">
            <v>detailed</v>
          </cell>
          <cell r="D446">
            <v>28630</v>
          </cell>
          <cell r="E446">
            <v>1.9</v>
          </cell>
          <cell r="F446">
            <v>127660</v>
          </cell>
          <cell r="G446">
            <v>5.5</v>
          </cell>
          <cell r="H446">
            <v>115210</v>
          </cell>
        </row>
        <row r="447">
          <cell r="A447" t="str">
            <v>45-4020</v>
          </cell>
          <cell r="B447" t="str">
            <v>Logging Workers</v>
          </cell>
          <cell r="C447" t="str">
            <v>broad</v>
          </cell>
          <cell r="D447">
            <v>28960</v>
          </cell>
          <cell r="E447">
            <v>1.6</v>
          </cell>
          <cell r="F447">
            <v>53020</v>
          </cell>
          <cell r="G447">
            <v>0.8</v>
          </cell>
          <cell r="H447">
            <v>49660</v>
          </cell>
        </row>
        <row r="448">
          <cell r="A448" t="str">
            <v>15-2040</v>
          </cell>
          <cell r="B448" t="str">
            <v>Statisticians</v>
          </cell>
          <cell r="C448" t="str">
            <v>broad</v>
          </cell>
          <cell r="D448">
            <v>29030</v>
          </cell>
          <cell r="E448">
            <v>2.7</v>
          </cell>
          <cell r="F448">
            <v>115700</v>
          </cell>
          <cell r="G448">
            <v>1.2</v>
          </cell>
          <cell r="H448">
            <v>105650</v>
          </cell>
        </row>
        <row r="449">
          <cell r="A449" t="str">
            <v>15-2041</v>
          </cell>
          <cell r="B449" t="str">
            <v>Statisticians</v>
          </cell>
          <cell r="C449" t="str">
            <v>detailed</v>
          </cell>
          <cell r="D449">
            <v>29030</v>
          </cell>
          <cell r="E449">
            <v>2.7</v>
          </cell>
          <cell r="F449">
            <v>115700</v>
          </cell>
          <cell r="G449">
            <v>1.2</v>
          </cell>
          <cell r="H449">
            <v>105650</v>
          </cell>
        </row>
        <row r="450">
          <cell r="A450" t="str">
            <v>51-8013</v>
          </cell>
          <cell r="B450" t="str">
            <v>Power Plant Operators</v>
          </cell>
          <cell r="C450" t="str">
            <v>detailed</v>
          </cell>
          <cell r="D450">
            <v>29320</v>
          </cell>
          <cell r="E450">
            <v>2.4</v>
          </cell>
          <cell r="F450">
            <v>99790</v>
          </cell>
          <cell r="G450">
            <v>0.7</v>
          </cell>
          <cell r="H450">
            <v>102040</v>
          </cell>
        </row>
        <row r="451">
          <cell r="A451" t="str">
            <v>25-1122</v>
          </cell>
          <cell r="B451" t="str">
            <v>Communications Teachers, Postsecondary</v>
          </cell>
          <cell r="C451" t="str">
            <v>detailed</v>
          </cell>
          <cell r="D451">
            <v>29420</v>
          </cell>
          <cell r="E451">
            <v>0.5</v>
          </cell>
          <cell r="F451">
            <v>90010</v>
          </cell>
          <cell r="G451">
            <v>0.4</v>
          </cell>
          <cell r="H451">
            <v>78580</v>
          </cell>
        </row>
        <row r="452">
          <cell r="A452" t="str">
            <v>25-2051</v>
          </cell>
          <cell r="B452" t="str">
            <v>Special Education Teachers, Preschool</v>
          </cell>
          <cell r="C452" t="str">
            <v>detailed</v>
          </cell>
          <cell r="D452">
            <v>29510</v>
          </cell>
          <cell r="E452">
            <v>5.9</v>
          </cell>
          <cell r="F452">
            <v>76380</v>
          </cell>
          <cell r="G452">
            <v>2.6</v>
          </cell>
          <cell r="H452">
            <v>64830</v>
          </cell>
        </row>
        <row r="453">
          <cell r="A453" t="str">
            <v>19-4010</v>
          </cell>
          <cell r="B453" t="str">
            <v>Agricultural and Food Science Technicians</v>
          </cell>
          <cell r="C453" t="str">
            <v>broad</v>
          </cell>
          <cell r="D453">
            <v>29730</v>
          </cell>
          <cell r="E453">
            <v>2.5</v>
          </cell>
          <cell r="F453">
            <v>55220</v>
          </cell>
          <cell r="G453">
            <v>0.8</v>
          </cell>
          <cell r="H453">
            <v>51160</v>
          </cell>
        </row>
        <row r="454">
          <cell r="A454" t="str">
            <v>19-4070</v>
          </cell>
          <cell r="B454" t="str">
            <v>Forest and Conservation Technicians</v>
          </cell>
          <cell r="C454" t="str">
            <v>broad</v>
          </cell>
          <cell r="D454">
            <v>30410</v>
          </cell>
          <cell r="E454">
            <v>1</v>
          </cell>
          <cell r="F454">
            <v>59060</v>
          </cell>
          <cell r="G454">
            <v>0.2</v>
          </cell>
          <cell r="H454">
            <v>54560</v>
          </cell>
        </row>
        <row r="455">
          <cell r="A455" t="str">
            <v>19-4071</v>
          </cell>
          <cell r="B455" t="str">
            <v>Forest and Conservation Technicians</v>
          </cell>
          <cell r="C455" t="str">
            <v>detailed</v>
          </cell>
          <cell r="D455">
            <v>30410</v>
          </cell>
          <cell r="E455">
            <v>1</v>
          </cell>
          <cell r="F455">
            <v>59060</v>
          </cell>
          <cell r="G455">
            <v>0.2</v>
          </cell>
          <cell r="H455">
            <v>54560</v>
          </cell>
        </row>
        <row r="456">
          <cell r="A456" t="str">
            <v>29-9091</v>
          </cell>
          <cell r="B456" t="str">
            <v>Athletic Trainers</v>
          </cell>
          <cell r="C456" t="str">
            <v>detailed</v>
          </cell>
          <cell r="D456">
            <v>30500</v>
          </cell>
          <cell r="E456">
            <v>2.4</v>
          </cell>
          <cell r="F456">
            <v>66620</v>
          </cell>
          <cell r="G456">
            <v>0.4</v>
          </cell>
          <cell r="H456">
            <v>62520</v>
          </cell>
        </row>
        <row r="457">
          <cell r="A457" t="str">
            <v>19-5012</v>
          </cell>
          <cell r="B457" t="str">
            <v>Occupational Health and Safety Technicians</v>
          </cell>
          <cell r="C457" t="str">
            <v>detailed</v>
          </cell>
          <cell r="D457">
            <v>30590</v>
          </cell>
          <cell r="E457">
            <v>2.5</v>
          </cell>
          <cell r="F457">
            <v>68120</v>
          </cell>
          <cell r="G457">
            <v>0.9</v>
          </cell>
          <cell r="H457">
            <v>61560</v>
          </cell>
        </row>
        <row r="458">
          <cell r="A458" t="str">
            <v>19-4060</v>
          </cell>
          <cell r="B458" t="str">
            <v>Social Science Research Assistants</v>
          </cell>
          <cell r="C458" t="str">
            <v>broad</v>
          </cell>
          <cell r="D458">
            <v>30640</v>
          </cell>
          <cell r="E458">
            <v>1.8</v>
          </cell>
          <cell r="F458">
            <v>66140</v>
          </cell>
          <cell r="G458">
            <v>1.1000000000000001</v>
          </cell>
          <cell r="H458">
            <v>61990</v>
          </cell>
        </row>
        <row r="459">
          <cell r="A459" t="str">
            <v>19-4061</v>
          </cell>
          <cell r="B459" t="str">
            <v>Social Science Research Assistants</v>
          </cell>
          <cell r="C459" t="str">
            <v>detailed</v>
          </cell>
          <cell r="D459">
            <v>30640</v>
          </cell>
          <cell r="E459">
            <v>1.8</v>
          </cell>
          <cell r="F459">
            <v>66140</v>
          </cell>
          <cell r="G459">
            <v>1.1000000000000001</v>
          </cell>
          <cell r="H459">
            <v>61990</v>
          </cell>
        </row>
        <row r="460">
          <cell r="A460" t="str">
            <v>47-4070</v>
          </cell>
          <cell r="B460" t="str">
            <v>Septic Tank Servicers and Sewer Pipe Cleaners</v>
          </cell>
          <cell r="C460" t="str">
            <v>broad</v>
          </cell>
          <cell r="D460">
            <v>30650</v>
          </cell>
          <cell r="E460">
            <v>2.7</v>
          </cell>
          <cell r="F460">
            <v>53500</v>
          </cell>
          <cell r="G460">
            <v>0.7</v>
          </cell>
          <cell r="H460">
            <v>49880</v>
          </cell>
        </row>
        <row r="461">
          <cell r="A461" t="str">
            <v>47-4071</v>
          </cell>
          <cell r="B461" t="str">
            <v>Septic Tank Servicers and Sewer Pipe Cleaners</v>
          </cell>
          <cell r="C461" t="str">
            <v>detailed</v>
          </cell>
          <cell r="D461">
            <v>30650</v>
          </cell>
          <cell r="E461">
            <v>2.7</v>
          </cell>
          <cell r="F461">
            <v>53500</v>
          </cell>
          <cell r="G461">
            <v>0.7</v>
          </cell>
          <cell r="H461">
            <v>49880</v>
          </cell>
        </row>
        <row r="462">
          <cell r="A462" t="str">
            <v>39-4020</v>
          </cell>
          <cell r="B462" t="str">
            <v>Funeral Attendants</v>
          </cell>
          <cell r="C462" t="str">
            <v>broad</v>
          </cell>
          <cell r="D462">
            <v>31090</v>
          </cell>
          <cell r="E462">
            <v>1.7</v>
          </cell>
          <cell r="F462">
            <v>37190</v>
          </cell>
          <cell r="G462">
            <v>0.7</v>
          </cell>
          <cell r="H462">
            <v>35680</v>
          </cell>
        </row>
        <row r="463">
          <cell r="A463" t="str">
            <v>39-4021</v>
          </cell>
          <cell r="B463" t="str">
            <v>Funeral Attendants</v>
          </cell>
          <cell r="C463" t="str">
            <v>detailed</v>
          </cell>
          <cell r="D463">
            <v>31090</v>
          </cell>
          <cell r="E463">
            <v>1.7</v>
          </cell>
          <cell r="F463">
            <v>37190</v>
          </cell>
          <cell r="G463">
            <v>0.7</v>
          </cell>
          <cell r="H463">
            <v>35680</v>
          </cell>
        </row>
        <row r="464">
          <cell r="A464" t="str">
            <v>51-3093</v>
          </cell>
          <cell r="B464" t="str">
            <v>Food Cooking Machine Operators and Tenders</v>
          </cell>
          <cell r="C464" t="str">
            <v>detailed</v>
          </cell>
          <cell r="D464">
            <v>31250</v>
          </cell>
          <cell r="E464">
            <v>3.2</v>
          </cell>
          <cell r="F464">
            <v>42570</v>
          </cell>
          <cell r="G464">
            <v>0.6</v>
          </cell>
          <cell r="H464">
            <v>41590</v>
          </cell>
        </row>
        <row r="465">
          <cell r="A465" t="str">
            <v>53-7070</v>
          </cell>
          <cell r="B465" t="str">
            <v>Pumping Station Operators</v>
          </cell>
          <cell r="C465" t="str">
            <v>broad</v>
          </cell>
          <cell r="D465">
            <v>31270</v>
          </cell>
          <cell r="E465">
            <v>5.0999999999999996</v>
          </cell>
          <cell r="F465">
            <v>68840</v>
          </cell>
          <cell r="G465">
            <v>1.6</v>
          </cell>
          <cell r="H465">
            <v>65190</v>
          </cell>
        </row>
        <row r="466">
          <cell r="A466" t="str">
            <v>53-6032</v>
          </cell>
          <cell r="B466" t="str">
            <v>Aircraft Service Attendants</v>
          </cell>
          <cell r="C466" t="str">
            <v>detailed</v>
          </cell>
          <cell r="D466">
            <v>31300</v>
          </cell>
          <cell r="E466">
            <v>3.3</v>
          </cell>
          <cell r="F466">
            <v>43330</v>
          </cell>
          <cell r="G466">
            <v>0.7</v>
          </cell>
          <cell r="H466">
            <v>40450</v>
          </cell>
        </row>
        <row r="467">
          <cell r="A467" t="str">
            <v>47-2230</v>
          </cell>
          <cell r="B467" t="str">
            <v>Solar Photovoltaic Installers</v>
          </cell>
          <cell r="C467" t="str">
            <v>broad</v>
          </cell>
          <cell r="D467">
            <v>31350</v>
          </cell>
          <cell r="E467">
            <v>6.1</v>
          </cell>
          <cell r="F467">
            <v>57900</v>
          </cell>
          <cell r="G467">
            <v>1.2</v>
          </cell>
          <cell r="H467">
            <v>53140</v>
          </cell>
        </row>
        <row r="468">
          <cell r="A468" t="str">
            <v>47-2231</v>
          </cell>
          <cell r="B468" t="str">
            <v>Solar Photovoltaic Installers</v>
          </cell>
          <cell r="C468" t="str">
            <v>detailed</v>
          </cell>
          <cell r="D468">
            <v>31350</v>
          </cell>
          <cell r="E468">
            <v>6.1</v>
          </cell>
          <cell r="F468">
            <v>57900</v>
          </cell>
          <cell r="G468">
            <v>1.2</v>
          </cell>
          <cell r="H468">
            <v>53140</v>
          </cell>
        </row>
        <row r="469">
          <cell r="A469" t="str">
            <v>51-9140</v>
          </cell>
          <cell r="B469" t="str">
            <v>Semiconductor Processing Technicians</v>
          </cell>
          <cell r="C469" t="str">
            <v>broad</v>
          </cell>
          <cell r="D469">
            <v>31460</v>
          </cell>
          <cell r="E469">
            <v>1.8</v>
          </cell>
          <cell r="F469">
            <v>60180</v>
          </cell>
          <cell r="G469">
            <v>0.6</v>
          </cell>
          <cell r="H469">
            <v>51430</v>
          </cell>
        </row>
        <row r="470">
          <cell r="A470" t="str">
            <v>51-9141</v>
          </cell>
          <cell r="B470" t="str">
            <v>Semiconductor Processing Technicians</v>
          </cell>
          <cell r="C470" t="str">
            <v>detailed</v>
          </cell>
          <cell r="D470">
            <v>31460</v>
          </cell>
          <cell r="E470">
            <v>1.8</v>
          </cell>
          <cell r="F470">
            <v>60180</v>
          </cell>
          <cell r="G470">
            <v>0.6</v>
          </cell>
          <cell r="H470">
            <v>51430</v>
          </cell>
        </row>
        <row r="471">
          <cell r="A471" t="str">
            <v>29-2051</v>
          </cell>
          <cell r="B471" t="str">
            <v>Dietetic Technicians</v>
          </cell>
          <cell r="C471" t="str">
            <v>detailed</v>
          </cell>
          <cell r="D471">
            <v>31560</v>
          </cell>
          <cell r="E471">
            <v>2.5</v>
          </cell>
          <cell r="F471">
            <v>40630</v>
          </cell>
          <cell r="G471">
            <v>0.6</v>
          </cell>
          <cell r="H471">
            <v>37640</v>
          </cell>
        </row>
        <row r="472">
          <cell r="A472" t="str">
            <v>51-4122</v>
          </cell>
          <cell r="B472" t="str">
            <v>Welding, Soldering, and Brazing Machine Setters, Operators, and Tenders</v>
          </cell>
          <cell r="C472" t="str">
            <v>detailed</v>
          </cell>
          <cell r="D472">
            <v>31600</v>
          </cell>
          <cell r="E472">
            <v>2.6</v>
          </cell>
          <cell r="F472">
            <v>50220</v>
          </cell>
          <cell r="G472">
            <v>0.5</v>
          </cell>
          <cell r="H472">
            <v>47920</v>
          </cell>
        </row>
        <row r="473">
          <cell r="A473" t="str">
            <v>53-5010</v>
          </cell>
          <cell r="B473" t="str">
            <v>Sailors and Marine Oilers</v>
          </cell>
          <cell r="C473" t="str">
            <v>broad</v>
          </cell>
          <cell r="D473">
            <v>31670</v>
          </cell>
          <cell r="E473">
            <v>3.8</v>
          </cell>
          <cell r="F473">
            <v>56830</v>
          </cell>
          <cell r="G473">
            <v>1.5</v>
          </cell>
          <cell r="H473">
            <v>51520</v>
          </cell>
        </row>
        <row r="474">
          <cell r="A474" t="str">
            <v>53-5011</v>
          </cell>
          <cell r="B474" t="str">
            <v>Sailors and Marine Oilers</v>
          </cell>
          <cell r="C474" t="str">
            <v>detailed</v>
          </cell>
          <cell r="D474">
            <v>31670</v>
          </cell>
          <cell r="E474">
            <v>3.8</v>
          </cell>
          <cell r="F474">
            <v>56830</v>
          </cell>
          <cell r="G474">
            <v>1.5</v>
          </cell>
          <cell r="H474">
            <v>51520</v>
          </cell>
        </row>
        <row r="475">
          <cell r="A475" t="str">
            <v>19-1010</v>
          </cell>
          <cell r="B475" t="str">
            <v>Agricultural and Food Scientists</v>
          </cell>
          <cell r="C475" t="str">
            <v>broad</v>
          </cell>
          <cell r="D475">
            <v>31890</v>
          </cell>
          <cell r="E475">
            <v>2.2000000000000002</v>
          </cell>
          <cell r="F475">
            <v>90910</v>
          </cell>
          <cell r="G475">
            <v>1.2</v>
          </cell>
          <cell r="H475">
            <v>81970</v>
          </cell>
        </row>
        <row r="476">
          <cell r="A476" t="str">
            <v>49-9030</v>
          </cell>
          <cell r="B476" t="str">
            <v>Home Appliance Repairers</v>
          </cell>
          <cell r="C476" t="str">
            <v>broad</v>
          </cell>
          <cell r="D476">
            <v>32150</v>
          </cell>
          <cell r="E476">
            <v>4</v>
          </cell>
          <cell r="F476">
            <v>56040</v>
          </cell>
          <cell r="G476">
            <v>1.2</v>
          </cell>
          <cell r="H476">
            <v>50990</v>
          </cell>
        </row>
        <row r="477">
          <cell r="A477" t="str">
            <v>49-9031</v>
          </cell>
          <cell r="B477" t="str">
            <v>Home Appliance Repairers</v>
          </cell>
          <cell r="C477" t="str">
            <v>detailed</v>
          </cell>
          <cell r="D477">
            <v>32150</v>
          </cell>
          <cell r="E477">
            <v>4</v>
          </cell>
          <cell r="F477">
            <v>56040</v>
          </cell>
          <cell r="G477">
            <v>1.2</v>
          </cell>
          <cell r="H477">
            <v>50990</v>
          </cell>
        </row>
        <row r="478">
          <cell r="A478" t="str">
            <v>51-4193</v>
          </cell>
          <cell r="B478" t="str">
            <v>Plating Machine Setters, Operators, and Tenders, Metal and Plastic</v>
          </cell>
          <cell r="C478" t="str">
            <v>detailed</v>
          </cell>
          <cell r="D478">
            <v>32410</v>
          </cell>
          <cell r="E478">
            <v>2.6</v>
          </cell>
          <cell r="F478">
            <v>45100</v>
          </cell>
          <cell r="G478">
            <v>0.6</v>
          </cell>
          <cell r="H478">
            <v>43960</v>
          </cell>
        </row>
        <row r="479">
          <cell r="A479" t="str">
            <v>25-4010</v>
          </cell>
          <cell r="B479" t="str">
            <v>Archivists, Curators, and Museum Technicians</v>
          </cell>
          <cell r="C479" t="str">
            <v>broad</v>
          </cell>
          <cell r="D479">
            <v>32430</v>
          </cell>
          <cell r="E479">
            <v>2.6</v>
          </cell>
          <cell r="F479">
            <v>65960</v>
          </cell>
          <cell r="G479">
            <v>0.5</v>
          </cell>
          <cell r="H479">
            <v>60330</v>
          </cell>
        </row>
        <row r="480">
          <cell r="A480" t="str">
            <v>45-2093</v>
          </cell>
          <cell r="B480" t="str">
            <v>Farmworkers, Farm, Ranch, and Aquacultural Animals</v>
          </cell>
          <cell r="C480" t="str">
            <v>detailed</v>
          </cell>
          <cell r="D480">
            <v>32810</v>
          </cell>
          <cell r="E480">
            <v>2.2999999999999998</v>
          </cell>
          <cell r="F480">
            <v>39260</v>
          </cell>
          <cell r="G480">
            <v>0.7</v>
          </cell>
          <cell r="H480">
            <v>36670</v>
          </cell>
        </row>
        <row r="481">
          <cell r="A481" t="str">
            <v>29-1214</v>
          </cell>
          <cell r="B481" t="str">
            <v>Emergency Medicine Physicians</v>
          </cell>
          <cell r="C481" t="str">
            <v>detailed</v>
          </cell>
          <cell r="D481">
            <v>32880</v>
          </cell>
          <cell r="E481">
            <v>4.3</v>
          </cell>
          <cell r="F481">
            <v>317480</v>
          </cell>
          <cell r="G481">
            <v>3</v>
          </cell>
          <cell r="H481">
            <v>335550</v>
          </cell>
        </row>
        <row r="482">
          <cell r="A482" t="str">
            <v>47-2151</v>
          </cell>
          <cell r="B482" t="str">
            <v>Pipelayers</v>
          </cell>
          <cell r="C482" t="str">
            <v>detailed</v>
          </cell>
          <cell r="D482">
            <v>33050</v>
          </cell>
          <cell r="E482">
            <v>3.1</v>
          </cell>
          <cell r="F482">
            <v>54700</v>
          </cell>
          <cell r="G482">
            <v>1.1000000000000001</v>
          </cell>
          <cell r="H482">
            <v>49000</v>
          </cell>
        </row>
        <row r="483">
          <cell r="A483" t="str">
            <v>51-8093</v>
          </cell>
          <cell r="B483" t="str">
            <v>Petroleum Pump System Operators, Refinery Operators, and Gaugers</v>
          </cell>
          <cell r="C483" t="str">
            <v>detailed</v>
          </cell>
          <cell r="D483">
            <v>33160</v>
          </cell>
          <cell r="E483">
            <v>2.9</v>
          </cell>
          <cell r="F483">
            <v>90630</v>
          </cell>
          <cell r="G483">
            <v>0.9</v>
          </cell>
          <cell r="H483">
            <v>96710</v>
          </cell>
        </row>
        <row r="484">
          <cell r="A484" t="str">
            <v>51-5113</v>
          </cell>
          <cell r="B484" t="str">
            <v>Print Binding and Finishing Workers</v>
          </cell>
          <cell r="C484" t="str">
            <v>detailed</v>
          </cell>
          <cell r="D484">
            <v>33180</v>
          </cell>
          <cell r="E484">
            <v>2.4</v>
          </cell>
          <cell r="F484">
            <v>44460</v>
          </cell>
          <cell r="G484">
            <v>0.5</v>
          </cell>
          <cell r="H484">
            <v>42290</v>
          </cell>
        </row>
        <row r="485">
          <cell r="A485" t="str">
            <v>51-9195</v>
          </cell>
          <cell r="B485" t="str">
            <v>Molders, Shapers, and Casters, Except Metal and Plastic</v>
          </cell>
          <cell r="C485" t="str">
            <v>detailed</v>
          </cell>
          <cell r="D485">
            <v>33190</v>
          </cell>
          <cell r="E485">
            <v>2.9</v>
          </cell>
          <cell r="F485">
            <v>47500</v>
          </cell>
          <cell r="G485">
            <v>0.6</v>
          </cell>
          <cell r="H485">
            <v>46170</v>
          </cell>
        </row>
        <row r="486">
          <cell r="A486" t="str">
            <v>53-4011</v>
          </cell>
          <cell r="B486" t="str">
            <v>Locomotive Engineers</v>
          </cell>
          <cell r="C486" t="str">
            <v>detailed</v>
          </cell>
          <cell r="D486">
            <v>33470</v>
          </cell>
          <cell r="E486">
            <v>0.8</v>
          </cell>
          <cell r="F486">
            <v>85900</v>
          </cell>
          <cell r="G486">
            <v>0.5</v>
          </cell>
          <cell r="H486">
            <v>81410</v>
          </cell>
        </row>
        <row r="487">
          <cell r="A487" t="str">
            <v>27-1021</v>
          </cell>
          <cell r="B487" t="str">
            <v>Commercial and Industrial Designers</v>
          </cell>
          <cell r="C487" t="str">
            <v>detailed</v>
          </cell>
          <cell r="D487">
            <v>33490</v>
          </cell>
          <cell r="E487">
            <v>3.3</v>
          </cell>
          <cell r="F487">
            <v>93260</v>
          </cell>
          <cell r="G487">
            <v>1.8</v>
          </cell>
          <cell r="H487">
            <v>83910</v>
          </cell>
        </row>
        <row r="488">
          <cell r="A488" t="str">
            <v>19-1021</v>
          </cell>
          <cell r="B488" t="str">
            <v>Biochemists and Biophysicists</v>
          </cell>
          <cell r="C488" t="str">
            <v>detailed</v>
          </cell>
          <cell r="D488">
            <v>33830</v>
          </cell>
          <cell r="E488">
            <v>4.2</v>
          </cell>
          <cell r="F488">
            <v>129840</v>
          </cell>
          <cell r="G488">
            <v>1.3</v>
          </cell>
          <cell r="H488">
            <v>127410</v>
          </cell>
        </row>
        <row r="489">
          <cell r="A489" t="str">
            <v>25-2059</v>
          </cell>
          <cell r="B489" t="str">
            <v>Special Education Teachers, All Other</v>
          </cell>
          <cell r="C489" t="str">
            <v>detailed</v>
          </cell>
          <cell r="D489">
            <v>33930</v>
          </cell>
          <cell r="E489">
            <v>7.8</v>
          </cell>
          <cell r="F489">
            <v>79750</v>
          </cell>
          <cell r="G489">
            <v>3.3</v>
          </cell>
          <cell r="H489">
            <v>76580</v>
          </cell>
        </row>
        <row r="490">
          <cell r="A490" t="str">
            <v>51-2030</v>
          </cell>
          <cell r="B490" t="str">
            <v>Engine and Other Machine Assemblers</v>
          </cell>
          <cell r="C490" t="str">
            <v>broad</v>
          </cell>
          <cell r="D490">
            <v>34000</v>
          </cell>
          <cell r="E490">
            <v>1.7</v>
          </cell>
          <cell r="F490">
            <v>57790</v>
          </cell>
          <cell r="G490">
            <v>0.6</v>
          </cell>
          <cell r="H490">
            <v>53710</v>
          </cell>
        </row>
        <row r="491">
          <cell r="A491" t="str">
            <v>51-2031</v>
          </cell>
          <cell r="B491" t="str">
            <v>Engine and Other Machine Assemblers</v>
          </cell>
          <cell r="C491" t="str">
            <v>detailed</v>
          </cell>
          <cell r="D491">
            <v>34000</v>
          </cell>
          <cell r="E491">
            <v>1.7</v>
          </cell>
          <cell r="F491">
            <v>57790</v>
          </cell>
          <cell r="G491">
            <v>0.6</v>
          </cell>
          <cell r="H491">
            <v>53710</v>
          </cell>
        </row>
        <row r="492">
          <cell r="A492" t="str">
            <v>51-2010</v>
          </cell>
          <cell r="B492" t="str">
            <v>Aircraft Structure, Surfaces, Rigging, and Systems Assemblers</v>
          </cell>
          <cell r="C492" t="str">
            <v>broad</v>
          </cell>
          <cell r="D492">
            <v>34020</v>
          </cell>
          <cell r="E492">
            <v>1.8</v>
          </cell>
          <cell r="F492">
            <v>71420</v>
          </cell>
          <cell r="G492">
            <v>0.5</v>
          </cell>
          <cell r="H492">
            <v>65380</v>
          </cell>
        </row>
        <row r="493">
          <cell r="A493" t="str">
            <v>51-2011</v>
          </cell>
          <cell r="B493" t="str">
            <v>Aircraft Structure, Surfaces, Rigging, and Systems Assemblers</v>
          </cell>
          <cell r="C493" t="str">
            <v>detailed</v>
          </cell>
          <cell r="D493">
            <v>34020</v>
          </cell>
          <cell r="E493">
            <v>1.8</v>
          </cell>
          <cell r="F493">
            <v>71420</v>
          </cell>
          <cell r="G493">
            <v>0.5</v>
          </cell>
          <cell r="H493">
            <v>65380</v>
          </cell>
        </row>
        <row r="494">
          <cell r="A494" t="str">
            <v>43-2010</v>
          </cell>
          <cell r="B494" t="str">
            <v>Switchboard Operators, Including Answering Service</v>
          </cell>
          <cell r="C494" t="str">
            <v>broad</v>
          </cell>
          <cell r="D494">
            <v>34280</v>
          </cell>
          <cell r="E494">
            <v>3</v>
          </cell>
          <cell r="F494">
            <v>42300</v>
          </cell>
          <cell r="G494">
            <v>0.7</v>
          </cell>
          <cell r="H494">
            <v>38630</v>
          </cell>
        </row>
        <row r="495">
          <cell r="A495" t="str">
            <v>43-2011</v>
          </cell>
          <cell r="B495" t="str">
            <v>Switchboard Operators, Including Answering Service</v>
          </cell>
          <cell r="C495" t="str">
            <v>detailed</v>
          </cell>
          <cell r="D495">
            <v>34280</v>
          </cell>
          <cell r="E495">
            <v>3</v>
          </cell>
          <cell r="F495">
            <v>42300</v>
          </cell>
          <cell r="G495">
            <v>0.7</v>
          </cell>
          <cell r="H495">
            <v>38630</v>
          </cell>
        </row>
        <row r="496">
          <cell r="A496" t="str">
            <v>51-9081</v>
          </cell>
          <cell r="B496" t="str">
            <v>Dental Laboratory Technicians</v>
          </cell>
          <cell r="C496" t="str">
            <v>detailed</v>
          </cell>
          <cell r="D496">
            <v>34410</v>
          </cell>
          <cell r="E496">
            <v>2.5</v>
          </cell>
          <cell r="F496">
            <v>54290</v>
          </cell>
          <cell r="G496">
            <v>0.8</v>
          </cell>
          <cell r="H496">
            <v>49610</v>
          </cell>
        </row>
        <row r="497">
          <cell r="A497" t="str">
            <v>47-5022</v>
          </cell>
          <cell r="B497" t="str">
            <v>Excavating and Loading Machine and Dragline Operators, Surface Mining</v>
          </cell>
          <cell r="C497" t="str">
            <v>detailed</v>
          </cell>
          <cell r="D497">
            <v>34480</v>
          </cell>
          <cell r="E497">
            <v>2.8</v>
          </cell>
          <cell r="F497">
            <v>59930</v>
          </cell>
          <cell r="G497">
            <v>0.9</v>
          </cell>
          <cell r="H497">
            <v>57430</v>
          </cell>
        </row>
        <row r="498">
          <cell r="A498" t="str">
            <v>19-4042</v>
          </cell>
          <cell r="B498" t="str">
            <v>Environmental Science and Protection Technicians, Including Health</v>
          </cell>
          <cell r="C498" t="str">
            <v>detailed</v>
          </cell>
          <cell r="D498">
            <v>34670</v>
          </cell>
          <cell r="E498">
            <v>4</v>
          </cell>
          <cell r="F498">
            <v>60800</v>
          </cell>
          <cell r="G498">
            <v>0.9</v>
          </cell>
          <cell r="H498">
            <v>55090</v>
          </cell>
        </row>
        <row r="499">
          <cell r="A499" t="str">
            <v>29-9099</v>
          </cell>
          <cell r="B499" t="str">
            <v>Healthcare Practitioners and Technical Workers, All Other</v>
          </cell>
          <cell r="C499" t="str">
            <v>detailed</v>
          </cell>
          <cell r="D499">
            <v>35010</v>
          </cell>
          <cell r="E499">
            <v>1.6</v>
          </cell>
          <cell r="F499">
            <v>76720</v>
          </cell>
          <cell r="G499">
            <v>0.8</v>
          </cell>
          <cell r="H499">
            <v>65790</v>
          </cell>
        </row>
        <row r="500">
          <cell r="A500" t="str">
            <v>43-9022</v>
          </cell>
          <cell r="B500" t="str">
            <v>Word Processors and Typists</v>
          </cell>
          <cell r="C500" t="str">
            <v>detailed</v>
          </cell>
          <cell r="D500">
            <v>35010</v>
          </cell>
          <cell r="E500">
            <v>2.5</v>
          </cell>
          <cell r="F500">
            <v>51120</v>
          </cell>
          <cell r="G500">
            <v>1</v>
          </cell>
          <cell r="H500">
            <v>49280</v>
          </cell>
        </row>
        <row r="501">
          <cell r="A501" t="str">
            <v>45-4000</v>
          </cell>
          <cell r="B501" t="str">
            <v>Forest, Conservation, and Logging Workers</v>
          </cell>
          <cell r="C501" t="str">
            <v>minor</v>
          </cell>
          <cell r="D501">
            <v>35010</v>
          </cell>
          <cell r="E501">
            <v>1.7</v>
          </cell>
          <cell r="F501">
            <v>51410</v>
          </cell>
          <cell r="G501">
            <v>0.7</v>
          </cell>
          <cell r="H501">
            <v>48340</v>
          </cell>
        </row>
        <row r="502">
          <cell r="A502" t="str">
            <v>25-1021</v>
          </cell>
          <cell r="B502" t="str">
            <v>Computer Science Teachers, Postsecondary</v>
          </cell>
          <cell r="C502" t="str">
            <v>detailed</v>
          </cell>
          <cell r="D502">
            <v>35480</v>
          </cell>
          <cell r="E502">
            <v>0.7</v>
          </cell>
          <cell r="F502">
            <v>104420</v>
          </cell>
          <cell r="G502">
            <v>0.3</v>
          </cell>
          <cell r="H502">
            <v>96980</v>
          </cell>
        </row>
        <row r="503">
          <cell r="A503" t="str">
            <v>31-1133</v>
          </cell>
          <cell r="B503" t="str">
            <v>Psychiatric Aides</v>
          </cell>
          <cell r="C503" t="str">
            <v>detailed</v>
          </cell>
          <cell r="D503">
            <v>35520</v>
          </cell>
          <cell r="E503">
            <v>2.2999999999999998</v>
          </cell>
          <cell r="F503">
            <v>45690</v>
          </cell>
          <cell r="G503">
            <v>0.6</v>
          </cell>
          <cell r="H503">
            <v>44910</v>
          </cell>
        </row>
        <row r="504">
          <cell r="A504" t="str">
            <v>33-9020</v>
          </cell>
          <cell r="B504" t="str">
            <v>Private Detectives and Investigators</v>
          </cell>
          <cell r="C504" t="str">
            <v>broad</v>
          </cell>
          <cell r="D504">
            <v>35580</v>
          </cell>
          <cell r="E504">
            <v>2.5</v>
          </cell>
          <cell r="F504">
            <v>60150</v>
          </cell>
          <cell r="G504">
            <v>1</v>
          </cell>
          <cell r="H504">
            <v>51220</v>
          </cell>
        </row>
        <row r="505">
          <cell r="A505" t="str">
            <v>33-9021</v>
          </cell>
          <cell r="B505" t="str">
            <v>Private Detectives and Investigators</v>
          </cell>
          <cell r="C505" t="str">
            <v>detailed</v>
          </cell>
          <cell r="D505">
            <v>35580</v>
          </cell>
          <cell r="E505">
            <v>2.5</v>
          </cell>
          <cell r="F505">
            <v>60150</v>
          </cell>
          <cell r="G505">
            <v>1</v>
          </cell>
          <cell r="H505">
            <v>51220</v>
          </cell>
        </row>
        <row r="506">
          <cell r="A506" t="str">
            <v>47-2044</v>
          </cell>
          <cell r="B506" t="str">
            <v>Tile and Stone Setters</v>
          </cell>
          <cell r="C506" t="str">
            <v>detailed</v>
          </cell>
          <cell r="D506">
            <v>35850</v>
          </cell>
          <cell r="E506">
            <v>3.9</v>
          </cell>
          <cell r="F506">
            <v>59250</v>
          </cell>
          <cell r="G506">
            <v>1.4</v>
          </cell>
          <cell r="H506">
            <v>55690</v>
          </cell>
        </row>
        <row r="507">
          <cell r="A507" t="str">
            <v>43-4010</v>
          </cell>
          <cell r="B507" t="str">
            <v>Brokerage Clerks</v>
          </cell>
          <cell r="C507" t="str">
            <v>broad</v>
          </cell>
          <cell r="D507">
            <v>35940</v>
          </cell>
          <cell r="E507">
            <v>4.0999999999999996</v>
          </cell>
          <cell r="F507">
            <v>72850</v>
          </cell>
          <cell r="G507">
            <v>1.2</v>
          </cell>
          <cell r="H507">
            <v>65750</v>
          </cell>
        </row>
        <row r="508">
          <cell r="A508" t="str">
            <v>43-4011</v>
          </cell>
          <cell r="B508" t="str">
            <v>Brokerage Clerks</v>
          </cell>
          <cell r="C508" t="str">
            <v>detailed</v>
          </cell>
          <cell r="D508">
            <v>35940</v>
          </cell>
          <cell r="E508">
            <v>4.0999999999999996</v>
          </cell>
          <cell r="F508">
            <v>72850</v>
          </cell>
          <cell r="G508">
            <v>1.2</v>
          </cell>
          <cell r="H508">
            <v>65750</v>
          </cell>
        </row>
        <row r="509">
          <cell r="A509" t="str">
            <v>49-3053</v>
          </cell>
          <cell r="B509" t="str">
            <v>Outdoor Power Equipment and Other Small Engine Mechanics</v>
          </cell>
          <cell r="C509" t="str">
            <v>detailed</v>
          </cell>
          <cell r="D509">
            <v>36060</v>
          </cell>
          <cell r="E509">
            <v>2.2000000000000002</v>
          </cell>
          <cell r="F509">
            <v>49990</v>
          </cell>
          <cell r="G509">
            <v>0.5</v>
          </cell>
          <cell r="H509">
            <v>47880</v>
          </cell>
        </row>
        <row r="510">
          <cell r="A510" t="str">
            <v>27-2042</v>
          </cell>
          <cell r="B510" t="str">
            <v>Musicians and Singers</v>
          </cell>
          <cell r="C510" t="str">
            <v>detailed</v>
          </cell>
          <cell r="D510">
            <v>36180</v>
          </cell>
          <cell r="E510">
            <v>3.1</v>
          </cell>
          <cell r="F510" t="str">
            <v>*</v>
          </cell>
          <cell r="G510">
            <v>2.6</v>
          </cell>
          <cell r="H510" t="str">
            <v>*</v>
          </cell>
        </row>
        <row r="511">
          <cell r="A511" t="str">
            <v>17-3027</v>
          </cell>
          <cell r="B511" t="str">
            <v>Mechanical Engineering Technologists and Technicians</v>
          </cell>
          <cell r="C511" t="str">
            <v>detailed</v>
          </cell>
          <cell r="D511">
            <v>36190</v>
          </cell>
          <cell r="E511">
            <v>2.2000000000000002</v>
          </cell>
          <cell r="F511">
            <v>76380</v>
          </cell>
          <cell r="G511">
            <v>1</v>
          </cell>
          <cell r="H511">
            <v>74510</v>
          </cell>
        </row>
        <row r="512">
          <cell r="A512" t="str">
            <v>43-3090</v>
          </cell>
          <cell r="B512" t="str">
            <v>Miscellaneous Financial Clerks</v>
          </cell>
          <cell r="C512" t="str">
            <v>broad</v>
          </cell>
          <cell r="D512">
            <v>36260</v>
          </cell>
          <cell r="E512">
            <v>3.7</v>
          </cell>
          <cell r="F512">
            <v>56450</v>
          </cell>
          <cell r="G512">
            <v>0.5</v>
          </cell>
          <cell r="H512">
            <v>53830</v>
          </cell>
        </row>
        <row r="513">
          <cell r="A513" t="str">
            <v>43-3099</v>
          </cell>
          <cell r="B513" t="str">
            <v>Financial Clerks, All Other</v>
          </cell>
          <cell r="C513" t="str">
            <v>detailed</v>
          </cell>
          <cell r="D513">
            <v>36260</v>
          </cell>
          <cell r="E513">
            <v>3.7</v>
          </cell>
          <cell r="F513">
            <v>56450</v>
          </cell>
          <cell r="G513">
            <v>0.5</v>
          </cell>
          <cell r="H513">
            <v>53830</v>
          </cell>
        </row>
        <row r="514">
          <cell r="A514" t="str">
            <v>19-1030</v>
          </cell>
          <cell r="B514" t="str">
            <v>Conservation Scientists and Foresters</v>
          </cell>
          <cell r="C514" t="str">
            <v>broad</v>
          </cell>
          <cell r="D514">
            <v>36380</v>
          </cell>
          <cell r="E514">
            <v>1.8</v>
          </cell>
          <cell r="F514">
            <v>77720</v>
          </cell>
          <cell r="G514">
            <v>0.6</v>
          </cell>
          <cell r="H514">
            <v>73920</v>
          </cell>
        </row>
        <row r="515">
          <cell r="A515" t="str">
            <v>53-5021</v>
          </cell>
          <cell r="B515" t="str">
            <v>Captains, Mates, and Pilots of Water Vessels</v>
          </cell>
          <cell r="C515" t="str">
            <v>detailed</v>
          </cell>
          <cell r="D515">
            <v>36850</v>
          </cell>
          <cell r="E515">
            <v>2.8</v>
          </cell>
          <cell r="F515">
            <v>103720</v>
          </cell>
          <cell r="G515">
            <v>2.2000000000000002</v>
          </cell>
          <cell r="H515">
            <v>92460</v>
          </cell>
        </row>
        <row r="516">
          <cell r="A516" t="str">
            <v>43-4140</v>
          </cell>
          <cell r="B516" t="str">
            <v>New Accounts Clerks</v>
          </cell>
          <cell r="C516" t="str">
            <v>broad</v>
          </cell>
          <cell r="D516">
            <v>36860</v>
          </cell>
          <cell r="E516">
            <v>2.9</v>
          </cell>
          <cell r="F516">
            <v>49370</v>
          </cell>
          <cell r="G516">
            <v>0.6</v>
          </cell>
          <cell r="H516">
            <v>47670</v>
          </cell>
        </row>
        <row r="517">
          <cell r="A517" t="str">
            <v>43-4141</v>
          </cell>
          <cell r="B517" t="str">
            <v>New Accounts Clerks</v>
          </cell>
          <cell r="C517" t="str">
            <v>detailed</v>
          </cell>
          <cell r="D517">
            <v>36860</v>
          </cell>
          <cell r="E517">
            <v>2.9</v>
          </cell>
          <cell r="F517">
            <v>49370</v>
          </cell>
          <cell r="G517">
            <v>0.6</v>
          </cell>
          <cell r="H517">
            <v>47670</v>
          </cell>
        </row>
        <row r="518">
          <cell r="A518" t="str">
            <v>19-3099</v>
          </cell>
          <cell r="B518" t="str">
            <v>Social Scientists and Related Workers, All Other</v>
          </cell>
          <cell r="C518" t="str">
            <v>detailed</v>
          </cell>
          <cell r="D518">
            <v>37100</v>
          </cell>
          <cell r="E518">
            <v>1.8</v>
          </cell>
          <cell r="F518">
            <v>107690</v>
          </cell>
          <cell r="G518">
            <v>0.5</v>
          </cell>
          <cell r="H518">
            <v>101110</v>
          </cell>
        </row>
        <row r="519">
          <cell r="A519" t="str">
            <v>15-1220</v>
          </cell>
          <cell r="B519" t="str">
            <v>Computer and Information Research Scientists</v>
          </cell>
          <cell r="C519" t="str">
            <v>broad</v>
          </cell>
          <cell r="D519">
            <v>37200</v>
          </cell>
          <cell r="E519">
            <v>2.6</v>
          </cell>
          <cell r="F519">
            <v>153930</v>
          </cell>
          <cell r="G519">
            <v>1</v>
          </cell>
          <cell r="H519">
            <v>140300</v>
          </cell>
        </row>
        <row r="520">
          <cell r="A520" t="str">
            <v>15-1221</v>
          </cell>
          <cell r="B520" t="str">
            <v>Computer and Information Research Scientists</v>
          </cell>
          <cell r="C520" t="str">
            <v>detailed</v>
          </cell>
          <cell r="D520">
            <v>37200</v>
          </cell>
          <cell r="E520">
            <v>2.6</v>
          </cell>
          <cell r="F520">
            <v>153930</v>
          </cell>
          <cell r="G520">
            <v>1</v>
          </cell>
          <cell r="H520">
            <v>140300</v>
          </cell>
        </row>
        <row r="521">
          <cell r="A521" t="str">
            <v>25-3010</v>
          </cell>
          <cell r="B521" t="str">
            <v>Adult Basic Education, Adult Secondary Education, and English as a Second Language Instructors</v>
          </cell>
          <cell r="C521" t="str">
            <v>broad</v>
          </cell>
          <cell r="D521">
            <v>37310</v>
          </cell>
          <cell r="E521">
            <v>2.5</v>
          </cell>
          <cell r="F521">
            <v>65860</v>
          </cell>
          <cell r="G521">
            <v>0.6</v>
          </cell>
          <cell r="H521">
            <v>61540</v>
          </cell>
        </row>
        <row r="522">
          <cell r="A522" t="str">
            <v>25-3011</v>
          </cell>
          <cell r="B522" t="str">
            <v>Adult Basic Education, Adult Secondary Education, and English as a Second Language Instructors</v>
          </cell>
          <cell r="C522" t="str">
            <v>detailed</v>
          </cell>
          <cell r="D522">
            <v>37310</v>
          </cell>
          <cell r="E522">
            <v>2.5</v>
          </cell>
          <cell r="F522">
            <v>65860</v>
          </cell>
          <cell r="G522">
            <v>0.6</v>
          </cell>
          <cell r="H522">
            <v>61540</v>
          </cell>
        </row>
        <row r="523">
          <cell r="A523" t="str">
            <v>53-4010</v>
          </cell>
          <cell r="B523" t="str">
            <v>Locomotive Engineers and Operators</v>
          </cell>
          <cell r="C523" t="str">
            <v>broad</v>
          </cell>
          <cell r="D523">
            <v>37380</v>
          </cell>
          <cell r="E523">
            <v>0.9</v>
          </cell>
          <cell r="F523">
            <v>84070</v>
          </cell>
          <cell r="G523">
            <v>0.5</v>
          </cell>
          <cell r="H523">
            <v>79940</v>
          </cell>
        </row>
        <row r="524">
          <cell r="A524" t="str">
            <v>53-2020</v>
          </cell>
          <cell r="B524" t="str">
            <v>Air Traffic Controllers and Airfield Operations Specialists</v>
          </cell>
          <cell r="C524" t="str">
            <v>broad</v>
          </cell>
          <cell r="D524">
            <v>37700</v>
          </cell>
          <cell r="E524">
            <v>1.8</v>
          </cell>
          <cell r="F524">
            <v>113100</v>
          </cell>
          <cell r="G524">
            <v>1.1000000000000001</v>
          </cell>
          <cell r="H524">
            <v>101380</v>
          </cell>
        </row>
        <row r="525">
          <cell r="A525" t="str">
            <v>49-3041</v>
          </cell>
          <cell r="B525" t="str">
            <v>Farm Equipment Mechanics and Service Technicians</v>
          </cell>
          <cell r="C525" t="str">
            <v>detailed</v>
          </cell>
          <cell r="D525">
            <v>37870</v>
          </cell>
          <cell r="E525">
            <v>2.2000000000000002</v>
          </cell>
          <cell r="F525">
            <v>57290</v>
          </cell>
          <cell r="G525">
            <v>0.6</v>
          </cell>
          <cell r="H525">
            <v>56550</v>
          </cell>
        </row>
        <row r="526">
          <cell r="A526" t="str">
            <v>11-9072</v>
          </cell>
          <cell r="B526" t="str">
            <v>Entertainment and Recreation Managers, Except Gambling</v>
          </cell>
          <cell r="C526" t="str">
            <v>detailed</v>
          </cell>
          <cell r="D526">
            <v>37980</v>
          </cell>
          <cell r="E526">
            <v>1.6</v>
          </cell>
          <cell r="F526">
            <v>89750</v>
          </cell>
          <cell r="G526">
            <v>0.9</v>
          </cell>
          <cell r="H526">
            <v>79520</v>
          </cell>
        </row>
        <row r="527">
          <cell r="A527" t="str">
            <v>29-9020</v>
          </cell>
          <cell r="B527" t="str">
            <v>Health Information Technologists and Medical Registrars</v>
          </cell>
          <cell r="C527" t="str">
            <v>broad</v>
          </cell>
          <cell r="D527">
            <v>38100</v>
          </cell>
          <cell r="E527">
            <v>1.9</v>
          </cell>
          <cell r="F527">
            <v>74970</v>
          </cell>
          <cell r="G527">
            <v>0.7</v>
          </cell>
          <cell r="H527">
            <v>68020</v>
          </cell>
        </row>
        <row r="528">
          <cell r="A528" t="str">
            <v>29-9021</v>
          </cell>
          <cell r="B528" t="str">
            <v>Health Information Technologists and Medical Registrars</v>
          </cell>
          <cell r="C528" t="str">
            <v>detailed</v>
          </cell>
          <cell r="D528">
            <v>38100</v>
          </cell>
          <cell r="E528">
            <v>1.9</v>
          </cell>
          <cell r="F528">
            <v>74970</v>
          </cell>
          <cell r="G528">
            <v>0.7</v>
          </cell>
          <cell r="H528">
            <v>68020</v>
          </cell>
        </row>
        <row r="529">
          <cell r="A529" t="str">
            <v>17-2080</v>
          </cell>
          <cell r="B529" t="str">
            <v>Environmental Engineers</v>
          </cell>
          <cell r="C529" t="str">
            <v>broad</v>
          </cell>
          <cell r="D529">
            <v>38340</v>
          </cell>
          <cell r="E529">
            <v>3.1</v>
          </cell>
          <cell r="F529">
            <v>112910</v>
          </cell>
          <cell r="G529">
            <v>0.8</v>
          </cell>
          <cell r="H529">
            <v>107110</v>
          </cell>
        </row>
        <row r="530">
          <cell r="A530" t="str">
            <v>17-2081</v>
          </cell>
          <cell r="B530" t="str">
            <v>Environmental Engineers</v>
          </cell>
          <cell r="C530" t="str">
            <v>detailed</v>
          </cell>
          <cell r="D530">
            <v>38340</v>
          </cell>
          <cell r="E530">
            <v>3.1</v>
          </cell>
          <cell r="F530">
            <v>112910</v>
          </cell>
          <cell r="G530">
            <v>0.8</v>
          </cell>
          <cell r="H530">
            <v>107110</v>
          </cell>
        </row>
        <row r="531">
          <cell r="A531" t="str">
            <v>29-1211</v>
          </cell>
          <cell r="B531" t="str">
            <v>Anesthesiologists</v>
          </cell>
          <cell r="C531" t="str">
            <v>detailed</v>
          </cell>
          <cell r="D531">
            <v>38760</v>
          </cell>
          <cell r="E531">
            <v>11</v>
          </cell>
          <cell r="F531">
            <v>360570</v>
          </cell>
          <cell r="G531">
            <v>2.8</v>
          </cell>
          <cell r="H531">
            <v>391490</v>
          </cell>
        </row>
        <row r="532">
          <cell r="A532" t="str">
            <v>11-2033</v>
          </cell>
          <cell r="B532" t="str">
            <v>Fundraising Managers</v>
          </cell>
          <cell r="C532" t="str">
            <v>detailed</v>
          </cell>
          <cell r="D532">
            <v>38810</v>
          </cell>
          <cell r="E532">
            <v>1.4</v>
          </cell>
          <cell r="F532">
            <v>140020</v>
          </cell>
          <cell r="G532">
            <v>0.9</v>
          </cell>
          <cell r="H532">
            <v>125470</v>
          </cell>
        </row>
        <row r="533">
          <cell r="A533" t="str">
            <v>43-2000</v>
          </cell>
          <cell r="B533" t="str">
            <v>Communications Equipment Operators</v>
          </cell>
          <cell r="C533" t="str">
            <v>minor</v>
          </cell>
          <cell r="D533">
            <v>38910</v>
          </cell>
          <cell r="E533">
            <v>2.7</v>
          </cell>
          <cell r="F533">
            <v>43140</v>
          </cell>
          <cell r="G533">
            <v>0.7</v>
          </cell>
          <cell r="H533">
            <v>39140</v>
          </cell>
        </row>
        <row r="534">
          <cell r="A534" t="str">
            <v>27-3020</v>
          </cell>
          <cell r="B534" t="str">
            <v>News Analysts, Reporters and Journalists</v>
          </cell>
          <cell r="C534" t="str">
            <v>broad</v>
          </cell>
          <cell r="D534">
            <v>39250</v>
          </cell>
          <cell r="E534">
            <v>1.9</v>
          </cell>
          <cell r="F534">
            <v>102460</v>
          </cell>
          <cell r="G534">
            <v>1.7</v>
          </cell>
          <cell r="H534">
            <v>62200</v>
          </cell>
        </row>
        <row r="535">
          <cell r="A535" t="str">
            <v>27-3023</v>
          </cell>
          <cell r="B535" t="str">
            <v>News Analysts, Reporters, and Journalists</v>
          </cell>
          <cell r="C535" t="str">
            <v>detailed</v>
          </cell>
          <cell r="D535">
            <v>39250</v>
          </cell>
          <cell r="E535">
            <v>1.9</v>
          </cell>
          <cell r="F535">
            <v>102460</v>
          </cell>
          <cell r="G535">
            <v>1.7</v>
          </cell>
          <cell r="H535">
            <v>62200</v>
          </cell>
        </row>
        <row r="536">
          <cell r="A536" t="str">
            <v>53-5020</v>
          </cell>
          <cell r="B536" t="str">
            <v>Ship and Boat Captains and Operators</v>
          </cell>
          <cell r="C536" t="str">
            <v>broad</v>
          </cell>
          <cell r="D536">
            <v>39330</v>
          </cell>
          <cell r="E536">
            <v>2.7</v>
          </cell>
          <cell r="F536">
            <v>100730</v>
          </cell>
          <cell r="G536">
            <v>2.2000000000000002</v>
          </cell>
          <cell r="H536">
            <v>86940</v>
          </cell>
        </row>
        <row r="537">
          <cell r="A537" t="str">
            <v>29-1221</v>
          </cell>
          <cell r="B537" t="str">
            <v>Pediatricians, General</v>
          </cell>
          <cell r="C537" t="str">
            <v>detailed</v>
          </cell>
          <cell r="D537">
            <v>39390</v>
          </cell>
          <cell r="E537">
            <v>4.9000000000000004</v>
          </cell>
          <cell r="F537">
            <v>212110</v>
          </cell>
          <cell r="G537">
            <v>2.6</v>
          </cell>
          <cell r="H537">
            <v>210040</v>
          </cell>
        </row>
        <row r="538">
          <cell r="A538" t="str">
            <v>31-9095</v>
          </cell>
          <cell r="B538" t="str">
            <v>Pharmacy Aides</v>
          </cell>
          <cell r="C538" t="str">
            <v>detailed</v>
          </cell>
          <cell r="D538">
            <v>39530</v>
          </cell>
          <cell r="E538">
            <v>3.4</v>
          </cell>
          <cell r="F538">
            <v>40450</v>
          </cell>
          <cell r="G538">
            <v>0.9</v>
          </cell>
          <cell r="H538">
            <v>37680</v>
          </cell>
        </row>
        <row r="539">
          <cell r="A539" t="str">
            <v>29-1010</v>
          </cell>
          <cell r="B539" t="str">
            <v>Chiropractors</v>
          </cell>
          <cell r="C539" t="str">
            <v>broad</v>
          </cell>
          <cell r="D539">
            <v>39630</v>
          </cell>
          <cell r="E539">
            <v>2.8</v>
          </cell>
          <cell r="F539">
            <v>90520</v>
          </cell>
          <cell r="G539">
            <v>1.5</v>
          </cell>
          <cell r="H539">
            <v>79200</v>
          </cell>
        </row>
        <row r="540">
          <cell r="A540" t="str">
            <v>29-1011</v>
          </cell>
          <cell r="B540" t="str">
            <v>Chiropractors</v>
          </cell>
          <cell r="C540" t="str">
            <v>detailed</v>
          </cell>
          <cell r="D540">
            <v>39630</v>
          </cell>
          <cell r="E540">
            <v>2.8</v>
          </cell>
          <cell r="F540">
            <v>90520</v>
          </cell>
          <cell r="G540">
            <v>1.5</v>
          </cell>
          <cell r="H540">
            <v>79200</v>
          </cell>
        </row>
        <row r="541">
          <cell r="A541" t="str">
            <v>17-3013</v>
          </cell>
          <cell r="B541" t="str">
            <v>Mechanical Drafters</v>
          </cell>
          <cell r="C541" t="str">
            <v>detailed</v>
          </cell>
          <cell r="D541">
            <v>39960</v>
          </cell>
          <cell r="E541">
            <v>3</v>
          </cell>
          <cell r="F541">
            <v>75060</v>
          </cell>
          <cell r="G541">
            <v>0.8</v>
          </cell>
          <cell r="H541">
            <v>71550</v>
          </cell>
        </row>
        <row r="542">
          <cell r="A542" t="str">
            <v>25-1032</v>
          </cell>
          <cell r="B542" t="str">
            <v>Engineering Teachers, Postsecondary</v>
          </cell>
          <cell r="C542" t="str">
            <v>detailed</v>
          </cell>
          <cell r="D542">
            <v>40270</v>
          </cell>
          <cell r="E542">
            <v>0.5</v>
          </cell>
          <cell r="F542">
            <v>124520</v>
          </cell>
          <cell r="G542">
            <v>0.3</v>
          </cell>
          <cell r="H542">
            <v>109270</v>
          </cell>
        </row>
        <row r="543">
          <cell r="A543" t="str">
            <v>49-9044</v>
          </cell>
          <cell r="B543" t="str">
            <v>Millwrights</v>
          </cell>
          <cell r="C543" t="str">
            <v>detailed</v>
          </cell>
          <cell r="D543">
            <v>40330</v>
          </cell>
          <cell r="E543">
            <v>2.4</v>
          </cell>
          <cell r="F543">
            <v>69780</v>
          </cell>
          <cell r="G543">
            <v>0.8</v>
          </cell>
          <cell r="H543">
            <v>65700</v>
          </cell>
        </row>
        <row r="544">
          <cell r="A544" t="str">
            <v>27-1023</v>
          </cell>
          <cell r="B544" t="str">
            <v>Floral Designers</v>
          </cell>
          <cell r="C544" t="str">
            <v>detailed</v>
          </cell>
          <cell r="D544">
            <v>40590</v>
          </cell>
          <cell r="E544">
            <v>1.7</v>
          </cell>
          <cell r="F544">
            <v>39520</v>
          </cell>
          <cell r="G544">
            <v>1.1000000000000001</v>
          </cell>
          <cell r="H544">
            <v>37360</v>
          </cell>
        </row>
        <row r="545">
          <cell r="A545" t="str">
            <v>51-7041</v>
          </cell>
          <cell r="B545" t="str">
            <v>Sawing Machine Setters, Operators, and Tenders, Wood</v>
          </cell>
          <cell r="C545" t="str">
            <v>detailed</v>
          </cell>
          <cell r="D545">
            <v>40850</v>
          </cell>
          <cell r="E545">
            <v>1.9</v>
          </cell>
          <cell r="F545">
            <v>43580</v>
          </cell>
          <cell r="G545">
            <v>0.4</v>
          </cell>
          <cell r="H545">
            <v>42770</v>
          </cell>
        </row>
        <row r="546">
          <cell r="A546" t="str">
            <v>53-3054</v>
          </cell>
          <cell r="B546" t="str">
            <v>Taxi Drivers</v>
          </cell>
          <cell r="C546" t="str">
            <v>detailed</v>
          </cell>
          <cell r="D546">
            <v>41050</v>
          </cell>
          <cell r="E546">
            <v>12.9</v>
          </cell>
          <cell r="F546">
            <v>49930</v>
          </cell>
          <cell r="G546">
            <v>2.9</v>
          </cell>
          <cell r="H546">
            <v>42100</v>
          </cell>
        </row>
        <row r="547">
          <cell r="A547" t="str">
            <v>25-1066</v>
          </cell>
          <cell r="B547" t="str">
            <v>Psychology Teachers, Postsecondary</v>
          </cell>
          <cell r="C547" t="str">
            <v>detailed</v>
          </cell>
          <cell r="D547">
            <v>41530</v>
          </cell>
          <cell r="E547">
            <v>1.3</v>
          </cell>
          <cell r="F547">
            <v>93860</v>
          </cell>
          <cell r="G547">
            <v>0.4</v>
          </cell>
          <cell r="H547">
            <v>80340</v>
          </cell>
        </row>
        <row r="548">
          <cell r="A548" t="str">
            <v>31-9094</v>
          </cell>
          <cell r="B548" t="str">
            <v>Medical Transcriptionists</v>
          </cell>
          <cell r="C548" t="str">
            <v>detailed</v>
          </cell>
          <cell r="D548">
            <v>41550</v>
          </cell>
          <cell r="E548">
            <v>3.7</v>
          </cell>
          <cell r="F548">
            <v>41710</v>
          </cell>
          <cell r="G548">
            <v>0.9</v>
          </cell>
          <cell r="H548">
            <v>40410</v>
          </cell>
        </row>
        <row r="549">
          <cell r="A549" t="str">
            <v>47-2071</v>
          </cell>
          <cell r="B549" t="str">
            <v>Paving, Surfacing, and Tamping Equipment Operators</v>
          </cell>
          <cell r="C549" t="str">
            <v>detailed</v>
          </cell>
          <cell r="D549">
            <v>41820</v>
          </cell>
          <cell r="E549">
            <v>3.4</v>
          </cell>
          <cell r="F549">
            <v>59000</v>
          </cell>
          <cell r="G549">
            <v>0.9</v>
          </cell>
          <cell r="H549">
            <v>53340</v>
          </cell>
        </row>
        <row r="550">
          <cell r="A550" t="str">
            <v>53-7063</v>
          </cell>
          <cell r="B550" t="str">
            <v>Machine Feeders and Offbearers</v>
          </cell>
          <cell r="C550" t="str">
            <v>detailed</v>
          </cell>
          <cell r="D550">
            <v>42330</v>
          </cell>
          <cell r="E550">
            <v>1.7</v>
          </cell>
          <cell r="F550">
            <v>43660</v>
          </cell>
          <cell r="G550">
            <v>0.4</v>
          </cell>
          <cell r="H550">
            <v>41220</v>
          </cell>
        </row>
        <row r="551">
          <cell r="A551" t="str">
            <v>11-9080</v>
          </cell>
          <cell r="B551" t="str">
            <v>Lodging Managers</v>
          </cell>
          <cell r="C551" t="str">
            <v>broad</v>
          </cell>
          <cell r="D551">
            <v>42620</v>
          </cell>
          <cell r="E551">
            <v>2</v>
          </cell>
          <cell r="F551">
            <v>78740</v>
          </cell>
          <cell r="G551">
            <v>1.1000000000000001</v>
          </cell>
          <cell r="H551">
            <v>69250</v>
          </cell>
        </row>
        <row r="552">
          <cell r="A552" t="str">
            <v>11-9081</v>
          </cell>
          <cell r="B552" t="str">
            <v>Lodging Managers</v>
          </cell>
          <cell r="C552" t="str">
            <v>detailed</v>
          </cell>
          <cell r="D552">
            <v>42620</v>
          </cell>
          <cell r="E552">
            <v>2</v>
          </cell>
          <cell r="F552">
            <v>78740</v>
          </cell>
          <cell r="G552">
            <v>1.1000000000000001</v>
          </cell>
          <cell r="H552">
            <v>69250</v>
          </cell>
        </row>
        <row r="553">
          <cell r="A553" t="str">
            <v>29-1040</v>
          </cell>
          <cell r="B553" t="str">
            <v>Optometrists</v>
          </cell>
          <cell r="C553" t="str">
            <v>broad</v>
          </cell>
          <cell r="D553">
            <v>42790</v>
          </cell>
          <cell r="E553">
            <v>2.8</v>
          </cell>
          <cell r="F553">
            <v>141550</v>
          </cell>
          <cell r="G553">
            <v>0.9</v>
          </cell>
          <cell r="H553">
            <v>136570</v>
          </cell>
        </row>
        <row r="554">
          <cell r="A554" t="str">
            <v>29-1041</v>
          </cell>
          <cell r="B554" t="str">
            <v>Optometrists</v>
          </cell>
          <cell r="C554" t="str">
            <v>detailed</v>
          </cell>
          <cell r="D554">
            <v>42790</v>
          </cell>
          <cell r="E554">
            <v>2.8</v>
          </cell>
          <cell r="F554">
            <v>141550</v>
          </cell>
          <cell r="G554">
            <v>0.9</v>
          </cell>
          <cell r="H554">
            <v>136570</v>
          </cell>
        </row>
        <row r="555">
          <cell r="A555" t="str">
            <v>53-7020</v>
          </cell>
          <cell r="B555" t="str">
            <v>Crane and Tower Operators</v>
          </cell>
          <cell r="C555" t="str">
            <v>broad</v>
          </cell>
          <cell r="D555">
            <v>42890</v>
          </cell>
          <cell r="E555">
            <v>2.8</v>
          </cell>
          <cell r="F555">
            <v>72130</v>
          </cell>
          <cell r="G555">
            <v>1.3</v>
          </cell>
          <cell r="H555">
            <v>68080</v>
          </cell>
        </row>
        <row r="556">
          <cell r="A556" t="str">
            <v>53-7021</v>
          </cell>
          <cell r="B556" t="str">
            <v>Crane and Tower Operators</v>
          </cell>
          <cell r="C556" t="str">
            <v>detailed</v>
          </cell>
          <cell r="D556">
            <v>42890</v>
          </cell>
          <cell r="E556">
            <v>2.8</v>
          </cell>
          <cell r="F556">
            <v>72130</v>
          </cell>
          <cell r="G556">
            <v>1.3</v>
          </cell>
          <cell r="H556">
            <v>68080</v>
          </cell>
        </row>
        <row r="557">
          <cell r="A557" t="str">
            <v>51-8010</v>
          </cell>
          <cell r="B557" t="str">
            <v>Power Plant Operators, Distributors, and Dispatchers</v>
          </cell>
          <cell r="C557" t="str">
            <v>broad</v>
          </cell>
          <cell r="D557">
            <v>42980</v>
          </cell>
          <cell r="E557">
            <v>2</v>
          </cell>
          <cell r="F557">
            <v>104660</v>
          </cell>
          <cell r="G557">
            <v>0.5</v>
          </cell>
          <cell r="H557">
            <v>105080</v>
          </cell>
        </row>
        <row r="558">
          <cell r="A558" t="str">
            <v>11-9070</v>
          </cell>
          <cell r="B558" t="str">
            <v>Entertainment and Recreation Managers</v>
          </cell>
          <cell r="C558" t="str">
            <v>broad</v>
          </cell>
          <cell r="D558">
            <v>43010</v>
          </cell>
          <cell r="E558">
            <v>1.4</v>
          </cell>
          <cell r="F558">
            <v>91310</v>
          </cell>
          <cell r="G558">
            <v>0.8</v>
          </cell>
          <cell r="H558">
            <v>80240</v>
          </cell>
        </row>
        <row r="559">
          <cell r="A559" t="str">
            <v>47-5013</v>
          </cell>
          <cell r="B559" t="str">
            <v>Service Unit Operators, Oil and Gas</v>
          </cell>
          <cell r="C559" t="str">
            <v>detailed</v>
          </cell>
          <cell r="D559">
            <v>43140</v>
          </cell>
          <cell r="E559">
            <v>3.6</v>
          </cell>
          <cell r="F559">
            <v>62470</v>
          </cell>
          <cell r="G559">
            <v>1.3</v>
          </cell>
          <cell r="H559">
            <v>58160</v>
          </cell>
        </row>
        <row r="560">
          <cell r="A560" t="str">
            <v>29-2035</v>
          </cell>
          <cell r="B560" t="str">
            <v>Magnetic Resonance Imaging Technologists</v>
          </cell>
          <cell r="C560" t="str">
            <v>detailed</v>
          </cell>
          <cell r="D560">
            <v>43390</v>
          </cell>
          <cell r="E560">
            <v>1.7</v>
          </cell>
          <cell r="F560">
            <v>96120</v>
          </cell>
          <cell r="G560">
            <v>0.4</v>
          </cell>
          <cell r="H560">
            <v>95480</v>
          </cell>
        </row>
        <row r="561">
          <cell r="A561" t="str">
            <v>19-3050</v>
          </cell>
          <cell r="B561" t="str">
            <v>Urban and Regional Planners</v>
          </cell>
          <cell r="C561" t="str">
            <v>broad</v>
          </cell>
          <cell r="D561">
            <v>44230</v>
          </cell>
          <cell r="E561">
            <v>1.3</v>
          </cell>
          <cell r="F561">
            <v>94750</v>
          </cell>
          <cell r="G561">
            <v>0.6</v>
          </cell>
          <cell r="H561">
            <v>89320</v>
          </cell>
        </row>
        <row r="562">
          <cell r="A562" t="str">
            <v>19-3051</v>
          </cell>
          <cell r="B562" t="str">
            <v>Urban and Regional Planners</v>
          </cell>
          <cell r="C562" t="str">
            <v>detailed</v>
          </cell>
          <cell r="D562">
            <v>44230</v>
          </cell>
          <cell r="E562">
            <v>1.3</v>
          </cell>
          <cell r="F562">
            <v>94750</v>
          </cell>
          <cell r="G562">
            <v>0.6</v>
          </cell>
          <cell r="H562">
            <v>89320</v>
          </cell>
        </row>
        <row r="563">
          <cell r="A563" t="str">
            <v>47-3015</v>
          </cell>
          <cell r="B563" t="str">
            <v>Helpers--Pipelayers, Plumbers, Pipefitters, and Steamfitters</v>
          </cell>
          <cell r="C563" t="str">
            <v>detailed</v>
          </cell>
          <cell r="D563">
            <v>44330</v>
          </cell>
          <cell r="E563">
            <v>4</v>
          </cell>
          <cell r="F563">
            <v>43730</v>
          </cell>
          <cell r="G563">
            <v>1.4</v>
          </cell>
          <cell r="H563">
            <v>42360</v>
          </cell>
        </row>
        <row r="564">
          <cell r="A564" t="str">
            <v>47-2131</v>
          </cell>
          <cell r="B564" t="str">
            <v>Insulation Workers, Floor, Ceiling, and Wall</v>
          </cell>
          <cell r="C564" t="str">
            <v>detailed</v>
          </cell>
          <cell r="D564">
            <v>44440</v>
          </cell>
          <cell r="E564">
            <v>4.4000000000000004</v>
          </cell>
          <cell r="F564">
            <v>54740</v>
          </cell>
          <cell r="G564">
            <v>1.4</v>
          </cell>
          <cell r="H564">
            <v>49120</v>
          </cell>
        </row>
        <row r="565">
          <cell r="A565" t="str">
            <v>19-4040</v>
          </cell>
          <cell r="B565" t="str">
            <v>Environmental Science and Geoscience Technicians</v>
          </cell>
          <cell r="C565" t="str">
            <v>broad</v>
          </cell>
          <cell r="D565">
            <v>44480</v>
          </cell>
          <cell r="E565">
            <v>3.7</v>
          </cell>
          <cell r="F565">
            <v>61530</v>
          </cell>
          <cell r="G565">
            <v>1</v>
          </cell>
          <cell r="H565">
            <v>55440</v>
          </cell>
        </row>
        <row r="566">
          <cell r="A566" t="str">
            <v>47-5070</v>
          </cell>
          <cell r="B566" t="str">
            <v>Roustabouts, Oil and Gas</v>
          </cell>
          <cell r="C566" t="str">
            <v>broad</v>
          </cell>
          <cell r="D566">
            <v>44970</v>
          </cell>
          <cell r="E566">
            <v>4.7</v>
          </cell>
          <cell r="F566">
            <v>49200</v>
          </cell>
          <cell r="G566">
            <v>1</v>
          </cell>
          <cell r="H566">
            <v>46960</v>
          </cell>
        </row>
        <row r="567">
          <cell r="A567" t="str">
            <v>47-5071</v>
          </cell>
          <cell r="B567" t="str">
            <v>Roustabouts, Oil and Gas</v>
          </cell>
          <cell r="C567" t="str">
            <v>detailed</v>
          </cell>
          <cell r="D567">
            <v>44970</v>
          </cell>
          <cell r="E567">
            <v>4.7</v>
          </cell>
          <cell r="F567">
            <v>49200</v>
          </cell>
          <cell r="G567">
            <v>1</v>
          </cell>
          <cell r="H567">
            <v>46960</v>
          </cell>
        </row>
        <row r="568">
          <cell r="A568" t="str">
            <v>51-9032</v>
          </cell>
          <cell r="B568" t="str">
            <v>Cutting and Slicing Machine Setters, Operators, and Tenders</v>
          </cell>
          <cell r="C568" t="str">
            <v>detailed</v>
          </cell>
          <cell r="D568">
            <v>44980</v>
          </cell>
          <cell r="E568">
            <v>2</v>
          </cell>
          <cell r="F568">
            <v>47460</v>
          </cell>
          <cell r="G568">
            <v>0.4</v>
          </cell>
          <cell r="H568">
            <v>46570</v>
          </cell>
        </row>
        <row r="569">
          <cell r="A569" t="str">
            <v>27-3042</v>
          </cell>
          <cell r="B569" t="str">
            <v>Technical Writers</v>
          </cell>
          <cell r="C569" t="str">
            <v>detailed</v>
          </cell>
          <cell r="D569">
            <v>45500</v>
          </cell>
          <cell r="E569">
            <v>2.1</v>
          </cell>
          <cell r="F569">
            <v>96970</v>
          </cell>
          <cell r="G569">
            <v>0.9</v>
          </cell>
          <cell r="H569">
            <v>90390</v>
          </cell>
        </row>
        <row r="570">
          <cell r="A570" t="str">
            <v>25-1110</v>
          </cell>
          <cell r="B570" t="str">
            <v>Law, Criminal Justice, and Social Work Teachers, Postsecondary</v>
          </cell>
          <cell r="C570" t="str">
            <v>broad</v>
          </cell>
          <cell r="D570">
            <v>45820</v>
          </cell>
          <cell r="E570">
            <v>1</v>
          </cell>
          <cell r="F570">
            <v>111610</v>
          </cell>
          <cell r="G570">
            <v>0.5</v>
          </cell>
          <cell r="H570">
            <v>89270</v>
          </cell>
        </row>
        <row r="571">
          <cell r="A571" t="str">
            <v>41-9021</v>
          </cell>
          <cell r="B571" t="str">
            <v>Real Estate Brokers</v>
          </cell>
          <cell r="C571" t="str">
            <v>detailed</v>
          </cell>
          <cell r="D571">
            <v>46100</v>
          </cell>
          <cell r="E571">
            <v>6.6</v>
          </cell>
          <cell r="F571">
            <v>83950</v>
          </cell>
          <cell r="G571">
            <v>3.6</v>
          </cell>
          <cell r="H571">
            <v>73220</v>
          </cell>
        </row>
        <row r="572">
          <cell r="A572" t="str">
            <v>53-4030</v>
          </cell>
          <cell r="B572" t="str">
            <v>Railroad Conductors and Yardmasters</v>
          </cell>
          <cell r="C572" t="str">
            <v>broad</v>
          </cell>
          <cell r="D572">
            <v>46440</v>
          </cell>
          <cell r="E572">
            <v>0.7</v>
          </cell>
          <cell r="F572">
            <v>79100</v>
          </cell>
          <cell r="G572">
            <v>0.4</v>
          </cell>
          <cell r="H572">
            <v>78000</v>
          </cell>
        </row>
        <row r="573">
          <cell r="A573" t="str">
            <v>53-4031</v>
          </cell>
          <cell r="B573" t="str">
            <v>Railroad Conductors and Yardmasters</v>
          </cell>
          <cell r="C573" t="str">
            <v>detailed</v>
          </cell>
          <cell r="D573">
            <v>46440</v>
          </cell>
          <cell r="E573">
            <v>0.7</v>
          </cell>
          <cell r="F573">
            <v>79100</v>
          </cell>
          <cell r="G573">
            <v>0.4</v>
          </cell>
          <cell r="H573">
            <v>78000</v>
          </cell>
        </row>
        <row r="574">
          <cell r="A574" t="str">
            <v>23-2099</v>
          </cell>
          <cell r="B574" t="str">
            <v>Legal Support Workers, All Other</v>
          </cell>
          <cell r="C574" t="str">
            <v>detailed</v>
          </cell>
          <cell r="D574">
            <v>46760</v>
          </cell>
          <cell r="E574">
            <v>2.2000000000000002</v>
          </cell>
          <cell r="F574">
            <v>89660</v>
          </cell>
          <cell r="G574">
            <v>1</v>
          </cell>
          <cell r="H574">
            <v>72110</v>
          </cell>
        </row>
        <row r="575">
          <cell r="A575" t="str">
            <v>53-3090</v>
          </cell>
          <cell r="B575" t="str">
            <v>Miscellaneous Motor Vehicle Operators</v>
          </cell>
          <cell r="C575" t="str">
            <v>broad</v>
          </cell>
          <cell r="D575">
            <v>46880</v>
          </cell>
          <cell r="E575">
            <v>3.2</v>
          </cell>
          <cell r="F575">
            <v>42430</v>
          </cell>
          <cell r="G575">
            <v>1</v>
          </cell>
          <cell r="H575">
            <v>37180</v>
          </cell>
        </row>
        <row r="576">
          <cell r="A576" t="str">
            <v>53-3099</v>
          </cell>
          <cell r="B576" t="str">
            <v>Motor Vehicle Operators, All Other</v>
          </cell>
          <cell r="C576" t="str">
            <v>detailed</v>
          </cell>
          <cell r="D576">
            <v>46880</v>
          </cell>
          <cell r="E576">
            <v>3.2</v>
          </cell>
          <cell r="F576">
            <v>42430</v>
          </cell>
          <cell r="G576">
            <v>1</v>
          </cell>
          <cell r="H576">
            <v>37180</v>
          </cell>
        </row>
        <row r="577">
          <cell r="A577" t="str">
            <v>13-2030</v>
          </cell>
          <cell r="B577" t="str">
            <v>Budget Analysts</v>
          </cell>
          <cell r="C577" t="str">
            <v>broad</v>
          </cell>
          <cell r="D577">
            <v>47160</v>
          </cell>
          <cell r="E577">
            <v>1.4</v>
          </cell>
          <cell r="F577">
            <v>96370</v>
          </cell>
          <cell r="G577">
            <v>0.6</v>
          </cell>
          <cell r="H577">
            <v>91640</v>
          </cell>
        </row>
        <row r="578">
          <cell r="A578" t="str">
            <v>13-2031</v>
          </cell>
          <cell r="B578" t="str">
            <v>Budget Analysts</v>
          </cell>
          <cell r="C578" t="str">
            <v>detailed</v>
          </cell>
          <cell r="D578">
            <v>47160</v>
          </cell>
          <cell r="E578">
            <v>1.4</v>
          </cell>
          <cell r="F578">
            <v>96370</v>
          </cell>
          <cell r="G578">
            <v>0.6</v>
          </cell>
          <cell r="H578">
            <v>91640</v>
          </cell>
        </row>
        <row r="579">
          <cell r="A579" t="str">
            <v>27-4030</v>
          </cell>
          <cell r="B579" t="str">
            <v>Television, Video, and Film Camera Operators and Editors</v>
          </cell>
          <cell r="C579" t="str">
            <v>broad</v>
          </cell>
          <cell r="D579">
            <v>47160</v>
          </cell>
          <cell r="E579">
            <v>3.2</v>
          </cell>
          <cell r="F579">
            <v>84800</v>
          </cell>
          <cell r="G579">
            <v>2</v>
          </cell>
          <cell r="H579">
            <v>75100</v>
          </cell>
        </row>
        <row r="580">
          <cell r="A580" t="str">
            <v>53-2012</v>
          </cell>
          <cell r="B580" t="str">
            <v>Commercial Pilots</v>
          </cell>
          <cell r="C580" t="str">
            <v>detailed</v>
          </cell>
          <cell r="D580">
            <v>47630</v>
          </cell>
          <cell r="E580">
            <v>2.2000000000000002</v>
          </cell>
          <cell r="F580">
            <v>146080</v>
          </cell>
          <cell r="G580">
            <v>1.6</v>
          </cell>
          <cell r="H580">
            <v>123220</v>
          </cell>
        </row>
        <row r="581">
          <cell r="A581" t="str">
            <v>25-1022</v>
          </cell>
          <cell r="B581" t="str">
            <v>Mathematical Science Teachers, Postsecondary</v>
          </cell>
          <cell r="C581" t="str">
            <v>detailed</v>
          </cell>
          <cell r="D581">
            <v>47670</v>
          </cell>
          <cell r="E581">
            <v>0.3</v>
          </cell>
          <cell r="F581">
            <v>91550</v>
          </cell>
          <cell r="G581">
            <v>0.3</v>
          </cell>
          <cell r="H581">
            <v>79940</v>
          </cell>
        </row>
        <row r="582">
          <cell r="A582" t="str">
            <v>27-3043</v>
          </cell>
          <cell r="B582" t="str">
            <v>Writers and Authors</v>
          </cell>
          <cell r="C582" t="str">
            <v>detailed</v>
          </cell>
          <cell r="D582">
            <v>47940</v>
          </cell>
          <cell r="E582">
            <v>5.2</v>
          </cell>
          <cell r="F582">
            <v>86090</v>
          </cell>
          <cell r="G582">
            <v>2.9</v>
          </cell>
          <cell r="H582">
            <v>76910</v>
          </cell>
        </row>
        <row r="583">
          <cell r="A583" t="str">
            <v>25-1030</v>
          </cell>
          <cell r="B583" t="str">
            <v>Engineering and Architecture Teachers, Postsecondary</v>
          </cell>
          <cell r="C583" t="str">
            <v>broad</v>
          </cell>
          <cell r="D583">
            <v>47970</v>
          </cell>
          <cell r="E583">
            <v>0.5</v>
          </cell>
          <cell r="F583">
            <v>120790</v>
          </cell>
          <cell r="G583">
            <v>0.3</v>
          </cell>
          <cell r="H583">
            <v>106500</v>
          </cell>
        </row>
        <row r="584">
          <cell r="A584" t="str">
            <v>11-3130</v>
          </cell>
          <cell r="B584" t="str">
            <v>Training and Development Managers</v>
          </cell>
          <cell r="C584" t="str">
            <v>broad</v>
          </cell>
          <cell r="D584">
            <v>48050</v>
          </cell>
          <cell r="E584">
            <v>1.4</v>
          </cell>
          <cell r="F584">
            <v>148370</v>
          </cell>
          <cell r="G584">
            <v>1.1000000000000001</v>
          </cell>
          <cell r="H584">
            <v>133000</v>
          </cell>
        </row>
        <row r="585">
          <cell r="A585" t="str">
            <v>11-3131</v>
          </cell>
          <cell r="B585" t="str">
            <v>Training and Development Managers</v>
          </cell>
          <cell r="C585" t="str">
            <v>detailed</v>
          </cell>
          <cell r="D585">
            <v>48050</v>
          </cell>
          <cell r="E585">
            <v>1.4</v>
          </cell>
          <cell r="F585">
            <v>148370</v>
          </cell>
          <cell r="G585">
            <v>1.1000000000000001</v>
          </cell>
          <cell r="H585">
            <v>133000</v>
          </cell>
        </row>
        <row r="586">
          <cell r="A586" t="str">
            <v>31-2022</v>
          </cell>
          <cell r="B586" t="str">
            <v>Physical Therapist Aides</v>
          </cell>
          <cell r="C586" t="str">
            <v>detailed</v>
          </cell>
          <cell r="D586">
            <v>48150</v>
          </cell>
          <cell r="E586">
            <v>3.5</v>
          </cell>
          <cell r="F586">
            <v>36430</v>
          </cell>
          <cell r="G586">
            <v>1.2</v>
          </cell>
          <cell r="H586">
            <v>35240</v>
          </cell>
        </row>
        <row r="587">
          <cell r="A587" t="str">
            <v>49-9012</v>
          </cell>
          <cell r="B587" t="str">
            <v>Control and Valve Installers and Repairers, Except Mechanical Door</v>
          </cell>
          <cell r="C587" t="str">
            <v>detailed</v>
          </cell>
          <cell r="D587">
            <v>48240</v>
          </cell>
          <cell r="E587">
            <v>3</v>
          </cell>
          <cell r="F587">
            <v>76210</v>
          </cell>
          <cell r="G587">
            <v>0.9</v>
          </cell>
          <cell r="H587">
            <v>74340</v>
          </cell>
        </row>
        <row r="588">
          <cell r="A588" t="str">
            <v>23-2093</v>
          </cell>
          <cell r="B588" t="str">
            <v>Title Examiners, Abstractors, and Searchers</v>
          </cell>
          <cell r="C588" t="str">
            <v>detailed</v>
          </cell>
          <cell r="D588">
            <v>48580</v>
          </cell>
          <cell r="E588">
            <v>3</v>
          </cell>
          <cell r="F588">
            <v>62350</v>
          </cell>
          <cell r="G588">
            <v>1.6</v>
          </cell>
          <cell r="H588">
            <v>58650</v>
          </cell>
        </row>
        <row r="589">
          <cell r="A589" t="str">
            <v>27-2040</v>
          </cell>
          <cell r="B589" t="str">
            <v>Musicians, Singers, and Related Workers</v>
          </cell>
          <cell r="C589" t="str">
            <v>broad</v>
          </cell>
          <cell r="D589">
            <v>48730</v>
          </cell>
          <cell r="E589">
            <v>2.4</v>
          </cell>
          <cell r="F589" t="str">
            <v>*</v>
          </cell>
          <cell r="G589">
            <v>2.5</v>
          </cell>
          <cell r="H589" t="str">
            <v>*</v>
          </cell>
        </row>
        <row r="590">
          <cell r="A590" t="str">
            <v>39-6012</v>
          </cell>
          <cell r="B590" t="str">
            <v>Concierges</v>
          </cell>
          <cell r="C590" t="str">
            <v>detailed</v>
          </cell>
          <cell r="D590">
            <v>49240</v>
          </cell>
          <cell r="E590">
            <v>4.7</v>
          </cell>
          <cell r="F590">
            <v>42510</v>
          </cell>
          <cell r="G590">
            <v>1.3</v>
          </cell>
          <cell r="H590">
            <v>38950</v>
          </cell>
        </row>
        <row r="591">
          <cell r="A591" t="str">
            <v>51-6060</v>
          </cell>
          <cell r="B591" t="str">
            <v>Textile Machine Setters, Operators, and Tenders</v>
          </cell>
          <cell r="C591" t="str">
            <v>broad</v>
          </cell>
          <cell r="D591">
            <v>49350</v>
          </cell>
          <cell r="E591">
            <v>1.6</v>
          </cell>
          <cell r="F591">
            <v>40200</v>
          </cell>
          <cell r="G591">
            <v>0.4</v>
          </cell>
          <cell r="H591">
            <v>38960</v>
          </cell>
        </row>
        <row r="592">
          <cell r="A592" t="str">
            <v>29-1240</v>
          </cell>
          <cell r="B592" t="str">
            <v>Surgeons</v>
          </cell>
          <cell r="C592" t="str">
            <v>broad</v>
          </cell>
          <cell r="D592">
            <v>49380</v>
          </cell>
          <cell r="E592">
            <v>5.6</v>
          </cell>
          <cell r="F592">
            <v>364360</v>
          </cell>
          <cell r="G592">
            <v>3</v>
          </cell>
          <cell r="H592">
            <v>369540</v>
          </cell>
        </row>
        <row r="593">
          <cell r="A593" t="str">
            <v>51-6090</v>
          </cell>
          <cell r="B593" t="str">
            <v>Miscellaneous Textile, Apparel, and Furnishings Workers</v>
          </cell>
          <cell r="C593" t="str">
            <v>broad</v>
          </cell>
          <cell r="D593">
            <v>49480</v>
          </cell>
          <cell r="E593">
            <v>2.2999999999999998</v>
          </cell>
          <cell r="F593">
            <v>47250</v>
          </cell>
          <cell r="G593">
            <v>0.7</v>
          </cell>
          <cell r="H593">
            <v>44030</v>
          </cell>
        </row>
        <row r="594">
          <cell r="A594" t="str">
            <v>23-1020</v>
          </cell>
          <cell r="B594" t="str">
            <v>Judges, Magistrates, and Other Judicial Workers</v>
          </cell>
          <cell r="C594" t="str">
            <v>broad</v>
          </cell>
          <cell r="D594">
            <v>49610</v>
          </cell>
          <cell r="E594">
            <v>2</v>
          </cell>
          <cell r="F594">
            <v>128140</v>
          </cell>
          <cell r="G594">
            <v>0.8</v>
          </cell>
          <cell r="H594">
            <v>119250</v>
          </cell>
        </row>
        <row r="595">
          <cell r="A595" t="str">
            <v>25-1050</v>
          </cell>
          <cell r="B595" t="str">
            <v>Physical Sciences Teachers, Postsecondary</v>
          </cell>
          <cell r="C595" t="str">
            <v>broad</v>
          </cell>
          <cell r="D595">
            <v>49660</v>
          </cell>
          <cell r="E595">
            <v>0.3</v>
          </cell>
          <cell r="F595">
            <v>108800</v>
          </cell>
          <cell r="G595">
            <v>0.3</v>
          </cell>
          <cell r="H595">
            <v>98450</v>
          </cell>
        </row>
        <row r="596">
          <cell r="A596" t="str">
            <v>25-1042</v>
          </cell>
          <cell r="B596" t="str">
            <v>Biological Science Teachers, Postsecondary</v>
          </cell>
          <cell r="C596" t="str">
            <v>detailed</v>
          </cell>
          <cell r="D596">
            <v>50190</v>
          </cell>
          <cell r="E596">
            <v>0.4</v>
          </cell>
          <cell r="F596">
            <v>102840</v>
          </cell>
          <cell r="G596">
            <v>0.3</v>
          </cell>
          <cell r="H596">
            <v>84620</v>
          </cell>
        </row>
        <row r="597">
          <cell r="A597" t="str">
            <v>33-9093</v>
          </cell>
          <cell r="B597" t="str">
            <v>Transportation Security Screeners</v>
          </cell>
          <cell r="C597" t="str">
            <v>detailed</v>
          </cell>
          <cell r="D597">
            <v>50290</v>
          </cell>
          <cell r="E597">
            <v>1.2</v>
          </cell>
          <cell r="F597">
            <v>64310</v>
          </cell>
          <cell r="G597">
            <v>0.3</v>
          </cell>
          <cell r="H597">
            <v>66770</v>
          </cell>
        </row>
        <row r="598">
          <cell r="A598" t="str">
            <v>17-1022</v>
          </cell>
          <cell r="B598" t="str">
            <v>Surveyors</v>
          </cell>
          <cell r="C598" t="str">
            <v>detailed</v>
          </cell>
          <cell r="D598">
            <v>50830</v>
          </cell>
          <cell r="E598">
            <v>1.7</v>
          </cell>
          <cell r="F598">
            <v>80570</v>
          </cell>
          <cell r="G598">
            <v>0.7</v>
          </cell>
          <cell r="H598">
            <v>75440</v>
          </cell>
        </row>
        <row r="599">
          <cell r="A599" t="str">
            <v>51-9030</v>
          </cell>
          <cell r="B599" t="str">
            <v>Cutting Workers</v>
          </cell>
          <cell r="C599" t="str">
            <v>broad</v>
          </cell>
          <cell r="D599">
            <v>51040</v>
          </cell>
          <cell r="E599">
            <v>1.9</v>
          </cell>
          <cell r="F599">
            <v>46700</v>
          </cell>
          <cell r="G599">
            <v>0.4</v>
          </cell>
          <cell r="H599">
            <v>46170</v>
          </cell>
        </row>
        <row r="600">
          <cell r="A600" t="str">
            <v>31-2011</v>
          </cell>
          <cell r="B600" t="str">
            <v>Occupational Therapy Assistants</v>
          </cell>
          <cell r="C600" t="str">
            <v>detailed</v>
          </cell>
          <cell r="D600">
            <v>51290</v>
          </cell>
          <cell r="E600">
            <v>2.4</v>
          </cell>
          <cell r="F600">
            <v>70710</v>
          </cell>
          <cell r="G600">
            <v>0.5</v>
          </cell>
          <cell r="H600">
            <v>72300</v>
          </cell>
        </row>
        <row r="601">
          <cell r="A601" t="str">
            <v>47-4040</v>
          </cell>
          <cell r="B601" t="str">
            <v>Hazardous Materials Removal Workers</v>
          </cell>
          <cell r="C601" t="str">
            <v>broad</v>
          </cell>
          <cell r="D601">
            <v>51710</v>
          </cell>
          <cell r="E601">
            <v>3.1</v>
          </cell>
          <cell r="F601">
            <v>56430</v>
          </cell>
          <cell r="G601">
            <v>1.1000000000000001</v>
          </cell>
          <cell r="H601">
            <v>49450</v>
          </cell>
        </row>
        <row r="602">
          <cell r="A602" t="str">
            <v>47-4041</v>
          </cell>
          <cell r="B602" t="str">
            <v>Hazardous Materials Removal Workers</v>
          </cell>
          <cell r="C602" t="str">
            <v>detailed</v>
          </cell>
          <cell r="D602">
            <v>51710</v>
          </cell>
          <cell r="E602">
            <v>3.1</v>
          </cell>
          <cell r="F602">
            <v>56430</v>
          </cell>
          <cell r="G602">
            <v>1.1000000000000001</v>
          </cell>
          <cell r="H602">
            <v>49450</v>
          </cell>
        </row>
        <row r="603">
          <cell r="A603" t="str">
            <v>27-4020</v>
          </cell>
          <cell r="B603" t="str">
            <v>Photographers</v>
          </cell>
          <cell r="C603" t="str">
            <v>broad</v>
          </cell>
          <cell r="D603">
            <v>51760</v>
          </cell>
          <cell r="E603">
            <v>4</v>
          </cell>
          <cell r="F603">
            <v>55410</v>
          </cell>
          <cell r="G603">
            <v>2.2000000000000002</v>
          </cell>
          <cell r="H603">
            <v>44660</v>
          </cell>
        </row>
        <row r="604">
          <cell r="A604" t="str">
            <v>27-4021</v>
          </cell>
          <cell r="B604" t="str">
            <v>Photographers</v>
          </cell>
          <cell r="C604" t="str">
            <v>detailed</v>
          </cell>
          <cell r="D604">
            <v>51760</v>
          </cell>
          <cell r="E604">
            <v>4</v>
          </cell>
          <cell r="F604">
            <v>55410</v>
          </cell>
          <cell r="G604">
            <v>2.2000000000000002</v>
          </cell>
          <cell r="H604">
            <v>44660</v>
          </cell>
        </row>
        <row r="605">
          <cell r="A605" t="str">
            <v>41-9030</v>
          </cell>
          <cell r="B605" t="str">
            <v>Sales Engineers</v>
          </cell>
          <cell r="C605" t="str">
            <v>broad</v>
          </cell>
          <cell r="D605">
            <v>51790</v>
          </cell>
          <cell r="E605">
            <v>2.8</v>
          </cell>
          <cell r="F605">
            <v>130140</v>
          </cell>
          <cell r="G605">
            <v>1.2</v>
          </cell>
          <cell r="H605">
            <v>124900</v>
          </cell>
        </row>
        <row r="606">
          <cell r="A606" t="str">
            <v>41-9031</v>
          </cell>
          <cell r="B606" t="str">
            <v>Sales Engineers</v>
          </cell>
          <cell r="C606" t="str">
            <v>detailed</v>
          </cell>
          <cell r="D606">
            <v>51790</v>
          </cell>
          <cell r="E606">
            <v>2.8</v>
          </cell>
          <cell r="F606">
            <v>130140</v>
          </cell>
          <cell r="G606">
            <v>1.2</v>
          </cell>
          <cell r="H606">
            <v>124900</v>
          </cell>
        </row>
        <row r="607">
          <cell r="A607" t="str">
            <v>29-1150</v>
          </cell>
          <cell r="B607" t="str">
            <v>Nurse Anesthetists</v>
          </cell>
          <cell r="C607" t="str">
            <v>broad</v>
          </cell>
          <cell r="D607">
            <v>51840</v>
          </cell>
          <cell r="E607">
            <v>4.5</v>
          </cell>
          <cell r="F607">
            <v>248320</v>
          </cell>
          <cell r="G607">
            <v>1.6</v>
          </cell>
          <cell r="H607">
            <v>236590</v>
          </cell>
        </row>
        <row r="608">
          <cell r="A608" t="str">
            <v>29-1151</v>
          </cell>
          <cell r="B608" t="str">
            <v>Nurse Anesthetists</v>
          </cell>
          <cell r="C608" t="str">
            <v>detailed</v>
          </cell>
          <cell r="D608">
            <v>51840</v>
          </cell>
          <cell r="E608">
            <v>4.5</v>
          </cell>
          <cell r="F608">
            <v>248320</v>
          </cell>
          <cell r="G608">
            <v>1.6</v>
          </cell>
          <cell r="H608">
            <v>236590</v>
          </cell>
        </row>
        <row r="609">
          <cell r="A609" t="str">
            <v>27-3091</v>
          </cell>
          <cell r="B609" t="str">
            <v>Interpreters and Translators</v>
          </cell>
          <cell r="C609" t="str">
            <v>detailed</v>
          </cell>
          <cell r="D609">
            <v>52060</v>
          </cell>
          <cell r="E609">
            <v>2.7</v>
          </cell>
          <cell r="F609">
            <v>66360</v>
          </cell>
          <cell r="G609">
            <v>1.3</v>
          </cell>
          <cell r="H609">
            <v>60170</v>
          </cell>
        </row>
        <row r="610">
          <cell r="A610" t="str">
            <v>51-2040</v>
          </cell>
          <cell r="B610" t="str">
            <v>Structural Metal Fabricators and Fitters</v>
          </cell>
          <cell r="C610" t="str">
            <v>broad</v>
          </cell>
          <cell r="D610">
            <v>52360</v>
          </cell>
          <cell r="E610">
            <v>3.1</v>
          </cell>
          <cell r="F610">
            <v>54030</v>
          </cell>
          <cell r="G610">
            <v>0.7</v>
          </cell>
          <cell r="H610">
            <v>51330</v>
          </cell>
        </row>
        <row r="611">
          <cell r="A611" t="str">
            <v>51-2041</v>
          </cell>
          <cell r="B611" t="str">
            <v>Structural Metal Fabricators and Fitters</v>
          </cell>
          <cell r="C611" t="str">
            <v>detailed</v>
          </cell>
          <cell r="D611">
            <v>52360</v>
          </cell>
          <cell r="E611">
            <v>3.1</v>
          </cell>
          <cell r="F611">
            <v>54030</v>
          </cell>
          <cell r="G611">
            <v>0.7</v>
          </cell>
          <cell r="H611">
            <v>51330</v>
          </cell>
        </row>
        <row r="612">
          <cell r="A612" t="str">
            <v>31-1132</v>
          </cell>
          <cell r="B612" t="str">
            <v>Orderlies</v>
          </cell>
          <cell r="C612" t="str">
            <v>detailed</v>
          </cell>
          <cell r="D612">
            <v>52440</v>
          </cell>
          <cell r="E612">
            <v>0.9</v>
          </cell>
          <cell r="F612">
            <v>40660</v>
          </cell>
          <cell r="G612">
            <v>0.3</v>
          </cell>
          <cell r="H612">
            <v>38290</v>
          </cell>
        </row>
        <row r="613">
          <cell r="A613" t="str">
            <v>47-2021</v>
          </cell>
          <cell r="B613" t="str">
            <v>Brickmasons and Blockmasons</v>
          </cell>
          <cell r="C613" t="str">
            <v>detailed</v>
          </cell>
          <cell r="D613">
            <v>52550</v>
          </cell>
          <cell r="E613">
            <v>2.2999999999999998</v>
          </cell>
          <cell r="F613">
            <v>68280</v>
          </cell>
          <cell r="G613">
            <v>1</v>
          </cell>
          <cell r="H613">
            <v>62120</v>
          </cell>
        </row>
        <row r="614">
          <cell r="A614" t="str">
            <v>27-1011</v>
          </cell>
          <cell r="B614" t="str">
            <v>Art Directors</v>
          </cell>
          <cell r="C614" t="str">
            <v>detailed</v>
          </cell>
          <cell r="D614">
            <v>53070</v>
          </cell>
          <cell r="E614">
            <v>4.2</v>
          </cell>
          <cell r="F614">
            <v>129440</v>
          </cell>
          <cell r="G614">
            <v>2</v>
          </cell>
          <cell r="H614">
            <v>114850</v>
          </cell>
        </row>
        <row r="615">
          <cell r="A615" t="str">
            <v>43-5110</v>
          </cell>
          <cell r="B615" t="str">
            <v>Weighers, Measurers, Checkers, and Samplers, Recordkeeping</v>
          </cell>
          <cell r="C615" t="str">
            <v>broad</v>
          </cell>
          <cell r="D615">
            <v>53300</v>
          </cell>
          <cell r="E615">
            <v>2</v>
          </cell>
          <cell r="F615">
            <v>47630</v>
          </cell>
          <cell r="G615">
            <v>0.4</v>
          </cell>
          <cell r="H615">
            <v>46380</v>
          </cell>
        </row>
        <row r="616">
          <cell r="A616" t="str">
            <v>43-5111</v>
          </cell>
          <cell r="B616" t="str">
            <v>Weighers, Measurers, Checkers, and Samplers, Recordkeeping</v>
          </cell>
          <cell r="C616" t="str">
            <v>detailed</v>
          </cell>
          <cell r="D616">
            <v>53300</v>
          </cell>
          <cell r="E616">
            <v>2</v>
          </cell>
          <cell r="F616">
            <v>47630</v>
          </cell>
          <cell r="G616">
            <v>0.4</v>
          </cell>
          <cell r="H616">
            <v>46380</v>
          </cell>
        </row>
        <row r="617">
          <cell r="A617" t="str">
            <v>33-1011</v>
          </cell>
          <cell r="B617" t="str">
            <v>First-Line Supervisors of Correctional Officers</v>
          </cell>
          <cell r="C617" t="str">
            <v>detailed</v>
          </cell>
          <cell r="D617">
            <v>53380</v>
          </cell>
          <cell r="E617">
            <v>0.4</v>
          </cell>
          <cell r="F617">
            <v>84380</v>
          </cell>
          <cell r="G617">
            <v>0.2</v>
          </cell>
          <cell r="H617">
            <v>77970</v>
          </cell>
        </row>
        <row r="618">
          <cell r="A618" t="str">
            <v>39-7000</v>
          </cell>
          <cell r="B618" t="str">
            <v>Tour and Travel Guides</v>
          </cell>
          <cell r="C618" t="str">
            <v>minor</v>
          </cell>
          <cell r="D618">
            <v>53500</v>
          </cell>
          <cell r="E618">
            <v>2.5</v>
          </cell>
          <cell r="F618">
            <v>43720</v>
          </cell>
          <cell r="G618">
            <v>2.5</v>
          </cell>
          <cell r="H618">
            <v>38120</v>
          </cell>
        </row>
        <row r="619">
          <cell r="A619" t="str">
            <v>39-7010</v>
          </cell>
          <cell r="B619" t="str">
            <v>Tour and Travel Guides</v>
          </cell>
          <cell r="C619" t="str">
            <v>broad</v>
          </cell>
          <cell r="D619">
            <v>53500</v>
          </cell>
          <cell r="E619">
            <v>2.5</v>
          </cell>
          <cell r="F619">
            <v>43720</v>
          </cell>
          <cell r="G619">
            <v>2.5</v>
          </cell>
          <cell r="H619">
            <v>38120</v>
          </cell>
        </row>
        <row r="620">
          <cell r="A620" t="str">
            <v>39-7010</v>
          </cell>
          <cell r="B620" t="str">
            <v>Tour and Travel Guides</v>
          </cell>
          <cell r="C620" t="str">
            <v>detailed</v>
          </cell>
          <cell r="D620">
            <v>53500</v>
          </cell>
          <cell r="E620">
            <v>2.5</v>
          </cell>
          <cell r="F620">
            <v>43720</v>
          </cell>
          <cell r="G620">
            <v>2.5</v>
          </cell>
          <cell r="H620">
            <v>38120</v>
          </cell>
        </row>
        <row r="621">
          <cell r="A621" t="str">
            <v>47-5020</v>
          </cell>
          <cell r="B621" t="str">
            <v>Surface Mining Machine Operators and Earth Drillers</v>
          </cell>
          <cell r="C621" t="str">
            <v>broad</v>
          </cell>
          <cell r="D621">
            <v>53920</v>
          </cell>
          <cell r="E621">
            <v>2.4</v>
          </cell>
          <cell r="F621">
            <v>60980</v>
          </cell>
          <cell r="G621">
            <v>0.7</v>
          </cell>
          <cell r="H621">
            <v>58280</v>
          </cell>
        </row>
        <row r="622">
          <cell r="A622" t="str">
            <v>27-2011</v>
          </cell>
          <cell r="B622" t="str">
            <v>Actors</v>
          </cell>
          <cell r="C622" t="str">
            <v>detailed</v>
          </cell>
          <cell r="D622">
            <v>55000</v>
          </cell>
          <cell r="E622">
            <v>17.7</v>
          </cell>
          <cell r="F622" t="str">
            <v>*</v>
          </cell>
          <cell r="G622">
            <v>8.4</v>
          </cell>
          <cell r="H622" t="str">
            <v>*</v>
          </cell>
        </row>
        <row r="623">
          <cell r="A623" t="str">
            <v>41-3040</v>
          </cell>
          <cell r="B623" t="str">
            <v>Travel Agents</v>
          </cell>
          <cell r="C623" t="str">
            <v>broad</v>
          </cell>
          <cell r="D623">
            <v>55110</v>
          </cell>
          <cell r="E623">
            <v>2.6</v>
          </cell>
          <cell r="F623">
            <v>54660</v>
          </cell>
          <cell r="G623">
            <v>1</v>
          </cell>
          <cell r="H623">
            <v>50160</v>
          </cell>
        </row>
        <row r="624">
          <cell r="A624" t="str">
            <v>41-3041</v>
          </cell>
          <cell r="B624" t="str">
            <v>Travel Agents</v>
          </cell>
          <cell r="C624" t="str">
            <v>detailed</v>
          </cell>
          <cell r="D624">
            <v>55110</v>
          </cell>
          <cell r="E624">
            <v>2.6</v>
          </cell>
          <cell r="F624">
            <v>54660</v>
          </cell>
          <cell r="G624">
            <v>1</v>
          </cell>
          <cell r="H624">
            <v>50160</v>
          </cell>
        </row>
        <row r="625">
          <cell r="A625" t="str">
            <v>11-9039</v>
          </cell>
          <cell r="B625" t="str">
            <v>Education Administrators, All Other</v>
          </cell>
          <cell r="C625" t="str">
            <v>detailed</v>
          </cell>
          <cell r="D625">
            <v>55130</v>
          </cell>
          <cell r="E625">
            <v>2</v>
          </cell>
          <cell r="F625">
            <v>101900</v>
          </cell>
          <cell r="G625">
            <v>0.6</v>
          </cell>
          <cell r="H625">
            <v>95200</v>
          </cell>
        </row>
        <row r="626">
          <cell r="A626" t="str">
            <v>37-3013</v>
          </cell>
          <cell r="B626" t="str">
            <v>Tree Trimmers and Pruners</v>
          </cell>
          <cell r="C626" t="str">
            <v>detailed</v>
          </cell>
          <cell r="D626">
            <v>55160</v>
          </cell>
          <cell r="E626">
            <v>6.3</v>
          </cell>
          <cell r="F626">
            <v>55970</v>
          </cell>
          <cell r="G626">
            <v>1.3</v>
          </cell>
          <cell r="H626">
            <v>50960</v>
          </cell>
        </row>
        <row r="627">
          <cell r="A627" t="str">
            <v>43-9050</v>
          </cell>
          <cell r="B627" t="str">
            <v>Mail Clerks and Mail Machine Operators, Except Postal Service</v>
          </cell>
          <cell r="C627" t="str">
            <v>broad</v>
          </cell>
          <cell r="D627">
            <v>55230</v>
          </cell>
          <cell r="E627">
            <v>2.5</v>
          </cell>
          <cell r="F627">
            <v>41650</v>
          </cell>
          <cell r="G627">
            <v>0.6</v>
          </cell>
          <cell r="H627">
            <v>39280</v>
          </cell>
        </row>
        <row r="628">
          <cell r="A628" t="str">
            <v>43-9051</v>
          </cell>
          <cell r="B628" t="str">
            <v>Mail Clerks and Mail Machine Operators, Except Postal Service</v>
          </cell>
          <cell r="C628" t="str">
            <v>detailed</v>
          </cell>
          <cell r="D628">
            <v>55230</v>
          </cell>
          <cell r="E628">
            <v>2.5</v>
          </cell>
          <cell r="F628">
            <v>41650</v>
          </cell>
          <cell r="G628">
            <v>0.6</v>
          </cell>
          <cell r="H628">
            <v>39280</v>
          </cell>
        </row>
        <row r="629">
          <cell r="A629" t="str">
            <v>31-2010</v>
          </cell>
          <cell r="B629" t="str">
            <v>Occupational Therapy Assistants and Aides</v>
          </cell>
          <cell r="C629" t="str">
            <v>broad</v>
          </cell>
          <cell r="D629">
            <v>55600</v>
          </cell>
          <cell r="E629">
            <v>2.2999999999999998</v>
          </cell>
          <cell r="F629">
            <v>68640</v>
          </cell>
          <cell r="G629">
            <v>0.5</v>
          </cell>
          <cell r="H629">
            <v>70800</v>
          </cell>
        </row>
        <row r="630">
          <cell r="A630" t="str">
            <v>43-3060</v>
          </cell>
          <cell r="B630" t="str">
            <v>Procurement Clerks</v>
          </cell>
          <cell r="C630" t="str">
            <v>broad</v>
          </cell>
          <cell r="D630">
            <v>55810</v>
          </cell>
          <cell r="E630">
            <v>1.4</v>
          </cell>
          <cell r="F630">
            <v>52370</v>
          </cell>
          <cell r="G630">
            <v>0.3</v>
          </cell>
          <cell r="H630">
            <v>50580</v>
          </cell>
        </row>
        <row r="631">
          <cell r="A631" t="str">
            <v>43-3061</v>
          </cell>
          <cell r="B631" t="str">
            <v>Procurement Clerks</v>
          </cell>
          <cell r="C631" t="str">
            <v>detailed</v>
          </cell>
          <cell r="D631">
            <v>55810</v>
          </cell>
          <cell r="E631">
            <v>1.4</v>
          </cell>
          <cell r="F631">
            <v>52370</v>
          </cell>
          <cell r="G631">
            <v>0.3</v>
          </cell>
          <cell r="H631">
            <v>50580</v>
          </cell>
        </row>
        <row r="632">
          <cell r="A632" t="str">
            <v>19-1029</v>
          </cell>
          <cell r="B632" t="str">
            <v>Biological Scientists, All Other</v>
          </cell>
          <cell r="C632" t="str">
            <v>detailed</v>
          </cell>
          <cell r="D632">
            <v>55850</v>
          </cell>
          <cell r="E632">
            <v>1.9</v>
          </cell>
          <cell r="F632">
            <v>106330</v>
          </cell>
          <cell r="G632">
            <v>0.8</v>
          </cell>
          <cell r="H632">
            <v>98920</v>
          </cell>
        </row>
        <row r="633">
          <cell r="A633" t="str">
            <v>19-3090</v>
          </cell>
          <cell r="B633" t="str">
            <v>Miscellaneous Social Scientists and Related Workers</v>
          </cell>
          <cell r="C633" t="str">
            <v>broad</v>
          </cell>
          <cell r="D633">
            <v>56490</v>
          </cell>
          <cell r="E633">
            <v>1.8</v>
          </cell>
          <cell r="F633">
            <v>104260</v>
          </cell>
          <cell r="G633">
            <v>0.6</v>
          </cell>
          <cell r="H633">
            <v>96930</v>
          </cell>
        </row>
        <row r="634">
          <cell r="A634" t="str">
            <v>13-2081</v>
          </cell>
          <cell r="B634" t="str">
            <v>Tax Examiners and Collectors, and Revenue Agents</v>
          </cell>
          <cell r="C634" t="str">
            <v>detailed</v>
          </cell>
          <cell r="D634">
            <v>56610</v>
          </cell>
          <cell r="E634">
            <v>0.9</v>
          </cell>
          <cell r="F634">
            <v>70520</v>
          </cell>
          <cell r="G634">
            <v>0.3</v>
          </cell>
          <cell r="H634">
            <v>62370</v>
          </cell>
        </row>
        <row r="635">
          <cell r="A635" t="str">
            <v>51-4110</v>
          </cell>
          <cell r="B635" t="str">
            <v>Tool and Die Makers</v>
          </cell>
          <cell r="C635" t="str">
            <v>broad</v>
          </cell>
          <cell r="D635">
            <v>56930</v>
          </cell>
          <cell r="E635">
            <v>1.9</v>
          </cell>
          <cell r="F635">
            <v>66860</v>
          </cell>
          <cell r="G635">
            <v>0.4</v>
          </cell>
          <cell r="H635">
            <v>64050</v>
          </cell>
        </row>
        <row r="636">
          <cell r="A636" t="str">
            <v>51-4111</v>
          </cell>
          <cell r="B636" t="str">
            <v>Tool and Die Makers</v>
          </cell>
          <cell r="C636" t="str">
            <v>detailed</v>
          </cell>
          <cell r="D636">
            <v>56930</v>
          </cell>
          <cell r="E636">
            <v>1.9</v>
          </cell>
          <cell r="F636">
            <v>66860</v>
          </cell>
          <cell r="G636">
            <v>0.4</v>
          </cell>
          <cell r="H636">
            <v>64050</v>
          </cell>
        </row>
        <row r="637">
          <cell r="A637" t="str">
            <v>13-2020</v>
          </cell>
          <cell r="B637" t="str">
            <v>Property Appraisers and Assessors</v>
          </cell>
          <cell r="C637" t="str">
            <v>broad</v>
          </cell>
          <cell r="D637">
            <v>57070</v>
          </cell>
          <cell r="E637">
            <v>2.9</v>
          </cell>
          <cell r="F637">
            <v>75770</v>
          </cell>
          <cell r="G637">
            <v>1.1000000000000001</v>
          </cell>
          <cell r="H637">
            <v>67960</v>
          </cell>
        </row>
        <row r="638">
          <cell r="A638" t="str">
            <v>13-2020</v>
          </cell>
          <cell r="B638" t="str">
            <v>Property Appraisers and Assessors</v>
          </cell>
          <cell r="C638" t="str">
            <v>detailed</v>
          </cell>
          <cell r="D638">
            <v>57070</v>
          </cell>
          <cell r="E638">
            <v>2.9</v>
          </cell>
          <cell r="F638">
            <v>75770</v>
          </cell>
          <cell r="G638">
            <v>1.1000000000000001</v>
          </cell>
          <cell r="H638">
            <v>67960</v>
          </cell>
        </row>
        <row r="639">
          <cell r="A639" t="str">
            <v>21-2010</v>
          </cell>
          <cell r="B639" t="str">
            <v>Clergy</v>
          </cell>
          <cell r="C639" t="str">
            <v>broad</v>
          </cell>
          <cell r="D639">
            <v>57200</v>
          </cell>
          <cell r="E639">
            <v>2.2999999999999998</v>
          </cell>
          <cell r="F639">
            <v>66860</v>
          </cell>
          <cell r="G639">
            <v>1.5</v>
          </cell>
          <cell r="H639">
            <v>60810</v>
          </cell>
        </row>
        <row r="640">
          <cell r="A640" t="str">
            <v>21-2011</v>
          </cell>
          <cell r="B640" t="str">
            <v>Clergy</v>
          </cell>
          <cell r="C640" t="str">
            <v>detailed</v>
          </cell>
          <cell r="D640">
            <v>57200</v>
          </cell>
          <cell r="E640">
            <v>2.2999999999999998</v>
          </cell>
          <cell r="F640">
            <v>66860</v>
          </cell>
          <cell r="G640">
            <v>1.5</v>
          </cell>
          <cell r="H640">
            <v>60810</v>
          </cell>
        </row>
        <row r="641">
          <cell r="A641" t="str">
            <v>19-4030</v>
          </cell>
          <cell r="B641" t="str">
            <v>Chemical Technicians</v>
          </cell>
          <cell r="C641" t="str">
            <v>broad</v>
          </cell>
          <cell r="D641">
            <v>57540</v>
          </cell>
          <cell r="E641">
            <v>2</v>
          </cell>
          <cell r="F641">
            <v>63900</v>
          </cell>
          <cell r="G641">
            <v>0.7</v>
          </cell>
          <cell r="H641">
            <v>60390</v>
          </cell>
        </row>
        <row r="642">
          <cell r="A642" t="str">
            <v>19-4031</v>
          </cell>
          <cell r="B642" t="str">
            <v>Chemical Technicians</v>
          </cell>
          <cell r="C642" t="str">
            <v>detailed</v>
          </cell>
          <cell r="D642">
            <v>57540</v>
          </cell>
          <cell r="E642">
            <v>2</v>
          </cell>
          <cell r="F642">
            <v>63900</v>
          </cell>
          <cell r="G642">
            <v>0.7</v>
          </cell>
          <cell r="H642">
            <v>60390</v>
          </cell>
        </row>
        <row r="643">
          <cell r="A643" t="str">
            <v>25-1123</v>
          </cell>
          <cell r="B643" t="str">
            <v>English Language and Literature Teachers, Postsecondary</v>
          </cell>
          <cell r="C643" t="str">
            <v>detailed</v>
          </cell>
          <cell r="D643">
            <v>57720</v>
          </cell>
          <cell r="E643">
            <v>0.4</v>
          </cell>
          <cell r="F643">
            <v>89580</v>
          </cell>
          <cell r="G643">
            <v>0.3</v>
          </cell>
          <cell r="H643">
            <v>78760</v>
          </cell>
        </row>
        <row r="644">
          <cell r="A644" t="str">
            <v>17-3030</v>
          </cell>
          <cell r="B644" t="str">
            <v>Surveying and Mapping Technicians</v>
          </cell>
          <cell r="C644" t="str">
            <v>broad</v>
          </cell>
          <cell r="D644">
            <v>58010</v>
          </cell>
          <cell r="E644">
            <v>2.8</v>
          </cell>
          <cell r="F644">
            <v>58000</v>
          </cell>
          <cell r="G644">
            <v>0.8</v>
          </cell>
          <cell r="H644">
            <v>54240</v>
          </cell>
        </row>
        <row r="645">
          <cell r="A645" t="str">
            <v>17-3031</v>
          </cell>
          <cell r="B645" t="str">
            <v>Surveying and Mapping Technicians</v>
          </cell>
          <cell r="C645" t="str">
            <v>detailed</v>
          </cell>
          <cell r="D645">
            <v>58010</v>
          </cell>
          <cell r="E645">
            <v>2.8</v>
          </cell>
          <cell r="F645">
            <v>58000</v>
          </cell>
          <cell r="G645">
            <v>0.8</v>
          </cell>
          <cell r="H645">
            <v>54240</v>
          </cell>
        </row>
        <row r="646">
          <cell r="A646" t="str">
            <v>41-9040</v>
          </cell>
          <cell r="B646" t="str">
            <v>Telemarketers</v>
          </cell>
          <cell r="C646" t="str">
            <v>broad</v>
          </cell>
          <cell r="D646">
            <v>58430</v>
          </cell>
          <cell r="E646">
            <v>4.3</v>
          </cell>
          <cell r="F646">
            <v>37370</v>
          </cell>
          <cell r="G646">
            <v>1.3</v>
          </cell>
          <cell r="H646">
            <v>35450</v>
          </cell>
        </row>
        <row r="647">
          <cell r="A647" t="str">
            <v>41-9041</v>
          </cell>
          <cell r="B647" t="str">
            <v>Telemarketers</v>
          </cell>
          <cell r="C647" t="str">
            <v>detailed</v>
          </cell>
          <cell r="D647">
            <v>58430</v>
          </cell>
          <cell r="E647">
            <v>4.3</v>
          </cell>
          <cell r="F647">
            <v>37370</v>
          </cell>
          <cell r="G647">
            <v>1.3</v>
          </cell>
          <cell r="H647">
            <v>35450</v>
          </cell>
        </row>
        <row r="648">
          <cell r="A648" t="str">
            <v>47-2120</v>
          </cell>
          <cell r="B648" t="str">
            <v>Glaziers</v>
          </cell>
          <cell r="C648" t="str">
            <v>broad</v>
          </cell>
          <cell r="D648">
            <v>58480</v>
          </cell>
          <cell r="E648">
            <v>2.8</v>
          </cell>
          <cell r="F648">
            <v>59720</v>
          </cell>
          <cell r="G648">
            <v>1.2</v>
          </cell>
          <cell r="H648">
            <v>57080</v>
          </cell>
        </row>
        <row r="649">
          <cell r="A649" t="str">
            <v>47-2121</v>
          </cell>
          <cell r="B649" t="str">
            <v>Glaziers</v>
          </cell>
          <cell r="C649" t="str">
            <v>detailed</v>
          </cell>
          <cell r="D649">
            <v>58480</v>
          </cell>
          <cell r="E649">
            <v>2.8</v>
          </cell>
          <cell r="F649">
            <v>59720</v>
          </cell>
          <cell r="G649">
            <v>1.2</v>
          </cell>
          <cell r="H649">
            <v>57080</v>
          </cell>
        </row>
        <row r="650">
          <cell r="A650" t="str">
            <v>51-9040</v>
          </cell>
          <cell r="B650" t="str">
            <v>Extruding, Forming, Pressing, and Compacting Machine Setters, Operators, and Tenders</v>
          </cell>
          <cell r="C650" t="str">
            <v>broad</v>
          </cell>
          <cell r="D650">
            <v>58770</v>
          </cell>
          <cell r="E650">
            <v>2.5</v>
          </cell>
          <cell r="F650">
            <v>47260</v>
          </cell>
          <cell r="G650">
            <v>0.7</v>
          </cell>
          <cell r="H650">
            <v>45760</v>
          </cell>
        </row>
        <row r="651">
          <cell r="A651" t="str">
            <v>51-9041</v>
          </cell>
          <cell r="B651" t="str">
            <v>Extruding, Forming, Pressing, and Compacting Machine Setters, Operators, and Tenders</v>
          </cell>
          <cell r="C651" t="str">
            <v>detailed</v>
          </cell>
          <cell r="D651">
            <v>58770</v>
          </cell>
          <cell r="E651">
            <v>2.5</v>
          </cell>
          <cell r="F651">
            <v>47260</v>
          </cell>
          <cell r="G651">
            <v>0.7</v>
          </cell>
          <cell r="H651">
            <v>45760</v>
          </cell>
        </row>
        <row r="652">
          <cell r="A652" t="str">
            <v>17-3029</v>
          </cell>
          <cell r="B652" t="str">
            <v>Engineering Technologists and Technicians, Except Drafters, All Other</v>
          </cell>
          <cell r="C652" t="str">
            <v>detailed</v>
          </cell>
          <cell r="D652">
            <v>59930</v>
          </cell>
          <cell r="E652">
            <v>1.8</v>
          </cell>
          <cell r="F652">
            <v>80960</v>
          </cell>
          <cell r="G652">
            <v>0.6</v>
          </cell>
          <cell r="H652">
            <v>78350</v>
          </cell>
        </row>
        <row r="653">
          <cell r="A653" t="str">
            <v>49-9043</v>
          </cell>
          <cell r="B653" t="str">
            <v>Maintenance Workers, Machinery</v>
          </cell>
          <cell r="C653" t="str">
            <v>detailed</v>
          </cell>
          <cell r="D653">
            <v>60020</v>
          </cell>
          <cell r="E653">
            <v>1.6</v>
          </cell>
          <cell r="F653">
            <v>64610</v>
          </cell>
          <cell r="G653">
            <v>0.6</v>
          </cell>
          <cell r="H653">
            <v>60850</v>
          </cell>
        </row>
        <row r="654">
          <cell r="A654" t="str">
            <v>51-9012</v>
          </cell>
          <cell r="B654" t="str">
            <v>Separating, Filtering, Clarifying, Precipitating, and Still Machine Setters, Operators, and Tenders</v>
          </cell>
          <cell r="C654" t="str">
            <v>detailed</v>
          </cell>
          <cell r="D654">
            <v>60100</v>
          </cell>
          <cell r="E654">
            <v>3.3</v>
          </cell>
          <cell r="F654">
            <v>56030</v>
          </cell>
          <cell r="G654">
            <v>1.1000000000000001</v>
          </cell>
          <cell r="H654">
            <v>51610</v>
          </cell>
        </row>
        <row r="655">
          <cell r="A655" t="str">
            <v>47-2020</v>
          </cell>
          <cell r="B655" t="str">
            <v>Brickmasons, Blockmasons, and Stonemasons</v>
          </cell>
          <cell r="C655" t="str">
            <v>broad</v>
          </cell>
          <cell r="D655">
            <v>60370</v>
          </cell>
          <cell r="E655">
            <v>2.4</v>
          </cell>
          <cell r="F655">
            <v>67300</v>
          </cell>
          <cell r="G655">
            <v>1</v>
          </cell>
          <cell r="H655">
            <v>61480</v>
          </cell>
        </row>
        <row r="656">
          <cell r="A656" t="str">
            <v>39-9090</v>
          </cell>
          <cell r="B656" t="str">
            <v>Miscellaneous Personal Care and Service Workers</v>
          </cell>
          <cell r="C656" t="str">
            <v>broad</v>
          </cell>
          <cell r="D656">
            <v>60420</v>
          </cell>
          <cell r="E656">
            <v>4</v>
          </cell>
          <cell r="F656">
            <v>40120</v>
          </cell>
          <cell r="G656">
            <v>1.1000000000000001</v>
          </cell>
          <cell r="H656">
            <v>41600</v>
          </cell>
        </row>
        <row r="657">
          <cell r="A657" t="str">
            <v>39-9099</v>
          </cell>
          <cell r="B657" t="str">
            <v>Personal Care and Service Workers, All Other</v>
          </cell>
          <cell r="C657" t="str">
            <v>detailed</v>
          </cell>
          <cell r="D657">
            <v>60420</v>
          </cell>
          <cell r="E657">
            <v>4</v>
          </cell>
          <cell r="F657">
            <v>40120</v>
          </cell>
          <cell r="G657">
            <v>1.1000000000000001</v>
          </cell>
          <cell r="H657">
            <v>41600</v>
          </cell>
        </row>
        <row r="658">
          <cell r="A658" t="str">
            <v>25-1040</v>
          </cell>
          <cell r="B658" t="str">
            <v>Life Sciences Teachers, Postsecondary</v>
          </cell>
          <cell r="C658" t="str">
            <v>broad</v>
          </cell>
          <cell r="D658">
            <v>60630</v>
          </cell>
          <cell r="E658">
            <v>0.6</v>
          </cell>
          <cell r="F658">
            <v>102710</v>
          </cell>
          <cell r="G658">
            <v>0.4</v>
          </cell>
          <cell r="H658">
            <v>86480</v>
          </cell>
        </row>
        <row r="659">
          <cell r="A659" t="str">
            <v>25-1081</v>
          </cell>
          <cell r="B659" t="str">
            <v>Education Teachers, Postsecondary</v>
          </cell>
          <cell r="C659" t="str">
            <v>detailed</v>
          </cell>
          <cell r="D659">
            <v>60830</v>
          </cell>
          <cell r="E659">
            <v>0.7</v>
          </cell>
          <cell r="F659">
            <v>79350</v>
          </cell>
          <cell r="G659">
            <v>0.4</v>
          </cell>
          <cell r="H659">
            <v>75350</v>
          </cell>
        </row>
        <row r="660">
          <cell r="A660" t="str">
            <v>51-4021</v>
          </cell>
          <cell r="B660" t="str">
            <v>Extruding and Drawing Machine Setters, Operators, and Tenders, Metal and Plastic</v>
          </cell>
          <cell r="C660" t="str">
            <v>detailed</v>
          </cell>
          <cell r="D660">
            <v>60840</v>
          </cell>
          <cell r="E660">
            <v>2.4</v>
          </cell>
          <cell r="F660">
            <v>49480</v>
          </cell>
          <cell r="G660">
            <v>0.4</v>
          </cell>
          <cell r="H660">
            <v>47720</v>
          </cell>
        </row>
        <row r="661">
          <cell r="A661" t="str">
            <v>51-7042</v>
          </cell>
          <cell r="B661" t="str">
            <v>Woodworking Machine Setters, Operators, and Tenders, Except Sawing</v>
          </cell>
          <cell r="C661" t="str">
            <v>detailed</v>
          </cell>
          <cell r="D661">
            <v>61420</v>
          </cell>
          <cell r="E661">
            <v>1.8</v>
          </cell>
          <cell r="F661">
            <v>43570</v>
          </cell>
          <cell r="G661">
            <v>0.3</v>
          </cell>
          <cell r="H661">
            <v>43380</v>
          </cell>
        </row>
        <row r="662">
          <cell r="A662" t="str">
            <v>21-1094</v>
          </cell>
          <cell r="B662" t="str">
            <v>Community Health Workers</v>
          </cell>
          <cell r="C662" t="str">
            <v>detailed</v>
          </cell>
          <cell r="D662">
            <v>61660</v>
          </cell>
          <cell r="E662">
            <v>1.9</v>
          </cell>
          <cell r="F662">
            <v>56180</v>
          </cell>
          <cell r="G662">
            <v>0.5</v>
          </cell>
          <cell r="H662">
            <v>51850</v>
          </cell>
        </row>
        <row r="663">
          <cell r="A663" t="str">
            <v>21-1029</v>
          </cell>
          <cell r="B663" t="str">
            <v>Social Workers, All Other</v>
          </cell>
          <cell r="C663" t="str">
            <v>detailed</v>
          </cell>
          <cell r="D663">
            <v>62930</v>
          </cell>
          <cell r="E663">
            <v>1.7</v>
          </cell>
          <cell r="F663">
            <v>75910</v>
          </cell>
          <cell r="G663">
            <v>0.5</v>
          </cell>
          <cell r="H663">
            <v>71900</v>
          </cell>
        </row>
        <row r="664">
          <cell r="A664" t="str">
            <v>29-2031</v>
          </cell>
          <cell r="B664" t="str">
            <v>Cardiovascular Technologists and Technicians</v>
          </cell>
          <cell r="C664" t="str">
            <v>detailed</v>
          </cell>
          <cell r="D664">
            <v>62960</v>
          </cell>
          <cell r="E664">
            <v>2.1</v>
          </cell>
          <cell r="F664">
            <v>76940</v>
          </cell>
          <cell r="G664">
            <v>0.5</v>
          </cell>
          <cell r="H664">
            <v>74310</v>
          </cell>
        </row>
        <row r="665">
          <cell r="A665" t="str">
            <v>39-4000</v>
          </cell>
          <cell r="B665" t="str">
            <v>Funeral Service Workers</v>
          </cell>
          <cell r="C665" t="str">
            <v>minor</v>
          </cell>
          <cell r="D665">
            <v>63050</v>
          </cell>
          <cell r="E665">
            <v>1</v>
          </cell>
          <cell r="F665">
            <v>47250</v>
          </cell>
          <cell r="G665">
            <v>0.7</v>
          </cell>
          <cell r="H665">
            <v>42700</v>
          </cell>
        </row>
        <row r="666">
          <cell r="A666" t="str">
            <v>47-3013</v>
          </cell>
          <cell r="B666" t="str">
            <v>Helpers--Electricians</v>
          </cell>
          <cell r="C666" t="str">
            <v>detailed</v>
          </cell>
          <cell r="D666">
            <v>63630</v>
          </cell>
          <cell r="E666">
            <v>3.5</v>
          </cell>
          <cell r="F666">
            <v>44080</v>
          </cell>
          <cell r="G666">
            <v>0.6</v>
          </cell>
          <cell r="H666">
            <v>42670</v>
          </cell>
        </row>
        <row r="667">
          <cell r="A667" t="str">
            <v>13-2054</v>
          </cell>
          <cell r="B667" t="str">
            <v>Financial Risk Specialists</v>
          </cell>
          <cell r="C667" t="str">
            <v>detailed</v>
          </cell>
          <cell r="D667">
            <v>63850</v>
          </cell>
          <cell r="E667">
            <v>1.9</v>
          </cell>
          <cell r="F667">
            <v>124420</v>
          </cell>
          <cell r="G667">
            <v>0.6</v>
          </cell>
          <cell r="H667">
            <v>117330</v>
          </cell>
        </row>
        <row r="668">
          <cell r="A668" t="str">
            <v>19-3034</v>
          </cell>
          <cell r="B668" t="str">
            <v>School Psychologists</v>
          </cell>
          <cell r="C668" t="str">
            <v>detailed</v>
          </cell>
          <cell r="D668">
            <v>63940</v>
          </cell>
          <cell r="E668">
            <v>2.9</v>
          </cell>
          <cell r="F668">
            <v>99160</v>
          </cell>
          <cell r="G668">
            <v>1.5</v>
          </cell>
          <cell r="H668">
            <v>95990</v>
          </cell>
        </row>
        <row r="669">
          <cell r="A669" t="str">
            <v>51-9080</v>
          </cell>
          <cell r="B669" t="str">
            <v>Dental and Ophthalmic Laboratory Technicians and Medical Appliance Technicians</v>
          </cell>
          <cell r="C669" t="str">
            <v>broad</v>
          </cell>
          <cell r="D669">
            <v>64350</v>
          </cell>
          <cell r="E669">
            <v>2.1</v>
          </cell>
          <cell r="F669">
            <v>50800</v>
          </cell>
          <cell r="G669">
            <v>0.6</v>
          </cell>
          <cell r="H669">
            <v>47060</v>
          </cell>
        </row>
        <row r="670">
          <cell r="A670" t="str">
            <v>13-2040</v>
          </cell>
          <cell r="B670" t="str">
            <v>Credit Analysts</v>
          </cell>
          <cell r="C670" t="str">
            <v>broad</v>
          </cell>
          <cell r="D670">
            <v>64390</v>
          </cell>
          <cell r="E670">
            <v>1.3</v>
          </cell>
          <cell r="F670">
            <v>100850</v>
          </cell>
          <cell r="G670">
            <v>0.7</v>
          </cell>
          <cell r="H670">
            <v>83510</v>
          </cell>
        </row>
        <row r="671">
          <cell r="A671" t="str">
            <v>13-2041</v>
          </cell>
          <cell r="B671" t="str">
            <v>Credit Analysts</v>
          </cell>
          <cell r="C671" t="str">
            <v>detailed</v>
          </cell>
          <cell r="D671">
            <v>64390</v>
          </cell>
          <cell r="E671">
            <v>1.3</v>
          </cell>
          <cell r="F671">
            <v>100850</v>
          </cell>
          <cell r="G671">
            <v>0.7</v>
          </cell>
          <cell r="H671">
            <v>83510</v>
          </cell>
        </row>
        <row r="672">
          <cell r="A672" t="str">
            <v>25-1080</v>
          </cell>
          <cell r="B672" t="str">
            <v>Education and Library Science Teachers, Postsecondary</v>
          </cell>
          <cell r="C672" t="str">
            <v>broad</v>
          </cell>
          <cell r="D672">
            <v>64460</v>
          </cell>
          <cell r="E672">
            <v>0.7</v>
          </cell>
          <cell r="F672">
            <v>79840</v>
          </cell>
          <cell r="G672">
            <v>0.4</v>
          </cell>
          <cell r="H672">
            <v>75640</v>
          </cell>
        </row>
        <row r="673">
          <cell r="A673" t="str">
            <v>41-9011</v>
          </cell>
          <cell r="B673" t="str">
            <v>Demonstrators and Product Promoters</v>
          </cell>
          <cell r="C673" t="str">
            <v>detailed</v>
          </cell>
          <cell r="D673">
            <v>64520</v>
          </cell>
          <cell r="E673">
            <v>3.9</v>
          </cell>
          <cell r="F673">
            <v>45580</v>
          </cell>
          <cell r="G673">
            <v>1.4</v>
          </cell>
          <cell r="H673">
            <v>39320</v>
          </cell>
        </row>
        <row r="674">
          <cell r="A674" t="str">
            <v>13-1075</v>
          </cell>
          <cell r="B674" t="str">
            <v>Labor Relations Specialists</v>
          </cell>
          <cell r="C674" t="str">
            <v>detailed</v>
          </cell>
          <cell r="D674">
            <v>64810</v>
          </cell>
          <cell r="E674">
            <v>1.4</v>
          </cell>
          <cell r="F674">
            <v>98720</v>
          </cell>
          <cell r="G674">
            <v>1</v>
          </cell>
          <cell r="H674">
            <v>95420</v>
          </cell>
        </row>
        <row r="675">
          <cell r="A675" t="str">
            <v>51-3099</v>
          </cell>
          <cell r="B675" t="str">
            <v>Food Processing Workers, All Other</v>
          </cell>
          <cell r="C675" t="str">
            <v>detailed</v>
          </cell>
          <cell r="D675">
            <v>65000</v>
          </cell>
          <cell r="E675">
            <v>2</v>
          </cell>
          <cell r="F675">
            <v>40300</v>
          </cell>
          <cell r="G675">
            <v>0.3</v>
          </cell>
          <cell r="H675">
            <v>39680</v>
          </cell>
        </row>
        <row r="676">
          <cell r="A676" t="str">
            <v>49-2094</v>
          </cell>
          <cell r="B676" t="str">
            <v>Electrical and Electronics Repairers, Commercial and Industrial Equipment</v>
          </cell>
          <cell r="C676" t="str">
            <v>detailed</v>
          </cell>
          <cell r="D676">
            <v>65010</v>
          </cell>
          <cell r="E676">
            <v>2.5</v>
          </cell>
          <cell r="F676">
            <v>75570</v>
          </cell>
          <cell r="G676">
            <v>0.7</v>
          </cell>
          <cell r="H676">
            <v>74090</v>
          </cell>
        </row>
        <row r="677">
          <cell r="A677" t="str">
            <v>17-1020</v>
          </cell>
          <cell r="B677" t="str">
            <v>Surveyors, Cartographers, and Photogrammetrists</v>
          </cell>
          <cell r="C677" t="str">
            <v>broad</v>
          </cell>
          <cell r="D677">
            <v>65090</v>
          </cell>
          <cell r="E677">
            <v>1.5</v>
          </cell>
          <cell r="F677">
            <v>81910</v>
          </cell>
          <cell r="G677">
            <v>0.6</v>
          </cell>
          <cell r="H677">
            <v>76910</v>
          </cell>
        </row>
        <row r="678">
          <cell r="A678" t="str">
            <v>49-2010</v>
          </cell>
          <cell r="B678" t="str">
            <v>Computer, Automated Teller, and Office Machine Repairers</v>
          </cell>
          <cell r="C678" t="str">
            <v>broad</v>
          </cell>
          <cell r="D678">
            <v>65600</v>
          </cell>
          <cell r="E678">
            <v>2.1</v>
          </cell>
          <cell r="F678">
            <v>50880</v>
          </cell>
          <cell r="G678">
            <v>0.6</v>
          </cell>
          <cell r="H678">
            <v>47810</v>
          </cell>
        </row>
        <row r="679">
          <cell r="A679" t="str">
            <v>49-2011</v>
          </cell>
          <cell r="B679" t="str">
            <v>Computer, Automated Teller, and Office Machine Repairers</v>
          </cell>
          <cell r="C679" t="str">
            <v>detailed</v>
          </cell>
          <cell r="D679">
            <v>65600</v>
          </cell>
          <cell r="E679">
            <v>2.1</v>
          </cell>
          <cell r="F679">
            <v>50880</v>
          </cell>
          <cell r="G679">
            <v>0.6</v>
          </cell>
          <cell r="H679">
            <v>47810</v>
          </cell>
        </row>
        <row r="680">
          <cell r="A680" t="str">
            <v>21-1091</v>
          </cell>
          <cell r="B680" t="str">
            <v>Health Education Specialists</v>
          </cell>
          <cell r="C680" t="str">
            <v>detailed</v>
          </cell>
          <cell r="D680">
            <v>65690</v>
          </cell>
          <cell r="E680">
            <v>1.7</v>
          </cell>
          <cell r="F680">
            <v>73280</v>
          </cell>
          <cell r="G680">
            <v>0.8</v>
          </cell>
          <cell r="H680">
            <v>64070</v>
          </cell>
        </row>
        <row r="681">
          <cell r="A681" t="str">
            <v>49-9062</v>
          </cell>
          <cell r="B681" t="str">
            <v>Medical Equipment Repairers</v>
          </cell>
          <cell r="C681" t="str">
            <v>detailed</v>
          </cell>
          <cell r="D681">
            <v>65990</v>
          </cell>
          <cell r="E681">
            <v>2.8</v>
          </cell>
          <cell r="F681">
            <v>65930</v>
          </cell>
          <cell r="G681">
            <v>0.9</v>
          </cell>
          <cell r="H681">
            <v>61660</v>
          </cell>
        </row>
        <row r="682">
          <cell r="A682" t="str">
            <v>47-5010</v>
          </cell>
          <cell r="B682" t="str">
            <v>Derrick, Rotary Drill, and Service Unit Operators, Oil and Gas</v>
          </cell>
          <cell r="C682" t="str">
            <v>broad</v>
          </cell>
          <cell r="D682">
            <v>66320</v>
          </cell>
          <cell r="E682">
            <v>2.9</v>
          </cell>
          <cell r="F682">
            <v>63950</v>
          </cell>
          <cell r="G682">
            <v>0.9</v>
          </cell>
          <cell r="H682">
            <v>59730</v>
          </cell>
        </row>
        <row r="683">
          <cell r="A683" t="str">
            <v>21-1013</v>
          </cell>
          <cell r="B683" t="str">
            <v>Marriage and Family Therapists</v>
          </cell>
          <cell r="C683" t="str">
            <v>detailed</v>
          </cell>
          <cell r="D683">
            <v>66740</v>
          </cell>
          <cell r="E683">
            <v>4.8</v>
          </cell>
          <cell r="F683">
            <v>76960</v>
          </cell>
          <cell r="G683">
            <v>1.5</v>
          </cell>
          <cell r="H683">
            <v>66940</v>
          </cell>
        </row>
        <row r="684">
          <cell r="A684" t="str">
            <v>51-4033</v>
          </cell>
          <cell r="B684" t="str">
            <v>Grinding, Lapping, Polishing, and Buffing Machine Tool Setters, Operators, and Tenders, Metal and Plastic</v>
          </cell>
          <cell r="C684" t="str">
            <v>detailed</v>
          </cell>
          <cell r="D684">
            <v>67000</v>
          </cell>
          <cell r="E684">
            <v>1.5</v>
          </cell>
          <cell r="F684">
            <v>48170</v>
          </cell>
          <cell r="G684">
            <v>0.3</v>
          </cell>
          <cell r="H684">
            <v>46550</v>
          </cell>
        </row>
        <row r="685">
          <cell r="A685" t="str">
            <v>15-1243</v>
          </cell>
          <cell r="B685" t="str">
            <v>Database Architects</v>
          </cell>
          <cell r="C685" t="str">
            <v>detailed</v>
          </cell>
          <cell r="D685">
            <v>67140</v>
          </cell>
          <cell r="E685">
            <v>2.9</v>
          </cell>
          <cell r="F685">
            <v>144440</v>
          </cell>
          <cell r="G685">
            <v>1</v>
          </cell>
          <cell r="H685">
            <v>139500</v>
          </cell>
        </row>
        <row r="686">
          <cell r="A686" t="str">
            <v>29-1216</v>
          </cell>
          <cell r="B686" t="str">
            <v>General Internal Medicine Physicians</v>
          </cell>
          <cell r="C686" t="str">
            <v>detailed</v>
          </cell>
          <cell r="D686">
            <v>67150</v>
          </cell>
          <cell r="E686">
            <v>4.3</v>
          </cell>
          <cell r="F686">
            <v>267200</v>
          </cell>
          <cell r="G686">
            <v>2.5</v>
          </cell>
          <cell r="H686">
            <v>256560</v>
          </cell>
        </row>
        <row r="687">
          <cell r="A687" t="str">
            <v>17-2010</v>
          </cell>
          <cell r="B687" t="str">
            <v>Aerospace Engineers</v>
          </cell>
          <cell r="C687" t="str">
            <v>broad</v>
          </cell>
          <cell r="D687">
            <v>67710</v>
          </cell>
          <cell r="E687">
            <v>2</v>
          </cell>
          <cell r="F687">
            <v>142060</v>
          </cell>
          <cell r="G687">
            <v>0.6</v>
          </cell>
          <cell r="H687">
            <v>134960</v>
          </cell>
        </row>
        <row r="688">
          <cell r="A688" t="str">
            <v>17-2011</v>
          </cell>
          <cell r="B688" t="str">
            <v>Aerospace Engineers</v>
          </cell>
          <cell r="C688" t="str">
            <v>detailed</v>
          </cell>
          <cell r="D688">
            <v>67710</v>
          </cell>
          <cell r="E688">
            <v>2</v>
          </cell>
          <cell r="F688">
            <v>142060</v>
          </cell>
          <cell r="G688">
            <v>0.6</v>
          </cell>
          <cell r="H688">
            <v>134960</v>
          </cell>
        </row>
        <row r="689">
          <cell r="A689" t="str">
            <v>13-2060</v>
          </cell>
          <cell r="B689" t="str">
            <v>Financial Examiners</v>
          </cell>
          <cell r="C689" t="str">
            <v>broad</v>
          </cell>
          <cell r="D689">
            <v>67830</v>
          </cell>
          <cell r="E689">
            <v>1.5</v>
          </cell>
          <cell r="F689">
            <v>106240</v>
          </cell>
          <cell r="G689">
            <v>0.6</v>
          </cell>
          <cell r="H689">
            <v>94160</v>
          </cell>
        </row>
        <row r="690">
          <cell r="A690" t="str">
            <v>13-2061</v>
          </cell>
          <cell r="B690" t="str">
            <v>Financial Examiners</v>
          </cell>
          <cell r="C690" t="str">
            <v>detailed</v>
          </cell>
          <cell r="D690">
            <v>67830</v>
          </cell>
          <cell r="E690">
            <v>1.5</v>
          </cell>
          <cell r="F690">
            <v>106240</v>
          </cell>
          <cell r="G690">
            <v>0.6</v>
          </cell>
          <cell r="H690">
            <v>94160</v>
          </cell>
        </row>
        <row r="691">
          <cell r="A691" t="str">
            <v>41-9010</v>
          </cell>
          <cell r="B691" t="str">
            <v>Models, Demonstrators, and Product Promoters</v>
          </cell>
          <cell r="C691" t="str">
            <v>broad</v>
          </cell>
          <cell r="D691">
            <v>68300</v>
          </cell>
          <cell r="E691">
            <v>3.8</v>
          </cell>
          <cell r="F691">
            <v>47090</v>
          </cell>
          <cell r="G691">
            <v>2.2000000000000002</v>
          </cell>
          <cell r="H691">
            <v>39570</v>
          </cell>
        </row>
        <row r="692">
          <cell r="A692" t="str">
            <v>47-2220</v>
          </cell>
          <cell r="B692" t="str">
            <v>Structural Iron and Steel Workers</v>
          </cell>
          <cell r="C692" t="str">
            <v>broad</v>
          </cell>
          <cell r="D692">
            <v>68380</v>
          </cell>
          <cell r="E692">
            <v>3.5</v>
          </cell>
          <cell r="F692">
            <v>70280</v>
          </cell>
          <cell r="G692">
            <v>1.2</v>
          </cell>
          <cell r="H692">
            <v>62780</v>
          </cell>
        </row>
        <row r="693">
          <cell r="A693" t="str">
            <v>47-2221</v>
          </cell>
          <cell r="B693" t="str">
            <v>Structural Iron and Steel Workers</v>
          </cell>
          <cell r="C693" t="str">
            <v>detailed</v>
          </cell>
          <cell r="D693">
            <v>68380</v>
          </cell>
          <cell r="E693">
            <v>3.5</v>
          </cell>
          <cell r="F693">
            <v>70280</v>
          </cell>
          <cell r="G693">
            <v>1.2</v>
          </cell>
          <cell r="H693">
            <v>62780</v>
          </cell>
        </row>
        <row r="694">
          <cell r="A694" t="str">
            <v>17-3022</v>
          </cell>
          <cell r="B694" t="str">
            <v>Civil Engineering Technologists and Technicians</v>
          </cell>
          <cell r="C694" t="str">
            <v>detailed</v>
          </cell>
          <cell r="D694">
            <v>68520</v>
          </cell>
          <cell r="E694">
            <v>2.1</v>
          </cell>
          <cell r="F694">
            <v>68990</v>
          </cell>
          <cell r="G694">
            <v>0.7</v>
          </cell>
          <cell r="H694">
            <v>64950</v>
          </cell>
        </row>
        <row r="695">
          <cell r="A695" t="str">
            <v>43-5020</v>
          </cell>
          <cell r="B695" t="str">
            <v>Couriers and Messengers</v>
          </cell>
          <cell r="C695" t="str">
            <v>broad</v>
          </cell>
          <cell r="D695">
            <v>68640</v>
          </cell>
          <cell r="E695">
            <v>3.4</v>
          </cell>
          <cell r="F695">
            <v>40970</v>
          </cell>
          <cell r="G695">
            <v>0.4</v>
          </cell>
          <cell r="H695">
            <v>39200</v>
          </cell>
        </row>
        <row r="696">
          <cell r="A696" t="str">
            <v>43-5021</v>
          </cell>
          <cell r="B696" t="str">
            <v>Couriers and Messengers</v>
          </cell>
          <cell r="C696" t="str">
            <v>detailed</v>
          </cell>
          <cell r="D696">
            <v>68640</v>
          </cell>
          <cell r="E696">
            <v>3.4</v>
          </cell>
          <cell r="F696">
            <v>40970</v>
          </cell>
          <cell r="G696">
            <v>0.4</v>
          </cell>
          <cell r="H696">
            <v>39200</v>
          </cell>
        </row>
        <row r="697">
          <cell r="A697" t="str">
            <v>25-4030</v>
          </cell>
          <cell r="B697" t="str">
            <v>Library Technicians</v>
          </cell>
          <cell r="C697" t="str">
            <v>broad</v>
          </cell>
          <cell r="D697">
            <v>68690</v>
          </cell>
          <cell r="E697">
            <v>1.3</v>
          </cell>
          <cell r="F697">
            <v>45500</v>
          </cell>
          <cell r="G697">
            <v>0.5</v>
          </cell>
          <cell r="H697">
            <v>44580</v>
          </cell>
        </row>
        <row r="698">
          <cell r="A698" t="str">
            <v>25-4031</v>
          </cell>
          <cell r="B698" t="str">
            <v>Library Technicians</v>
          </cell>
          <cell r="C698" t="str">
            <v>detailed</v>
          </cell>
          <cell r="D698">
            <v>68690</v>
          </cell>
          <cell r="E698">
            <v>1.3</v>
          </cell>
          <cell r="F698">
            <v>45500</v>
          </cell>
          <cell r="G698">
            <v>0.5</v>
          </cell>
          <cell r="H698">
            <v>44580</v>
          </cell>
        </row>
        <row r="699">
          <cell r="A699" t="str">
            <v>19-4020</v>
          </cell>
          <cell r="B699" t="str">
            <v>Biological Technicians</v>
          </cell>
          <cell r="C699" t="str">
            <v>broad</v>
          </cell>
          <cell r="D699">
            <v>69620</v>
          </cell>
          <cell r="E699">
            <v>1.7</v>
          </cell>
          <cell r="F699">
            <v>61380</v>
          </cell>
          <cell r="G699">
            <v>0.6</v>
          </cell>
          <cell r="H699">
            <v>57510</v>
          </cell>
        </row>
        <row r="700">
          <cell r="A700" t="str">
            <v>19-4021</v>
          </cell>
          <cell r="B700" t="str">
            <v>Biological Technicians</v>
          </cell>
          <cell r="C700" t="str">
            <v>detailed</v>
          </cell>
          <cell r="D700">
            <v>69620</v>
          </cell>
          <cell r="E700">
            <v>1.7</v>
          </cell>
          <cell r="F700">
            <v>61380</v>
          </cell>
          <cell r="G700">
            <v>0.6</v>
          </cell>
          <cell r="H700">
            <v>57510</v>
          </cell>
        </row>
        <row r="701">
          <cell r="A701" t="str">
            <v>51-3023</v>
          </cell>
          <cell r="B701" t="str">
            <v>Slaughterers and Meat Packers</v>
          </cell>
          <cell r="C701" t="str">
            <v>detailed</v>
          </cell>
          <cell r="D701">
            <v>69950</v>
          </cell>
          <cell r="E701">
            <v>1.8</v>
          </cell>
          <cell r="F701">
            <v>41770</v>
          </cell>
          <cell r="G701">
            <v>0.4</v>
          </cell>
          <cell r="H701">
            <v>40130</v>
          </cell>
        </row>
        <row r="702">
          <cell r="A702" t="str">
            <v>15-1242</v>
          </cell>
          <cell r="B702" t="str">
            <v>Database Administrators</v>
          </cell>
          <cell r="C702" t="str">
            <v>detailed</v>
          </cell>
          <cell r="D702">
            <v>69990</v>
          </cell>
          <cell r="E702">
            <v>1.7</v>
          </cell>
          <cell r="F702">
            <v>110090</v>
          </cell>
          <cell r="G702">
            <v>0.5</v>
          </cell>
          <cell r="H702">
            <v>104620</v>
          </cell>
        </row>
        <row r="703">
          <cell r="A703" t="str">
            <v>47-2130</v>
          </cell>
          <cell r="B703" t="str">
            <v>Insulation Workers</v>
          </cell>
          <cell r="C703" t="str">
            <v>broad</v>
          </cell>
          <cell r="D703">
            <v>70110</v>
          </cell>
          <cell r="E703">
            <v>3.2</v>
          </cell>
          <cell r="F703">
            <v>58690</v>
          </cell>
          <cell r="G703">
            <v>1.3</v>
          </cell>
          <cell r="H703">
            <v>51330</v>
          </cell>
        </row>
        <row r="704">
          <cell r="A704" t="str">
            <v>15-1254</v>
          </cell>
          <cell r="B704" t="str">
            <v>Web Developers</v>
          </cell>
          <cell r="C704" t="str">
            <v>detailed</v>
          </cell>
          <cell r="D704">
            <v>70190</v>
          </cell>
          <cell r="E704">
            <v>6.7</v>
          </cell>
          <cell r="F704">
            <v>98770</v>
          </cell>
          <cell r="G704">
            <v>1.5</v>
          </cell>
          <cell r="H704">
            <v>92650</v>
          </cell>
        </row>
        <row r="705">
          <cell r="A705" t="str">
            <v>27-4011</v>
          </cell>
          <cell r="B705" t="str">
            <v>Audio and Video Technicians</v>
          </cell>
          <cell r="C705" t="str">
            <v>detailed</v>
          </cell>
          <cell r="D705">
            <v>70230</v>
          </cell>
          <cell r="E705">
            <v>2.4</v>
          </cell>
          <cell r="F705">
            <v>64630</v>
          </cell>
          <cell r="G705">
            <v>1.1000000000000001</v>
          </cell>
          <cell r="H705">
            <v>58100</v>
          </cell>
        </row>
        <row r="706">
          <cell r="A706" t="str">
            <v>29-2057</v>
          </cell>
          <cell r="B706" t="str">
            <v>Ophthalmic Medical Technicians</v>
          </cell>
          <cell r="C706" t="str">
            <v>detailed</v>
          </cell>
          <cell r="D706">
            <v>71010</v>
          </cell>
          <cell r="E706">
            <v>4</v>
          </cell>
          <cell r="F706">
            <v>47060</v>
          </cell>
          <cell r="G706">
            <v>0.6</v>
          </cell>
          <cell r="H706">
            <v>45570</v>
          </cell>
        </row>
        <row r="707">
          <cell r="A707" t="str">
            <v>27-1025</v>
          </cell>
          <cell r="B707" t="str">
            <v>Interior Designers</v>
          </cell>
          <cell r="C707" t="str">
            <v>detailed</v>
          </cell>
          <cell r="D707">
            <v>71500</v>
          </cell>
          <cell r="E707">
            <v>2</v>
          </cell>
          <cell r="F707">
            <v>74540</v>
          </cell>
          <cell r="G707">
            <v>1.5</v>
          </cell>
          <cell r="H707">
            <v>67190</v>
          </cell>
        </row>
        <row r="708">
          <cell r="A708" t="str">
            <v>49-3050</v>
          </cell>
          <cell r="B708" t="str">
            <v>Small Engine Mechanics</v>
          </cell>
          <cell r="C708" t="str">
            <v>broad</v>
          </cell>
          <cell r="D708">
            <v>72790</v>
          </cell>
          <cell r="E708">
            <v>1.6</v>
          </cell>
          <cell r="F708">
            <v>53010</v>
          </cell>
          <cell r="G708">
            <v>0.5</v>
          </cell>
          <cell r="H708">
            <v>49710</v>
          </cell>
        </row>
        <row r="709">
          <cell r="A709" t="str">
            <v>39-5094</v>
          </cell>
          <cell r="B709" t="str">
            <v>Skincare Specialists</v>
          </cell>
          <cell r="C709" t="str">
            <v>detailed</v>
          </cell>
          <cell r="D709">
            <v>72890</v>
          </cell>
          <cell r="E709">
            <v>3.6</v>
          </cell>
          <cell r="F709">
            <v>51850</v>
          </cell>
          <cell r="G709">
            <v>1.5</v>
          </cell>
          <cell r="H709">
            <v>45330</v>
          </cell>
        </row>
        <row r="710">
          <cell r="A710" t="str">
            <v>43-4070</v>
          </cell>
          <cell r="B710" t="str">
            <v>File Clerks</v>
          </cell>
          <cell r="C710" t="str">
            <v>broad</v>
          </cell>
          <cell r="D710">
            <v>73440</v>
          </cell>
          <cell r="E710">
            <v>2.8</v>
          </cell>
          <cell r="F710">
            <v>45590</v>
          </cell>
          <cell r="G710">
            <v>0.8</v>
          </cell>
          <cell r="H710">
            <v>43600</v>
          </cell>
        </row>
        <row r="711">
          <cell r="A711" t="str">
            <v>43-4071</v>
          </cell>
          <cell r="B711" t="str">
            <v>File Clerks</v>
          </cell>
          <cell r="C711" t="str">
            <v>detailed</v>
          </cell>
          <cell r="D711">
            <v>73440</v>
          </cell>
          <cell r="E711">
            <v>2.8</v>
          </cell>
          <cell r="F711">
            <v>45590</v>
          </cell>
          <cell r="G711">
            <v>0.8</v>
          </cell>
          <cell r="H711">
            <v>43600</v>
          </cell>
        </row>
        <row r="712">
          <cell r="A712" t="str">
            <v>29-2080</v>
          </cell>
          <cell r="B712" t="str">
            <v>Opticians, Dispensing</v>
          </cell>
          <cell r="C712" t="str">
            <v>broad</v>
          </cell>
          <cell r="D712">
            <v>73530</v>
          </cell>
          <cell r="E712">
            <v>2.2000000000000002</v>
          </cell>
          <cell r="F712">
            <v>51770</v>
          </cell>
          <cell r="G712">
            <v>0.6</v>
          </cell>
          <cell r="H712">
            <v>47260</v>
          </cell>
        </row>
        <row r="713">
          <cell r="A713" t="str">
            <v>29-2081</v>
          </cell>
          <cell r="B713" t="str">
            <v>Opticians, Dispensing</v>
          </cell>
          <cell r="C713" t="str">
            <v>detailed</v>
          </cell>
          <cell r="D713">
            <v>73530</v>
          </cell>
          <cell r="E713">
            <v>2.2000000000000002</v>
          </cell>
          <cell r="F713">
            <v>51770</v>
          </cell>
          <cell r="G713">
            <v>0.6</v>
          </cell>
          <cell r="H713">
            <v>47260</v>
          </cell>
        </row>
        <row r="714">
          <cell r="A714" t="str">
            <v>11-9031</v>
          </cell>
          <cell r="B714" t="str">
            <v>Education and Childcare Administrators, Preschool and Daycare</v>
          </cell>
          <cell r="C714" t="str">
            <v>detailed</v>
          </cell>
          <cell r="D714">
            <v>73660</v>
          </cell>
          <cell r="E714">
            <v>1.8</v>
          </cell>
          <cell r="F714">
            <v>64800</v>
          </cell>
          <cell r="G714">
            <v>0.9</v>
          </cell>
          <cell r="H714">
            <v>59300</v>
          </cell>
        </row>
        <row r="715">
          <cell r="A715" t="str">
            <v>43-5051</v>
          </cell>
          <cell r="B715" t="str">
            <v>Postal Service Clerks</v>
          </cell>
          <cell r="C715" t="str">
            <v>detailed</v>
          </cell>
          <cell r="D715">
            <v>73720</v>
          </cell>
          <cell r="E715">
            <v>0</v>
          </cell>
          <cell r="F715">
            <v>61860</v>
          </cell>
          <cell r="G715">
            <v>0</v>
          </cell>
          <cell r="H715">
            <v>62130</v>
          </cell>
        </row>
        <row r="716">
          <cell r="A716" t="str">
            <v>51-4190</v>
          </cell>
          <cell r="B716" t="str">
            <v>Miscellaneous Metal Workers and Plastic Workers</v>
          </cell>
          <cell r="C716" t="str">
            <v>broad</v>
          </cell>
          <cell r="D716">
            <v>73880</v>
          </cell>
          <cell r="E716">
            <v>1.6</v>
          </cell>
          <cell r="F716">
            <v>49210</v>
          </cell>
          <cell r="G716">
            <v>0.5</v>
          </cell>
          <cell r="H716">
            <v>46640</v>
          </cell>
        </row>
        <row r="717">
          <cell r="A717" t="str">
            <v>19-4099</v>
          </cell>
          <cell r="B717" t="str">
            <v>Life, Physical, and Social Science Technicians, All Other</v>
          </cell>
          <cell r="C717" t="str">
            <v>detailed</v>
          </cell>
          <cell r="D717">
            <v>73910</v>
          </cell>
          <cell r="E717">
            <v>1.5</v>
          </cell>
          <cell r="F717">
            <v>66280</v>
          </cell>
          <cell r="G717">
            <v>0.7</v>
          </cell>
          <cell r="H717">
            <v>62280</v>
          </cell>
        </row>
        <row r="718">
          <cell r="A718" t="str">
            <v>11-2032</v>
          </cell>
          <cell r="B718" t="str">
            <v>Public Relations Managers</v>
          </cell>
          <cell r="C718" t="str">
            <v>detailed</v>
          </cell>
          <cell r="D718">
            <v>74850</v>
          </cell>
          <cell r="E718">
            <v>1.8</v>
          </cell>
          <cell r="F718">
            <v>164760</v>
          </cell>
          <cell r="G718">
            <v>0.8</v>
          </cell>
          <cell r="H718">
            <v>146910</v>
          </cell>
        </row>
        <row r="719">
          <cell r="A719" t="str">
            <v>43-4150</v>
          </cell>
          <cell r="B719" t="str">
            <v>Order Clerks</v>
          </cell>
          <cell r="C719" t="str">
            <v>broad</v>
          </cell>
          <cell r="D719">
            <v>75200</v>
          </cell>
          <cell r="E719">
            <v>3.3</v>
          </cell>
          <cell r="F719">
            <v>48220</v>
          </cell>
          <cell r="G719">
            <v>0.5</v>
          </cell>
          <cell r="H719">
            <v>46170</v>
          </cell>
        </row>
        <row r="720">
          <cell r="A720" t="str">
            <v>43-4151</v>
          </cell>
          <cell r="B720" t="str">
            <v>Order Clerks</v>
          </cell>
          <cell r="C720" t="str">
            <v>detailed</v>
          </cell>
          <cell r="D720">
            <v>75200</v>
          </cell>
          <cell r="E720">
            <v>3.3</v>
          </cell>
          <cell r="F720">
            <v>48220</v>
          </cell>
          <cell r="G720">
            <v>0.5</v>
          </cell>
          <cell r="H720">
            <v>46170</v>
          </cell>
        </row>
        <row r="721">
          <cell r="A721" t="str">
            <v>49-9010</v>
          </cell>
          <cell r="B721" t="str">
            <v>Control and Valve Installers and Repairers</v>
          </cell>
          <cell r="C721" t="str">
            <v>broad</v>
          </cell>
          <cell r="D721">
            <v>75360</v>
          </cell>
          <cell r="E721">
            <v>2.7</v>
          </cell>
          <cell r="F721">
            <v>69490</v>
          </cell>
          <cell r="G721">
            <v>0.8</v>
          </cell>
          <cell r="H721">
            <v>62760</v>
          </cell>
        </row>
        <row r="722">
          <cell r="A722" t="str">
            <v>17-3026</v>
          </cell>
          <cell r="B722" t="str">
            <v>Industrial Engineering Technologists and Technicians</v>
          </cell>
          <cell r="C722" t="str">
            <v>detailed</v>
          </cell>
          <cell r="D722">
            <v>75570</v>
          </cell>
          <cell r="E722">
            <v>1.1000000000000001</v>
          </cell>
          <cell r="F722">
            <v>70700</v>
          </cell>
          <cell r="G722">
            <v>0.4</v>
          </cell>
          <cell r="H722">
            <v>66120</v>
          </cell>
        </row>
        <row r="723">
          <cell r="A723" t="str">
            <v>19-3033</v>
          </cell>
          <cell r="B723" t="str">
            <v>Clinical and Counseling Psychologists</v>
          </cell>
          <cell r="C723" t="str">
            <v>detailed</v>
          </cell>
          <cell r="D723">
            <v>75990</v>
          </cell>
          <cell r="E723">
            <v>2.4</v>
          </cell>
          <cell r="F723">
            <v>112750</v>
          </cell>
          <cell r="G723">
            <v>1.5</v>
          </cell>
          <cell r="H723">
            <v>100580</v>
          </cell>
        </row>
        <row r="724">
          <cell r="A724" t="str">
            <v>13-2082</v>
          </cell>
          <cell r="B724" t="str">
            <v>Tax Preparers</v>
          </cell>
          <cell r="C724" t="str">
            <v>detailed</v>
          </cell>
          <cell r="D724">
            <v>76480</v>
          </cell>
          <cell r="E724">
            <v>4.3</v>
          </cell>
          <cell r="F724">
            <v>60930</v>
          </cell>
          <cell r="G724">
            <v>1.4</v>
          </cell>
          <cell r="H724">
            <v>54920</v>
          </cell>
        </row>
        <row r="725">
          <cell r="A725" t="str">
            <v>17-2060</v>
          </cell>
          <cell r="B725" t="str">
            <v>Computer Hardware Engineers</v>
          </cell>
          <cell r="C725" t="str">
            <v>broad</v>
          </cell>
          <cell r="D725">
            <v>76660</v>
          </cell>
          <cell r="E725">
            <v>1.9</v>
          </cell>
          <cell r="F725">
            <v>162670</v>
          </cell>
          <cell r="G725">
            <v>0.6</v>
          </cell>
          <cell r="H725">
            <v>161740</v>
          </cell>
        </row>
        <row r="726">
          <cell r="A726" t="str">
            <v>17-2061</v>
          </cell>
          <cell r="B726" t="str">
            <v>Computer Hardware Engineers</v>
          </cell>
          <cell r="C726" t="str">
            <v>detailed</v>
          </cell>
          <cell r="D726">
            <v>76660</v>
          </cell>
          <cell r="E726">
            <v>1.9</v>
          </cell>
          <cell r="F726">
            <v>162670</v>
          </cell>
          <cell r="G726">
            <v>0.6</v>
          </cell>
          <cell r="H726">
            <v>161740</v>
          </cell>
        </row>
        <row r="727">
          <cell r="A727" t="str">
            <v>47-2040</v>
          </cell>
          <cell r="B727" t="str">
            <v>Carpet, Floor, and Tile Installers and Finishers</v>
          </cell>
          <cell r="C727" t="str">
            <v>broad</v>
          </cell>
          <cell r="D727">
            <v>76990</v>
          </cell>
          <cell r="E727">
            <v>2.4</v>
          </cell>
          <cell r="F727">
            <v>59290</v>
          </cell>
          <cell r="G727">
            <v>1</v>
          </cell>
          <cell r="H727">
            <v>54390</v>
          </cell>
        </row>
        <row r="728">
          <cell r="A728" t="str">
            <v>51-7010</v>
          </cell>
          <cell r="B728" t="str">
            <v>Cabinetmakers and Bench Carpenters</v>
          </cell>
          <cell r="C728" t="str">
            <v>broad</v>
          </cell>
          <cell r="D728">
            <v>77170</v>
          </cell>
          <cell r="E728">
            <v>2.1</v>
          </cell>
          <cell r="F728">
            <v>48290</v>
          </cell>
          <cell r="G728">
            <v>0.5</v>
          </cell>
          <cell r="H728">
            <v>46680</v>
          </cell>
        </row>
        <row r="729">
          <cell r="A729" t="str">
            <v>51-7011</v>
          </cell>
          <cell r="B729" t="str">
            <v>Cabinetmakers and Bench Carpenters</v>
          </cell>
          <cell r="C729" t="str">
            <v>detailed</v>
          </cell>
          <cell r="D729">
            <v>77170</v>
          </cell>
          <cell r="E729">
            <v>2.1</v>
          </cell>
          <cell r="F729">
            <v>48290</v>
          </cell>
          <cell r="G729">
            <v>0.5</v>
          </cell>
          <cell r="H729">
            <v>46680</v>
          </cell>
        </row>
        <row r="730">
          <cell r="A730" t="str">
            <v>31-9093</v>
          </cell>
          <cell r="B730" t="str">
            <v>Medical Equipment Preparers</v>
          </cell>
          <cell r="C730" t="str">
            <v>detailed</v>
          </cell>
          <cell r="D730">
            <v>77420</v>
          </cell>
          <cell r="E730">
            <v>1.1000000000000001</v>
          </cell>
          <cell r="F730">
            <v>50510</v>
          </cell>
          <cell r="G730">
            <v>0.4</v>
          </cell>
          <cell r="H730">
            <v>47700</v>
          </cell>
        </row>
        <row r="731">
          <cell r="A731" t="str">
            <v>29-1030</v>
          </cell>
          <cell r="B731" t="str">
            <v>Dietitians and Nutritionists</v>
          </cell>
          <cell r="C731" t="str">
            <v>broad</v>
          </cell>
          <cell r="D731">
            <v>77570</v>
          </cell>
          <cell r="E731">
            <v>2.1</v>
          </cell>
          <cell r="F731">
            <v>77130</v>
          </cell>
          <cell r="G731">
            <v>0.4</v>
          </cell>
          <cell r="H731">
            <v>76400</v>
          </cell>
        </row>
        <row r="732">
          <cell r="A732" t="str">
            <v>29-1031</v>
          </cell>
          <cell r="B732" t="str">
            <v>Dietitians and Nutritionists</v>
          </cell>
          <cell r="C732" t="str">
            <v>detailed</v>
          </cell>
          <cell r="D732">
            <v>77570</v>
          </cell>
          <cell r="E732">
            <v>2.1</v>
          </cell>
          <cell r="F732">
            <v>77130</v>
          </cell>
          <cell r="G732">
            <v>0.4</v>
          </cell>
          <cell r="H732">
            <v>76400</v>
          </cell>
        </row>
        <row r="733">
          <cell r="A733" t="str">
            <v>39-6000</v>
          </cell>
          <cell r="B733" t="str">
            <v>Baggage Porters, Bellhops, and Concierges</v>
          </cell>
          <cell r="C733" t="str">
            <v>minor</v>
          </cell>
          <cell r="D733">
            <v>77750</v>
          </cell>
          <cell r="E733">
            <v>3.4</v>
          </cell>
          <cell r="F733">
            <v>41070</v>
          </cell>
          <cell r="G733">
            <v>1</v>
          </cell>
          <cell r="H733">
            <v>38420</v>
          </cell>
        </row>
        <row r="734">
          <cell r="A734" t="str">
            <v>39-6010</v>
          </cell>
          <cell r="B734" t="str">
            <v>Baggage Porters, Bellhops, and Concierges</v>
          </cell>
          <cell r="C734" t="str">
            <v>broad</v>
          </cell>
          <cell r="D734">
            <v>77750</v>
          </cell>
          <cell r="E734">
            <v>3.4</v>
          </cell>
          <cell r="F734">
            <v>41070</v>
          </cell>
          <cell r="G734">
            <v>1</v>
          </cell>
          <cell r="H734">
            <v>38420</v>
          </cell>
        </row>
        <row r="735">
          <cell r="A735" t="str">
            <v>25-1072</v>
          </cell>
          <cell r="B735" t="str">
            <v>Nursing Instructors and Teachers, Postsecondary</v>
          </cell>
          <cell r="C735" t="str">
            <v>detailed</v>
          </cell>
          <cell r="D735">
            <v>77960</v>
          </cell>
          <cell r="E735">
            <v>1.3</v>
          </cell>
          <cell r="F735">
            <v>86410</v>
          </cell>
          <cell r="G735">
            <v>0.4</v>
          </cell>
          <cell r="H735">
            <v>80250</v>
          </cell>
        </row>
        <row r="736">
          <cell r="A736" t="str">
            <v>33-9094</v>
          </cell>
          <cell r="B736" t="str">
            <v>School Bus Monitors</v>
          </cell>
          <cell r="C736" t="str">
            <v>detailed</v>
          </cell>
          <cell r="D736">
            <v>78420</v>
          </cell>
          <cell r="E736">
            <v>2</v>
          </cell>
          <cell r="F736">
            <v>35150</v>
          </cell>
          <cell r="G736">
            <v>0.4</v>
          </cell>
          <cell r="H736">
            <v>35100</v>
          </cell>
        </row>
        <row r="737">
          <cell r="A737" t="str">
            <v>53-5000</v>
          </cell>
          <cell r="B737" t="str">
            <v>Water Transportation Workers</v>
          </cell>
          <cell r="C737" t="str">
            <v>minor</v>
          </cell>
          <cell r="D737">
            <v>79400</v>
          </cell>
          <cell r="E737">
            <v>2.5</v>
          </cell>
          <cell r="F737">
            <v>84390</v>
          </cell>
          <cell r="G737">
            <v>1.5</v>
          </cell>
          <cell r="H737">
            <v>71860</v>
          </cell>
        </row>
        <row r="738">
          <cell r="A738" t="str">
            <v>33-1091</v>
          </cell>
          <cell r="B738" t="str">
            <v>First-Line Supervisors of Security Workers</v>
          </cell>
          <cell r="C738" t="str">
            <v>detailed</v>
          </cell>
          <cell r="D738">
            <v>81480</v>
          </cell>
          <cell r="E738">
            <v>1.3</v>
          </cell>
          <cell r="F738">
            <v>59900</v>
          </cell>
          <cell r="G738">
            <v>0.7</v>
          </cell>
          <cell r="H738">
            <v>55940</v>
          </cell>
        </row>
        <row r="739">
          <cell r="A739" t="str">
            <v>33-9099</v>
          </cell>
          <cell r="B739" t="str">
            <v>Protective Service Workers, All Other</v>
          </cell>
          <cell r="C739" t="str">
            <v>detailed</v>
          </cell>
          <cell r="D739">
            <v>81500</v>
          </cell>
          <cell r="E739">
            <v>2.5</v>
          </cell>
          <cell r="F739">
            <v>48070</v>
          </cell>
          <cell r="G739">
            <v>0.9</v>
          </cell>
          <cell r="H739">
            <v>42540</v>
          </cell>
        </row>
        <row r="740">
          <cell r="A740" t="str">
            <v>51-8090</v>
          </cell>
          <cell r="B740" t="str">
            <v>Miscellaneous Plant and System Operators</v>
          </cell>
          <cell r="C740" t="str">
            <v>broad</v>
          </cell>
          <cell r="D740">
            <v>81880</v>
          </cell>
          <cell r="E740">
            <v>1.9</v>
          </cell>
          <cell r="F740">
            <v>83760</v>
          </cell>
          <cell r="G740">
            <v>0.6</v>
          </cell>
          <cell r="H740">
            <v>83580</v>
          </cell>
        </row>
        <row r="741">
          <cell r="A741" t="str">
            <v>25-1010</v>
          </cell>
          <cell r="B741" t="str">
            <v>Business Teachers, Postsecondary</v>
          </cell>
          <cell r="C741" t="str">
            <v>broad</v>
          </cell>
          <cell r="D741">
            <v>82150</v>
          </cell>
          <cell r="E741">
            <v>0.7</v>
          </cell>
          <cell r="F741">
            <v>114720</v>
          </cell>
          <cell r="G741">
            <v>0.4</v>
          </cell>
          <cell r="H741">
            <v>99080</v>
          </cell>
        </row>
        <row r="742">
          <cell r="A742" t="str">
            <v>25-1011</v>
          </cell>
          <cell r="B742" t="str">
            <v>Business Teachers, Postsecondary</v>
          </cell>
          <cell r="C742" t="str">
            <v>detailed</v>
          </cell>
          <cell r="D742">
            <v>82150</v>
          </cell>
          <cell r="E742">
            <v>0.7</v>
          </cell>
          <cell r="F742">
            <v>114720</v>
          </cell>
          <cell r="G742">
            <v>0.4</v>
          </cell>
          <cell r="H742">
            <v>99080</v>
          </cell>
        </row>
        <row r="743">
          <cell r="A743" t="str">
            <v>19-2031</v>
          </cell>
          <cell r="B743" t="str">
            <v>Chemists</v>
          </cell>
          <cell r="C743" t="str">
            <v>detailed</v>
          </cell>
          <cell r="D743">
            <v>82770</v>
          </cell>
          <cell r="E743">
            <v>1.8</v>
          </cell>
          <cell r="F743">
            <v>100450</v>
          </cell>
          <cell r="G743">
            <v>0.7</v>
          </cell>
          <cell r="H743">
            <v>91240</v>
          </cell>
        </row>
        <row r="744">
          <cell r="A744" t="str">
            <v>47-2081</v>
          </cell>
          <cell r="B744" t="str">
            <v>Drywall and Ceiling Tile Installers</v>
          </cell>
          <cell r="C744" t="str">
            <v>detailed</v>
          </cell>
          <cell r="D744">
            <v>83080</v>
          </cell>
          <cell r="E744">
            <v>2.5</v>
          </cell>
          <cell r="F744">
            <v>63600</v>
          </cell>
          <cell r="G744">
            <v>1.1000000000000001</v>
          </cell>
          <cell r="H744">
            <v>58930</v>
          </cell>
        </row>
        <row r="745">
          <cell r="A745" t="str">
            <v>25-1020</v>
          </cell>
          <cell r="B745" t="str">
            <v>Math and Computer Science Teachers, Postsecondary</v>
          </cell>
          <cell r="C745" t="str">
            <v>broad</v>
          </cell>
          <cell r="D745">
            <v>83150</v>
          </cell>
          <cell r="E745">
            <v>0.4</v>
          </cell>
          <cell r="F745">
            <v>97040</v>
          </cell>
          <cell r="G745">
            <v>0.3</v>
          </cell>
          <cell r="H745">
            <v>83070</v>
          </cell>
        </row>
        <row r="746">
          <cell r="A746" t="str">
            <v>49-9060</v>
          </cell>
          <cell r="B746" t="str">
            <v>Precision Instrument and Equipment Repairers</v>
          </cell>
          <cell r="C746" t="str">
            <v>broad</v>
          </cell>
          <cell r="D746">
            <v>83720</v>
          </cell>
          <cell r="E746">
            <v>2.2000000000000002</v>
          </cell>
          <cell r="F746">
            <v>65370</v>
          </cell>
          <cell r="G746">
            <v>0.7</v>
          </cell>
          <cell r="H746">
            <v>61210</v>
          </cell>
        </row>
        <row r="747">
          <cell r="A747" t="str">
            <v>29-1130</v>
          </cell>
          <cell r="B747" t="str">
            <v>Veterinarians</v>
          </cell>
          <cell r="C747" t="str">
            <v>broad</v>
          </cell>
          <cell r="D747">
            <v>83900</v>
          </cell>
          <cell r="E747">
            <v>1.3</v>
          </cell>
          <cell r="F747">
            <v>142680</v>
          </cell>
          <cell r="G747">
            <v>0.9</v>
          </cell>
          <cell r="H747">
            <v>130100</v>
          </cell>
        </row>
        <row r="748">
          <cell r="A748" t="str">
            <v>29-1131</v>
          </cell>
          <cell r="B748" t="str">
            <v>Veterinarians</v>
          </cell>
          <cell r="C748" t="str">
            <v>detailed</v>
          </cell>
          <cell r="D748">
            <v>83900</v>
          </cell>
          <cell r="E748">
            <v>1.3</v>
          </cell>
          <cell r="F748">
            <v>142680</v>
          </cell>
          <cell r="G748">
            <v>0.9</v>
          </cell>
          <cell r="H748">
            <v>130100</v>
          </cell>
        </row>
        <row r="749">
          <cell r="A749" t="str">
            <v>39-3011</v>
          </cell>
          <cell r="B749" t="str">
            <v>Gambling Dealers</v>
          </cell>
          <cell r="C749" t="str">
            <v>detailed</v>
          </cell>
          <cell r="D749">
            <v>83910</v>
          </cell>
          <cell r="E749">
            <v>0.7</v>
          </cell>
          <cell r="F749">
            <v>42550</v>
          </cell>
          <cell r="G749">
            <v>0.4</v>
          </cell>
          <cell r="H749">
            <v>34320</v>
          </cell>
        </row>
        <row r="750">
          <cell r="A750" t="str">
            <v>11-3060</v>
          </cell>
          <cell r="B750" t="str">
            <v>Purchasing Managers</v>
          </cell>
          <cell r="C750" t="str">
            <v>broad</v>
          </cell>
          <cell r="D750">
            <v>84320</v>
          </cell>
          <cell r="E750">
            <v>0.8</v>
          </cell>
          <cell r="F750">
            <v>156360</v>
          </cell>
          <cell r="G750">
            <v>0.4</v>
          </cell>
          <cell r="H750">
            <v>148080</v>
          </cell>
        </row>
        <row r="751">
          <cell r="A751" t="str">
            <v>11-3061</v>
          </cell>
          <cell r="B751" t="str">
            <v>Purchasing Managers</v>
          </cell>
          <cell r="C751" t="str">
            <v>detailed</v>
          </cell>
          <cell r="D751">
            <v>84320</v>
          </cell>
          <cell r="E751">
            <v>0.8</v>
          </cell>
          <cell r="F751">
            <v>156360</v>
          </cell>
          <cell r="G751">
            <v>0.4</v>
          </cell>
          <cell r="H751">
            <v>148080</v>
          </cell>
        </row>
        <row r="752">
          <cell r="A752" t="str">
            <v>27-3090</v>
          </cell>
          <cell r="B752" t="str">
            <v>Miscellaneous Media and Communication Workers</v>
          </cell>
          <cell r="C752" t="str">
            <v>broad</v>
          </cell>
          <cell r="D752">
            <v>84520</v>
          </cell>
          <cell r="E752">
            <v>1.9</v>
          </cell>
          <cell r="F752">
            <v>72300</v>
          </cell>
          <cell r="G752">
            <v>1</v>
          </cell>
          <cell r="H752">
            <v>63490</v>
          </cell>
        </row>
        <row r="753">
          <cell r="A753" t="str">
            <v>35-9090</v>
          </cell>
          <cell r="B753" t="str">
            <v>Miscellaneous Food Preparation and Serving Related Workers</v>
          </cell>
          <cell r="C753" t="str">
            <v>broad</v>
          </cell>
          <cell r="D753">
            <v>84630</v>
          </cell>
          <cell r="E753">
            <v>4.7</v>
          </cell>
          <cell r="F753">
            <v>36810</v>
          </cell>
          <cell r="G753">
            <v>1.3</v>
          </cell>
          <cell r="H753">
            <v>35840</v>
          </cell>
        </row>
        <row r="754">
          <cell r="A754" t="str">
            <v>35-9099</v>
          </cell>
          <cell r="B754" t="str">
            <v>Food Preparation and Serving Related Workers, All Other</v>
          </cell>
          <cell r="C754" t="str">
            <v>detailed</v>
          </cell>
          <cell r="D754">
            <v>84630</v>
          </cell>
          <cell r="E754">
            <v>4.7</v>
          </cell>
          <cell r="F754">
            <v>36810</v>
          </cell>
          <cell r="G754">
            <v>1.3</v>
          </cell>
          <cell r="H754">
            <v>35840</v>
          </cell>
        </row>
        <row r="755">
          <cell r="A755" t="str">
            <v>39-9040</v>
          </cell>
          <cell r="B755" t="str">
            <v>Residential Advisors</v>
          </cell>
          <cell r="C755" t="str">
            <v>broad</v>
          </cell>
          <cell r="D755">
            <v>84760</v>
          </cell>
          <cell r="E755">
            <v>1.8</v>
          </cell>
          <cell r="F755">
            <v>43990</v>
          </cell>
          <cell r="G755">
            <v>0.6</v>
          </cell>
          <cell r="H755">
            <v>42240</v>
          </cell>
        </row>
        <row r="756">
          <cell r="A756" t="str">
            <v>39-9041</v>
          </cell>
          <cell r="B756" t="str">
            <v>Residential Advisors</v>
          </cell>
          <cell r="C756" t="str">
            <v>detailed</v>
          </cell>
          <cell r="D756">
            <v>84760</v>
          </cell>
          <cell r="E756">
            <v>1.8</v>
          </cell>
          <cell r="F756">
            <v>43990</v>
          </cell>
          <cell r="G756">
            <v>0.6</v>
          </cell>
          <cell r="H756">
            <v>42240</v>
          </cell>
        </row>
        <row r="757">
          <cell r="A757" t="str">
            <v>43-4120</v>
          </cell>
          <cell r="B757" t="str">
            <v>Library Assistants, Clerical</v>
          </cell>
          <cell r="C757" t="str">
            <v>broad</v>
          </cell>
          <cell r="D757">
            <v>85520</v>
          </cell>
          <cell r="E757">
            <v>2.1</v>
          </cell>
          <cell r="F757">
            <v>39370</v>
          </cell>
          <cell r="G757">
            <v>0.4</v>
          </cell>
          <cell r="H757">
            <v>36910</v>
          </cell>
        </row>
        <row r="758">
          <cell r="A758" t="str">
            <v>43-4121</v>
          </cell>
          <cell r="B758" t="str">
            <v>Library Assistants, Clerical</v>
          </cell>
          <cell r="C758" t="str">
            <v>detailed</v>
          </cell>
          <cell r="D758">
            <v>85520</v>
          </cell>
          <cell r="E758">
            <v>2.1</v>
          </cell>
          <cell r="F758">
            <v>39370</v>
          </cell>
          <cell r="G758">
            <v>0.4</v>
          </cell>
          <cell r="H758">
            <v>36910</v>
          </cell>
        </row>
        <row r="759">
          <cell r="A759" t="str">
            <v>49-2098</v>
          </cell>
          <cell r="B759" t="str">
            <v>Security and Fire Alarm Systems Installers</v>
          </cell>
          <cell r="C759" t="str">
            <v>detailed</v>
          </cell>
          <cell r="D759">
            <v>86340</v>
          </cell>
          <cell r="E759">
            <v>2.8</v>
          </cell>
          <cell r="F759">
            <v>60960</v>
          </cell>
          <cell r="G759">
            <v>0.8</v>
          </cell>
          <cell r="H759">
            <v>60070</v>
          </cell>
        </row>
        <row r="760">
          <cell r="A760" t="str">
            <v>19-2041</v>
          </cell>
          <cell r="B760" t="str">
            <v>Environmental Scientists and Specialists, Including Health</v>
          </cell>
          <cell r="C760" t="str">
            <v>detailed</v>
          </cell>
          <cell r="D760">
            <v>89250</v>
          </cell>
          <cell r="E760">
            <v>1.7</v>
          </cell>
          <cell r="F760">
            <v>91680</v>
          </cell>
          <cell r="G760">
            <v>0.8</v>
          </cell>
          <cell r="H760">
            <v>82220</v>
          </cell>
        </row>
        <row r="761">
          <cell r="A761" t="str">
            <v>21-1092</v>
          </cell>
          <cell r="B761" t="str">
            <v>Probation Officers and Correctional Treatment Specialists</v>
          </cell>
          <cell r="C761" t="str">
            <v>detailed</v>
          </cell>
          <cell r="D761">
            <v>89390</v>
          </cell>
          <cell r="E761">
            <v>0.3</v>
          </cell>
          <cell r="F761">
            <v>73130</v>
          </cell>
          <cell r="G761">
            <v>0.3</v>
          </cell>
          <cell r="H761">
            <v>66270</v>
          </cell>
        </row>
        <row r="762">
          <cell r="A762" t="str">
            <v>29-2032</v>
          </cell>
          <cell r="B762" t="str">
            <v>Diagnostic Medical Sonographers</v>
          </cell>
          <cell r="C762" t="str">
            <v>detailed</v>
          </cell>
          <cell r="D762">
            <v>90160</v>
          </cell>
          <cell r="E762">
            <v>1.4</v>
          </cell>
          <cell r="F762">
            <v>97240</v>
          </cell>
          <cell r="G762">
            <v>0.3</v>
          </cell>
          <cell r="H762">
            <v>96590</v>
          </cell>
        </row>
        <row r="763">
          <cell r="A763" t="str">
            <v>43-4160</v>
          </cell>
          <cell r="B763" t="str">
            <v>Human Resources Assistants, Except Payroll and Timekeeping</v>
          </cell>
          <cell r="C763" t="str">
            <v>broad</v>
          </cell>
          <cell r="D763">
            <v>90220</v>
          </cell>
          <cell r="E763">
            <v>1.4</v>
          </cell>
          <cell r="F763">
            <v>52250</v>
          </cell>
          <cell r="G763">
            <v>0.3</v>
          </cell>
          <cell r="H763">
            <v>50610</v>
          </cell>
        </row>
        <row r="764">
          <cell r="A764" t="str">
            <v>43-4161</v>
          </cell>
          <cell r="B764" t="str">
            <v>Human Resources Assistants, Except Payroll and Timekeeping</v>
          </cell>
          <cell r="C764" t="str">
            <v>detailed</v>
          </cell>
          <cell r="D764">
            <v>90220</v>
          </cell>
          <cell r="E764">
            <v>1.4</v>
          </cell>
          <cell r="F764">
            <v>52250</v>
          </cell>
          <cell r="G764">
            <v>0.3</v>
          </cell>
          <cell r="H764">
            <v>50610</v>
          </cell>
        </row>
        <row r="765">
          <cell r="A765" t="str">
            <v>19-2030</v>
          </cell>
          <cell r="B765" t="str">
            <v>Chemists and Materials Scientists</v>
          </cell>
          <cell r="C765" t="str">
            <v>broad</v>
          </cell>
          <cell r="D765">
            <v>91250</v>
          </cell>
          <cell r="E765">
            <v>1.7</v>
          </cell>
          <cell r="F765">
            <v>102840</v>
          </cell>
          <cell r="G765">
            <v>0.7</v>
          </cell>
          <cell r="H765">
            <v>95060</v>
          </cell>
        </row>
        <row r="766">
          <cell r="A766" t="str">
            <v>29-9090</v>
          </cell>
          <cell r="B766" t="str">
            <v>Miscellaneous Health Practitioners and Technical Workers</v>
          </cell>
          <cell r="C766" t="str">
            <v>broad</v>
          </cell>
          <cell r="D766">
            <v>91510</v>
          </cell>
          <cell r="E766">
            <v>1.8</v>
          </cell>
          <cell r="F766">
            <v>73520</v>
          </cell>
          <cell r="G766">
            <v>0.6</v>
          </cell>
          <cell r="H766">
            <v>64360</v>
          </cell>
        </row>
        <row r="767">
          <cell r="A767" t="str">
            <v>27-3041</v>
          </cell>
          <cell r="B767" t="str">
            <v>Editors</v>
          </cell>
          <cell r="C767" t="str">
            <v>detailed</v>
          </cell>
          <cell r="D767">
            <v>91690</v>
          </cell>
          <cell r="E767">
            <v>1.7</v>
          </cell>
          <cell r="F767">
            <v>90060</v>
          </cell>
          <cell r="G767">
            <v>1.3</v>
          </cell>
          <cell r="H767">
            <v>77920</v>
          </cell>
        </row>
        <row r="768">
          <cell r="A768" t="str">
            <v>41-3010</v>
          </cell>
          <cell r="B768" t="str">
            <v>Advertising Sales Agents</v>
          </cell>
          <cell r="C768" t="str">
            <v>broad</v>
          </cell>
          <cell r="D768">
            <v>91700</v>
          </cell>
          <cell r="E768">
            <v>2</v>
          </cell>
          <cell r="F768">
            <v>80670</v>
          </cell>
          <cell r="G768">
            <v>1.4</v>
          </cell>
          <cell r="H768">
            <v>64820</v>
          </cell>
        </row>
        <row r="769">
          <cell r="A769" t="str">
            <v>41-3011</v>
          </cell>
          <cell r="B769" t="str">
            <v>Advertising Sales Agents</v>
          </cell>
          <cell r="C769" t="str">
            <v>detailed</v>
          </cell>
          <cell r="D769">
            <v>91700</v>
          </cell>
          <cell r="E769">
            <v>2</v>
          </cell>
          <cell r="F769">
            <v>80670</v>
          </cell>
          <cell r="G769">
            <v>1.4</v>
          </cell>
          <cell r="H769">
            <v>64820</v>
          </cell>
        </row>
        <row r="770">
          <cell r="A770" t="str">
            <v>15-1251</v>
          </cell>
          <cell r="B770" t="str">
            <v>Computer Programmers</v>
          </cell>
          <cell r="C770" t="str">
            <v>detailed</v>
          </cell>
          <cell r="D770">
            <v>92230</v>
          </cell>
          <cell r="E770">
            <v>2.5</v>
          </cell>
          <cell r="F770">
            <v>105170</v>
          </cell>
          <cell r="G770">
            <v>1</v>
          </cell>
          <cell r="H770">
            <v>100390</v>
          </cell>
        </row>
        <row r="771">
          <cell r="A771" t="str">
            <v>19-4090</v>
          </cell>
          <cell r="B771" t="str">
            <v>Miscellaneous Life, Physical, and Social Science Technicians</v>
          </cell>
          <cell r="C771" t="str">
            <v>broad</v>
          </cell>
          <cell r="D771">
            <v>93030</v>
          </cell>
          <cell r="E771">
            <v>1.2</v>
          </cell>
          <cell r="F771">
            <v>68930</v>
          </cell>
          <cell r="G771">
            <v>0.7</v>
          </cell>
          <cell r="H771">
            <v>63690</v>
          </cell>
        </row>
        <row r="772">
          <cell r="A772" t="str">
            <v>41-9099</v>
          </cell>
          <cell r="B772" t="str">
            <v>Sales and Related Workers, All Other</v>
          </cell>
          <cell r="C772" t="str">
            <v>detailed</v>
          </cell>
          <cell r="D772">
            <v>93180</v>
          </cell>
          <cell r="E772">
            <v>2.8</v>
          </cell>
          <cell r="F772">
            <v>58510</v>
          </cell>
          <cell r="G772">
            <v>1.2</v>
          </cell>
          <cell r="H772">
            <v>48280</v>
          </cell>
        </row>
        <row r="773">
          <cell r="A773" t="str">
            <v>25-1121</v>
          </cell>
          <cell r="B773" t="str">
            <v>Art, Drama, and Music Teachers, Postsecondary</v>
          </cell>
          <cell r="C773" t="str">
            <v>detailed</v>
          </cell>
          <cell r="D773">
            <v>93560</v>
          </cell>
          <cell r="E773">
            <v>0.6</v>
          </cell>
          <cell r="F773">
            <v>94700</v>
          </cell>
          <cell r="G773">
            <v>0.4</v>
          </cell>
          <cell r="H773">
            <v>78620</v>
          </cell>
        </row>
        <row r="774">
          <cell r="A774" t="str">
            <v>33-9091</v>
          </cell>
          <cell r="B774" t="str">
            <v>Crossing Guards and Flaggers</v>
          </cell>
          <cell r="C774" t="str">
            <v>detailed</v>
          </cell>
          <cell r="D774">
            <v>94360</v>
          </cell>
          <cell r="E774">
            <v>2.5</v>
          </cell>
          <cell r="F774">
            <v>43350</v>
          </cell>
          <cell r="G774">
            <v>1</v>
          </cell>
          <cell r="H774">
            <v>38100</v>
          </cell>
        </row>
        <row r="775">
          <cell r="A775" t="str">
            <v>21-1015</v>
          </cell>
          <cell r="B775" t="str">
            <v>Rehabilitation Counselors</v>
          </cell>
          <cell r="C775" t="str">
            <v>detailed</v>
          </cell>
          <cell r="D775">
            <v>94740</v>
          </cell>
          <cell r="E775">
            <v>2</v>
          </cell>
          <cell r="F775">
            <v>51820</v>
          </cell>
          <cell r="G775">
            <v>0.7</v>
          </cell>
          <cell r="H775">
            <v>46850</v>
          </cell>
        </row>
        <row r="776">
          <cell r="A776" t="str">
            <v>51-9023</v>
          </cell>
          <cell r="B776" t="str">
            <v>Mixing and Blending Machine Setters, Operators, and Tenders</v>
          </cell>
          <cell r="C776" t="str">
            <v>detailed</v>
          </cell>
          <cell r="D776">
            <v>94920</v>
          </cell>
          <cell r="E776">
            <v>1.5</v>
          </cell>
          <cell r="F776">
            <v>52090</v>
          </cell>
          <cell r="G776">
            <v>0.4</v>
          </cell>
          <cell r="H776">
            <v>48990</v>
          </cell>
        </row>
        <row r="777">
          <cell r="A777" t="str">
            <v>51-4020</v>
          </cell>
          <cell r="B777" t="str">
            <v>Forming Machine Setters, Operators, and Tenders, Metal and Plastic</v>
          </cell>
          <cell r="C777" t="str">
            <v>broad</v>
          </cell>
          <cell r="D777">
            <v>95010</v>
          </cell>
          <cell r="E777">
            <v>1.9</v>
          </cell>
          <cell r="F777">
            <v>50680</v>
          </cell>
          <cell r="G777">
            <v>0.3</v>
          </cell>
          <cell r="H777">
            <v>48410</v>
          </cell>
        </row>
        <row r="778">
          <cell r="A778" t="str">
            <v>21-2000</v>
          </cell>
          <cell r="B778" t="str">
            <v>Religious Workers</v>
          </cell>
          <cell r="C778" t="str">
            <v>minor</v>
          </cell>
          <cell r="D778">
            <v>95120</v>
          </cell>
          <cell r="E778">
            <v>2</v>
          </cell>
          <cell r="F778">
            <v>63600</v>
          </cell>
          <cell r="G778">
            <v>1.1000000000000001</v>
          </cell>
          <cell r="H778">
            <v>58130</v>
          </cell>
        </row>
        <row r="779">
          <cell r="A779" t="str">
            <v>17-3023</v>
          </cell>
          <cell r="B779" t="str">
            <v>Electrical and Electronic Engineering Technologists and Technicians</v>
          </cell>
          <cell r="C779" t="str">
            <v>detailed</v>
          </cell>
          <cell r="D779">
            <v>95130</v>
          </cell>
          <cell r="E779">
            <v>1.4</v>
          </cell>
          <cell r="F779">
            <v>80680</v>
          </cell>
          <cell r="G779">
            <v>0.5</v>
          </cell>
          <cell r="H779">
            <v>78190</v>
          </cell>
        </row>
        <row r="780">
          <cell r="A780" t="str">
            <v>25-2057</v>
          </cell>
          <cell r="B780" t="str">
            <v>Special Education Teachers, Middle School</v>
          </cell>
          <cell r="C780" t="str">
            <v>detailed</v>
          </cell>
          <cell r="D780">
            <v>95200</v>
          </cell>
          <cell r="E780">
            <v>2.2000000000000002</v>
          </cell>
          <cell r="F780">
            <v>73780</v>
          </cell>
          <cell r="G780">
            <v>0.7</v>
          </cell>
          <cell r="H780">
            <v>66810</v>
          </cell>
        </row>
        <row r="781">
          <cell r="A781" t="str">
            <v>23-2090</v>
          </cell>
          <cell r="B781" t="str">
            <v>Miscellaneous Legal Support Workers</v>
          </cell>
          <cell r="C781" t="str">
            <v>broad</v>
          </cell>
          <cell r="D781">
            <v>95340</v>
          </cell>
          <cell r="E781">
            <v>1.9</v>
          </cell>
          <cell r="F781">
            <v>75740</v>
          </cell>
          <cell r="G781">
            <v>1</v>
          </cell>
          <cell r="H781">
            <v>62710</v>
          </cell>
        </row>
        <row r="782">
          <cell r="A782" t="str">
            <v>49-9098</v>
          </cell>
          <cell r="B782" t="str">
            <v>Helpers--Installation, Maintenance, and Repair Workers</v>
          </cell>
          <cell r="C782" t="str">
            <v>detailed</v>
          </cell>
          <cell r="D782">
            <v>95580</v>
          </cell>
          <cell r="E782">
            <v>2.2999999999999998</v>
          </cell>
          <cell r="F782">
            <v>41490</v>
          </cell>
          <cell r="G782">
            <v>0.5</v>
          </cell>
          <cell r="H782">
            <v>39630</v>
          </cell>
        </row>
        <row r="783">
          <cell r="A783" t="str">
            <v>27-1010</v>
          </cell>
          <cell r="B783" t="str">
            <v>Artists and Related Workers</v>
          </cell>
          <cell r="C783" t="str">
            <v>broad</v>
          </cell>
          <cell r="D783">
            <v>95780</v>
          </cell>
          <cell r="E783">
            <v>3</v>
          </cell>
          <cell r="F783">
            <v>112040</v>
          </cell>
          <cell r="G783">
            <v>1.3</v>
          </cell>
          <cell r="H783">
            <v>99760</v>
          </cell>
        </row>
        <row r="784">
          <cell r="A784" t="str">
            <v>47-2080</v>
          </cell>
          <cell r="B784" t="str">
            <v>Drywall Installers, Ceiling Tile Installers, and Tapers</v>
          </cell>
          <cell r="C784" t="str">
            <v>broad</v>
          </cell>
          <cell r="D784">
            <v>95920</v>
          </cell>
          <cell r="E784">
            <v>2.6</v>
          </cell>
          <cell r="F784">
            <v>64820</v>
          </cell>
          <cell r="G784">
            <v>1</v>
          </cell>
          <cell r="H784">
            <v>59780</v>
          </cell>
        </row>
        <row r="785">
          <cell r="A785" t="str">
            <v>41-9090</v>
          </cell>
          <cell r="B785" t="str">
            <v>Miscellaneous Sales and Related Workers</v>
          </cell>
          <cell r="C785" t="str">
            <v>broad</v>
          </cell>
          <cell r="D785">
            <v>95940</v>
          </cell>
          <cell r="E785">
            <v>2.7</v>
          </cell>
          <cell r="F785">
            <v>58080</v>
          </cell>
          <cell r="G785">
            <v>1.2</v>
          </cell>
          <cell r="H785">
            <v>47950</v>
          </cell>
        </row>
        <row r="786">
          <cell r="A786" t="str">
            <v>51-9196</v>
          </cell>
          <cell r="B786" t="str">
            <v>Paper Goods Machine Setters, Operators, and Tenders</v>
          </cell>
          <cell r="C786" t="str">
            <v>detailed</v>
          </cell>
          <cell r="D786">
            <v>96130</v>
          </cell>
          <cell r="E786">
            <v>1.4</v>
          </cell>
          <cell r="F786">
            <v>52840</v>
          </cell>
          <cell r="G786">
            <v>0.4</v>
          </cell>
          <cell r="H786">
            <v>50270</v>
          </cell>
        </row>
        <row r="787">
          <cell r="A787" t="str">
            <v>17-2072</v>
          </cell>
          <cell r="B787" t="str">
            <v>Electronics Engineers, Except Computer</v>
          </cell>
          <cell r="C787" t="str">
            <v>detailed</v>
          </cell>
          <cell r="D787">
            <v>96900</v>
          </cell>
          <cell r="E787">
            <v>2</v>
          </cell>
          <cell r="F787">
            <v>137280</v>
          </cell>
          <cell r="G787">
            <v>0.7</v>
          </cell>
          <cell r="H787">
            <v>130220</v>
          </cell>
        </row>
        <row r="788">
          <cell r="A788" t="str">
            <v>43-5010</v>
          </cell>
          <cell r="B788" t="str">
            <v>Cargo and Freight Agents</v>
          </cell>
          <cell r="C788" t="str">
            <v>broad</v>
          </cell>
          <cell r="D788">
            <v>97670</v>
          </cell>
          <cell r="E788">
            <v>2.5</v>
          </cell>
          <cell r="F788">
            <v>57230</v>
          </cell>
          <cell r="G788">
            <v>1</v>
          </cell>
          <cell r="H788">
            <v>52260</v>
          </cell>
        </row>
        <row r="789">
          <cell r="A789" t="str">
            <v>43-5011</v>
          </cell>
          <cell r="B789" t="str">
            <v>Cargo and Freight Agents</v>
          </cell>
          <cell r="C789" t="str">
            <v>detailed</v>
          </cell>
          <cell r="D789">
            <v>97670</v>
          </cell>
          <cell r="E789">
            <v>2.5</v>
          </cell>
          <cell r="F789">
            <v>57230</v>
          </cell>
          <cell r="G789">
            <v>1</v>
          </cell>
          <cell r="H789">
            <v>52260</v>
          </cell>
        </row>
        <row r="790">
          <cell r="A790" t="str">
            <v>49-9052</v>
          </cell>
          <cell r="B790" t="str">
            <v>Telecommunications Line Installers and Repairers</v>
          </cell>
          <cell r="C790" t="str">
            <v>detailed</v>
          </cell>
          <cell r="D790">
            <v>97720</v>
          </cell>
          <cell r="E790">
            <v>2.2999999999999998</v>
          </cell>
          <cell r="F790">
            <v>73940</v>
          </cell>
          <cell r="G790">
            <v>0.7</v>
          </cell>
          <cell r="H790">
            <v>74330</v>
          </cell>
        </row>
        <row r="791">
          <cell r="A791" t="str">
            <v>31-9010</v>
          </cell>
          <cell r="B791" t="str">
            <v>Massage Therapists</v>
          </cell>
          <cell r="C791" t="str">
            <v>broad</v>
          </cell>
          <cell r="D791">
            <v>98790</v>
          </cell>
          <cell r="E791">
            <v>2.6</v>
          </cell>
          <cell r="F791">
            <v>63830</v>
          </cell>
          <cell r="G791">
            <v>1.3</v>
          </cell>
          <cell r="H791">
            <v>58450</v>
          </cell>
        </row>
        <row r="792">
          <cell r="A792" t="str">
            <v>31-9011</v>
          </cell>
          <cell r="B792" t="str">
            <v>Massage Therapists</v>
          </cell>
          <cell r="C792" t="str">
            <v>detailed</v>
          </cell>
          <cell r="D792">
            <v>98790</v>
          </cell>
          <cell r="E792">
            <v>2.6</v>
          </cell>
          <cell r="F792">
            <v>63830</v>
          </cell>
          <cell r="G792">
            <v>1.3</v>
          </cell>
          <cell r="H792">
            <v>58450</v>
          </cell>
        </row>
        <row r="793">
          <cell r="A793" t="str">
            <v>33-1020</v>
          </cell>
          <cell r="B793" t="str">
            <v>First-Line Supervisors of Firefighting and Prevention Workers</v>
          </cell>
          <cell r="C793" t="str">
            <v>broad</v>
          </cell>
          <cell r="D793">
            <v>99140</v>
          </cell>
          <cell r="E793">
            <v>1.1000000000000001</v>
          </cell>
          <cell r="F793">
            <v>96930</v>
          </cell>
          <cell r="G793">
            <v>0.5</v>
          </cell>
          <cell r="H793">
            <v>93530</v>
          </cell>
        </row>
        <row r="794">
          <cell r="A794" t="str">
            <v>33-1021</v>
          </cell>
          <cell r="B794" t="str">
            <v>First-Line Supervisors of Firefighting and Prevention Workers</v>
          </cell>
          <cell r="C794" t="str">
            <v>detailed</v>
          </cell>
          <cell r="D794">
            <v>99140</v>
          </cell>
          <cell r="E794">
            <v>1.1000000000000001</v>
          </cell>
          <cell r="F794">
            <v>96930</v>
          </cell>
          <cell r="G794">
            <v>0.5</v>
          </cell>
          <cell r="H794">
            <v>93530</v>
          </cell>
        </row>
        <row r="795">
          <cell r="A795" t="str">
            <v>29-2043</v>
          </cell>
          <cell r="B795" t="str">
            <v>Paramedics</v>
          </cell>
          <cell r="C795" t="str">
            <v>detailed</v>
          </cell>
          <cell r="D795">
            <v>100610</v>
          </cell>
          <cell r="E795">
            <v>1.2</v>
          </cell>
          <cell r="F795">
            <v>63360</v>
          </cell>
          <cell r="G795">
            <v>0.3</v>
          </cell>
          <cell r="H795">
            <v>60600</v>
          </cell>
        </row>
        <row r="796">
          <cell r="A796" t="str">
            <v>53-6031</v>
          </cell>
          <cell r="B796" t="str">
            <v>Automotive and Watercraft Service Attendants</v>
          </cell>
          <cell r="C796" t="str">
            <v>detailed</v>
          </cell>
          <cell r="D796">
            <v>102010</v>
          </cell>
          <cell r="E796">
            <v>1.8</v>
          </cell>
          <cell r="F796">
            <v>36780</v>
          </cell>
          <cell r="G796">
            <v>0.5</v>
          </cell>
          <cell r="H796">
            <v>35670</v>
          </cell>
        </row>
        <row r="797">
          <cell r="A797" t="str">
            <v>33-1090</v>
          </cell>
          <cell r="B797" t="str">
            <v>Miscellaneous First-Line Supervisors, Protective Service Workers</v>
          </cell>
          <cell r="C797" t="str">
            <v>broad</v>
          </cell>
          <cell r="D797">
            <v>102170</v>
          </cell>
          <cell r="E797">
            <v>1.1000000000000001</v>
          </cell>
          <cell r="F797">
            <v>62830</v>
          </cell>
          <cell r="G797">
            <v>0.6</v>
          </cell>
          <cell r="H797">
            <v>58230</v>
          </cell>
        </row>
        <row r="798">
          <cell r="A798" t="str">
            <v>51-7040</v>
          </cell>
          <cell r="B798" t="str">
            <v>Woodworking Machine Setters, Operators, and Tenders</v>
          </cell>
          <cell r="C798" t="str">
            <v>broad</v>
          </cell>
          <cell r="D798">
            <v>102270</v>
          </cell>
          <cell r="E798">
            <v>1.3</v>
          </cell>
          <cell r="F798">
            <v>43570</v>
          </cell>
          <cell r="G798">
            <v>0.3</v>
          </cell>
          <cell r="H798">
            <v>43100</v>
          </cell>
        </row>
        <row r="799">
          <cell r="A799" t="str">
            <v>43-5031</v>
          </cell>
          <cell r="B799" t="str">
            <v>Public Safety Telecommunicators</v>
          </cell>
          <cell r="C799" t="str">
            <v>detailed</v>
          </cell>
          <cell r="D799">
            <v>102500</v>
          </cell>
          <cell r="E799">
            <v>1.2</v>
          </cell>
          <cell r="F799">
            <v>56740</v>
          </cell>
          <cell r="G799">
            <v>0.3</v>
          </cell>
          <cell r="H799">
            <v>53040</v>
          </cell>
        </row>
        <row r="800">
          <cell r="A800" t="str">
            <v>37-2020</v>
          </cell>
          <cell r="B800" t="str">
            <v>Pest Control Workers</v>
          </cell>
          <cell r="C800" t="str">
            <v>broad</v>
          </cell>
          <cell r="D800">
            <v>102620</v>
          </cell>
          <cell r="E800">
            <v>2</v>
          </cell>
          <cell r="F800">
            <v>46400</v>
          </cell>
          <cell r="G800">
            <v>0.6</v>
          </cell>
          <cell r="H800">
            <v>45250</v>
          </cell>
        </row>
        <row r="801">
          <cell r="A801" t="str">
            <v>37-2021</v>
          </cell>
          <cell r="B801" t="str">
            <v>Pest Control Workers</v>
          </cell>
          <cell r="C801" t="str">
            <v>detailed</v>
          </cell>
          <cell r="D801">
            <v>102620</v>
          </cell>
          <cell r="E801">
            <v>2</v>
          </cell>
          <cell r="F801">
            <v>46400</v>
          </cell>
          <cell r="G801">
            <v>0.6</v>
          </cell>
          <cell r="H801">
            <v>45250</v>
          </cell>
        </row>
        <row r="802">
          <cell r="A802" t="str">
            <v>39-1014</v>
          </cell>
          <cell r="B802" t="str">
            <v>First-Line Supervisors of Entertainment and Recreation Workers, Except Gambling Services</v>
          </cell>
          <cell r="C802" t="str">
            <v>detailed</v>
          </cell>
          <cell r="D802">
            <v>103190</v>
          </cell>
          <cell r="E802">
            <v>1</v>
          </cell>
          <cell r="F802">
            <v>53550</v>
          </cell>
          <cell r="G802">
            <v>0.6</v>
          </cell>
          <cell r="H802">
            <v>48560</v>
          </cell>
        </row>
        <row r="803">
          <cell r="A803" t="str">
            <v>53-2011</v>
          </cell>
          <cell r="B803" t="str">
            <v>Airline Pilots, Copilots, and Flight Engineers</v>
          </cell>
          <cell r="C803" t="str">
            <v>detailed</v>
          </cell>
          <cell r="D803">
            <v>103560</v>
          </cell>
          <cell r="E803">
            <v>1.1000000000000001</v>
          </cell>
          <cell r="F803">
            <v>288650</v>
          </cell>
          <cell r="G803">
            <v>2.7</v>
          </cell>
          <cell r="H803">
            <v>232140</v>
          </cell>
        </row>
        <row r="804">
          <cell r="A804" t="str">
            <v>17-3011</v>
          </cell>
          <cell r="B804" t="str">
            <v>Architectural and Civil Drafters</v>
          </cell>
          <cell r="C804" t="str">
            <v>detailed</v>
          </cell>
          <cell r="D804">
            <v>103700</v>
          </cell>
          <cell r="E804">
            <v>2.2999999999999998</v>
          </cell>
          <cell r="F804">
            <v>70740</v>
          </cell>
          <cell r="G804">
            <v>0.6</v>
          </cell>
          <cell r="H804">
            <v>66150</v>
          </cell>
        </row>
        <row r="805">
          <cell r="A805" t="str">
            <v>51-6030</v>
          </cell>
          <cell r="B805" t="str">
            <v>Sewing Machine Operators</v>
          </cell>
          <cell r="C805" t="str">
            <v>broad</v>
          </cell>
          <cell r="D805">
            <v>104880</v>
          </cell>
          <cell r="E805">
            <v>1.6</v>
          </cell>
          <cell r="F805">
            <v>37600</v>
          </cell>
          <cell r="G805">
            <v>0.4</v>
          </cell>
          <cell r="H805">
            <v>36670</v>
          </cell>
        </row>
        <row r="806">
          <cell r="A806" t="str">
            <v>51-6031</v>
          </cell>
          <cell r="B806" t="str">
            <v>Sewing Machine Operators</v>
          </cell>
          <cell r="C806" t="str">
            <v>detailed</v>
          </cell>
          <cell r="D806">
            <v>104880</v>
          </cell>
          <cell r="E806">
            <v>1.6</v>
          </cell>
          <cell r="F806">
            <v>37600</v>
          </cell>
          <cell r="G806">
            <v>0.4</v>
          </cell>
          <cell r="H806">
            <v>36670</v>
          </cell>
        </row>
        <row r="807">
          <cell r="A807" t="str">
            <v>43-5053</v>
          </cell>
          <cell r="B807" t="str">
            <v>Postal Service Mail Sorters, Processors, and Processing Machine Operators</v>
          </cell>
          <cell r="C807" t="str">
            <v>detailed</v>
          </cell>
          <cell r="D807">
            <v>105200</v>
          </cell>
          <cell r="E807">
            <v>0</v>
          </cell>
          <cell r="F807">
            <v>59430</v>
          </cell>
          <cell r="G807">
            <v>0</v>
          </cell>
          <cell r="H807">
            <v>58470</v>
          </cell>
        </row>
        <row r="808">
          <cell r="A808" t="str">
            <v>13-2053</v>
          </cell>
          <cell r="B808" t="str">
            <v>Insurance Underwriters</v>
          </cell>
          <cell r="C808" t="str">
            <v>detailed</v>
          </cell>
          <cell r="D808">
            <v>105420</v>
          </cell>
          <cell r="E808">
            <v>2</v>
          </cell>
          <cell r="F808">
            <v>93700</v>
          </cell>
          <cell r="G808">
            <v>0.7</v>
          </cell>
          <cell r="H808">
            <v>81370</v>
          </cell>
        </row>
        <row r="809">
          <cell r="A809" t="str">
            <v>17-1011</v>
          </cell>
          <cell r="B809" t="str">
            <v>Architects, Except Landscape and Naval</v>
          </cell>
          <cell r="C809" t="str">
            <v>detailed</v>
          </cell>
          <cell r="D809">
            <v>106770</v>
          </cell>
          <cell r="E809">
            <v>2</v>
          </cell>
          <cell r="F809">
            <v>106260</v>
          </cell>
          <cell r="G809">
            <v>0.8</v>
          </cell>
          <cell r="H809">
            <v>99280</v>
          </cell>
        </row>
        <row r="810">
          <cell r="A810" t="str">
            <v>39-3010</v>
          </cell>
          <cell r="B810" t="str">
            <v>Gambling Services Workers</v>
          </cell>
          <cell r="C810" t="str">
            <v>broad</v>
          </cell>
          <cell r="D810">
            <v>107000</v>
          </cell>
          <cell r="E810">
            <v>0.8</v>
          </cell>
          <cell r="F810">
            <v>41880</v>
          </cell>
          <cell r="G810">
            <v>0.5</v>
          </cell>
          <cell r="H810">
            <v>34320</v>
          </cell>
        </row>
        <row r="811">
          <cell r="A811" t="str">
            <v>29-1215</v>
          </cell>
          <cell r="B811" t="str">
            <v>Family Medicine Physicians</v>
          </cell>
          <cell r="C811" t="str">
            <v>detailed</v>
          </cell>
          <cell r="D811">
            <v>107510</v>
          </cell>
          <cell r="E811">
            <v>5.0999999999999996</v>
          </cell>
          <cell r="F811">
            <v>255820</v>
          </cell>
          <cell r="G811">
            <v>2.4</v>
          </cell>
          <cell r="H811">
            <v>244180</v>
          </cell>
        </row>
        <row r="812">
          <cell r="A812" t="str">
            <v>53-4000</v>
          </cell>
          <cell r="B812" t="str">
            <v>Rail Transportation Workers</v>
          </cell>
          <cell r="C812" t="str">
            <v>minor</v>
          </cell>
          <cell r="D812">
            <v>107550</v>
          </cell>
          <cell r="E812">
            <v>0.6</v>
          </cell>
          <cell r="F812">
            <v>79290</v>
          </cell>
          <cell r="G812">
            <v>0.4</v>
          </cell>
          <cell r="H812">
            <v>78820</v>
          </cell>
        </row>
        <row r="813">
          <cell r="A813" t="str">
            <v>21-1099</v>
          </cell>
          <cell r="B813" t="str">
            <v>Community and Social Service Specialists, All Other</v>
          </cell>
          <cell r="C813" t="str">
            <v>detailed</v>
          </cell>
          <cell r="D813">
            <v>107730</v>
          </cell>
          <cell r="E813">
            <v>1.4</v>
          </cell>
          <cell r="F813">
            <v>59590</v>
          </cell>
          <cell r="G813">
            <v>0.6</v>
          </cell>
          <cell r="H813">
            <v>56730</v>
          </cell>
        </row>
        <row r="814">
          <cell r="A814" t="str">
            <v>49-3093</v>
          </cell>
          <cell r="B814" t="str">
            <v>Tire Repairers and Changers</v>
          </cell>
          <cell r="C814" t="str">
            <v>detailed</v>
          </cell>
          <cell r="D814">
            <v>108410</v>
          </cell>
          <cell r="E814">
            <v>1.5</v>
          </cell>
          <cell r="F814">
            <v>40170</v>
          </cell>
          <cell r="G814">
            <v>0.4</v>
          </cell>
          <cell r="H814">
            <v>37710</v>
          </cell>
        </row>
        <row r="815">
          <cell r="A815" t="str">
            <v>15-2030</v>
          </cell>
          <cell r="B815" t="str">
            <v>Operations Research Analysts</v>
          </cell>
          <cell r="C815" t="str">
            <v>broad</v>
          </cell>
          <cell r="D815">
            <v>108510</v>
          </cell>
          <cell r="E815">
            <v>1.4</v>
          </cell>
          <cell r="F815">
            <v>99730</v>
          </cell>
          <cell r="G815">
            <v>0.6</v>
          </cell>
          <cell r="H815">
            <v>88940</v>
          </cell>
        </row>
        <row r="816">
          <cell r="A816" t="str">
            <v>15-2031</v>
          </cell>
          <cell r="B816" t="str">
            <v>Operations Research Analysts</v>
          </cell>
          <cell r="C816" t="str">
            <v>detailed</v>
          </cell>
          <cell r="D816">
            <v>108510</v>
          </cell>
          <cell r="E816">
            <v>1.4</v>
          </cell>
          <cell r="F816">
            <v>99730</v>
          </cell>
          <cell r="G816">
            <v>0.6</v>
          </cell>
          <cell r="H816">
            <v>88940</v>
          </cell>
        </row>
        <row r="817">
          <cell r="A817" t="str">
            <v>11-9120</v>
          </cell>
          <cell r="B817" t="str">
            <v>Natural Sciences Managers</v>
          </cell>
          <cell r="C817" t="str">
            <v>broad</v>
          </cell>
          <cell r="D817">
            <v>108690</v>
          </cell>
          <cell r="E817">
            <v>1.2</v>
          </cell>
          <cell r="F817">
            <v>180250</v>
          </cell>
          <cell r="G817">
            <v>0.6</v>
          </cell>
          <cell r="H817">
            <v>167220</v>
          </cell>
        </row>
        <row r="818">
          <cell r="A818" t="str">
            <v>11-9121</v>
          </cell>
          <cell r="B818" t="str">
            <v>Natural Sciences Managers</v>
          </cell>
          <cell r="C818" t="str">
            <v>detailed</v>
          </cell>
          <cell r="D818">
            <v>108690</v>
          </cell>
          <cell r="E818">
            <v>1.2</v>
          </cell>
          <cell r="F818">
            <v>180250</v>
          </cell>
          <cell r="G818">
            <v>0.6</v>
          </cell>
          <cell r="H818">
            <v>167220</v>
          </cell>
        </row>
        <row r="819">
          <cell r="A819" t="str">
            <v>25-2012</v>
          </cell>
          <cell r="B819" t="str">
            <v>Kindergarten Teachers, Except Special Education</v>
          </cell>
          <cell r="C819" t="str">
            <v>detailed</v>
          </cell>
          <cell r="D819">
            <v>108870</v>
          </cell>
          <cell r="E819">
            <v>1.5</v>
          </cell>
          <cell r="F819">
            <v>69370</v>
          </cell>
          <cell r="G819">
            <v>0.6</v>
          </cell>
          <cell r="H819">
            <v>62680</v>
          </cell>
        </row>
        <row r="820">
          <cell r="A820" t="str">
            <v>31-9099</v>
          </cell>
          <cell r="B820" t="str">
            <v>Healthcare Support Workers, All Other</v>
          </cell>
          <cell r="C820" t="str">
            <v>detailed</v>
          </cell>
          <cell r="D820">
            <v>109740</v>
          </cell>
          <cell r="E820">
            <v>1.4</v>
          </cell>
          <cell r="F820">
            <v>50810</v>
          </cell>
          <cell r="G820">
            <v>0.4</v>
          </cell>
          <cell r="H820">
            <v>48430</v>
          </cell>
        </row>
        <row r="821">
          <cell r="A821" t="str">
            <v>13-1130</v>
          </cell>
          <cell r="B821" t="str">
            <v>Fundraisers</v>
          </cell>
          <cell r="C821" t="str">
            <v>broad</v>
          </cell>
          <cell r="D821">
            <v>111040</v>
          </cell>
          <cell r="E821">
            <v>1.2</v>
          </cell>
          <cell r="F821">
            <v>77200</v>
          </cell>
          <cell r="G821">
            <v>0.5</v>
          </cell>
          <cell r="H821">
            <v>72550</v>
          </cell>
        </row>
        <row r="822">
          <cell r="A822" t="str">
            <v>13-1131</v>
          </cell>
          <cell r="B822" t="str">
            <v>Fundraisers</v>
          </cell>
          <cell r="C822" t="str">
            <v>detailed</v>
          </cell>
          <cell r="D822">
            <v>111040</v>
          </cell>
          <cell r="E822">
            <v>1.2</v>
          </cell>
          <cell r="F822">
            <v>77200</v>
          </cell>
          <cell r="G822">
            <v>0.5</v>
          </cell>
          <cell r="H822">
            <v>72550</v>
          </cell>
        </row>
        <row r="823">
          <cell r="A823" t="str">
            <v>25-2032</v>
          </cell>
          <cell r="B823" t="str">
            <v>Career/Technical Education Teachers, Secondary School</v>
          </cell>
          <cell r="C823" t="str">
            <v>detailed</v>
          </cell>
          <cell r="D823">
            <v>111420</v>
          </cell>
          <cell r="E823">
            <v>1.9</v>
          </cell>
          <cell r="F823">
            <v>72680</v>
          </cell>
          <cell r="G823">
            <v>0.5</v>
          </cell>
          <cell r="H823">
            <v>66270</v>
          </cell>
        </row>
        <row r="824">
          <cell r="A824" t="str">
            <v>13-1140</v>
          </cell>
          <cell r="B824" t="str">
            <v>Compensation, Benefits, and Job Analysis Specialists</v>
          </cell>
          <cell r="C824" t="str">
            <v>broad</v>
          </cell>
          <cell r="D824">
            <v>112380</v>
          </cell>
          <cell r="E824">
            <v>1.6</v>
          </cell>
          <cell r="F824">
            <v>84330</v>
          </cell>
          <cell r="G824">
            <v>0.9</v>
          </cell>
          <cell r="H824">
            <v>78210</v>
          </cell>
        </row>
        <row r="825">
          <cell r="A825" t="str">
            <v>13-1141</v>
          </cell>
          <cell r="B825" t="str">
            <v>Compensation, Benefits, and Job Analysis Specialists</v>
          </cell>
          <cell r="C825" t="str">
            <v>detailed</v>
          </cell>
          <cell r="D825">
            <v>112380</v>
          </cell>
          <cell r="E825">
            <v>1.6</v>
          </cell>
          <cell r="F825">
            <v>84330</v>
          </cell>
          <cell r="G825">
            <v>0.9</v>
          </cell>
          <cell r="H825">
            <v>78210</v>
          </cell>
        </row>
        <row r="826">
          <cell r="A826" t="str">
            <v>31-2021</v>
          </cell>
          <cell r="B826" t="str">
            <v>Physical Therapist Assistants</v>
          </cell>
          <cell r="C826" t="str">
            <v>detailed</v>
          </cell>
          <cell r="D826">
            <v>112430</v>
          </cell>
          <cell r="E826">
            <v>1.4</v>
          </cell>
          <cell r="F826">
            <v>68730</v>
          </cell>
          <cell r="G826">
            <v>0.4</v>
          </cell>
          <cell r="H826">
            <v>68380</v>
          </cell>
        </row>
        <row r="827">
          <cell r="A827" t="str">
            <v>27-4010</v>
          </cell>
          <cell r="B827" t="str">
            <v>Broadcast, Sound, and Lighting Technicians</v>
          </cell>
          <cell r="C827" t="str">
            <v>broad</v>
          </cell>
          <cell r="D827">
            <v>113320</v>
          </cell>
          <cell r="E827">
            <v>2</v>
          </cell>
          <cell r="F827">
            <v>68260</v>
          </cell>
          <cell r="G827">
            <v>1.1000000000000001</v>
          </cell>
          <cell r="H827">
            <v>60150</v>
          </cell>
        </row>
        <row r="828">
          <cell r="A828" t="str">
            <v>15-1255</v>
          </cell>
          <cell r="B828" t="str">
            <v>Web and Digital Interface Designers</v>
          </cell>
          <cell r="C828" t="str">
            <v>detailed</v>
          </cell>
          <cell r="D828">
            <v>113330</v>
          </cell>
          <cell r="E828">
            <v>1.6</v>
          </cell>
          <cell r="F828">
            <v>117490</v>
          </cell>
          <cell r="G828">
            <v>0.8</v>
          </cell>
          <cell r="H828">
            <v>104000</v>
          </cell>
        </row>
        <row r="829">
          <cell r="A829" t="str">
            <v>11-2030</v>
          </cell>
          <cell r="B829" t="str">
            <v>Public Relations and Fundraising Managers</v>
          </cell>
          <cell r="C829" t="str">
            <v>broad</v>
          </cell>
          <cell r="D829">
            <v>113670</v>
          </cell>
          <cell r="E829">
            <v>1.2</v>
          </cell>
          <cell r="F829">
            <v>156310</v>
          </cell>
          <cell r="G829">
            <v>0.8</v>
          </cell>
          <cell r="H829">
            <v>136470</v>
          </cell>
        </row>
        <row r="830">
          <cell r="A830" t="str">
            <v>25-3090</v>
          </cell>
          <cell r="B830" t="str">
            <v>Miscellaneous Teachers and Instructors</v>
          </cell>
          <cell r="C830" t="str">
            <v>broad</v>
          </cell>
          <cell r="D830">
            <v>113790</v>
          </cell>
          <cell r="E830">
            <v>2.8</v>
          </cell>
          <cell r="F830">
            <v>73880</v>
          </cell>
          <cell r="G830">
            <v>1.1000000000000001</v>
          </cell>
          <cell r="H830">
            <v>66140</v>
          </cell>
        </row>
        <row r="831">
          <cell r="A831" t="str">
            <v>25-3099</v>
          </cell>
          <cell r="B831" t="str">
            <v>Teachers and Instructors, All Other</v>
          </cell>
          <cell r="C831" t="str">
            <v>detailed</v>
          </cell>
          <cell r="D831">
            <v>113790</v>
          </cell>
          <cell r="E831">
            <v>2.8</v>
          </cell>
          <cell r="F831">
            <v>73880</v>
          </cell>
          <cell r="G831">
            <v>1.1000000000000001</v>
          </cell>
          <cell r="H831">
            <v>66140</v>
          </cell>
        </row>
        <row r="832">
          <cell r="A832" t="str">
            <v>25-1194</v>
          </cell>
          <cell r="B832" t="str">
            <v>Career/Technical Education Teachers, Postsecondary</v>
          </cell>
          <cell r="C832" t="str">
            <v>detailed</v>
          </cell>
          <cell r="D832">
            <v>114110</v>
          </cell>
          <cell r="E832">
            <v>1.2</v>
          </cell>
          <cell r="F832">
            <v>72060</v>
          </cell>
          <cell r="G832">
            <v>0.6</v>
          </cell>
          <cell r="H832">
            <v>63820</v>
          </cell>
        </row>
        <row r="833">
          <cell r="A833" t="str">
            <v>39-1020</v>
          </cell>
          <cell r="B833" t="str">
            <v>First-Line Supervisors of Personal Service Workers</v>
          </cell>
          <cell r="C833" t="str">
            <v>broad</v>
          </cell>
          <cell r="D833">
            <v>114110</v>
          </cell>
          <cell r="E833">
            <v>1.6</v>
          </cell>
          <cell r="F833">
            <v>52360</v>
          </cell>
          <cell r="G833">
            <v>0.6</v>
          </cell>
          <cell r="H833">
            <v>48590</v>
          </cell>
        </row>
        <row r="834">
          <cell r="A834" t="str">
            <v>39-1022</v>
          </cell>
          <cell r="B834" t="str">
            <v>First-Line Supervisors of Personal Service Workers</v>
          </cell>
          <cell r="C834" t="str">
            <v>detailed</v>
          </cell>
          <cell r="D834">
            <v>114110</v>
          </cell>
          <cell r="E834">
            <v>1.6</v>
          </cell>
          <cell r="F834">
            <v>52360</v>
          </cell>
          <cell r="G834">
            <v>0.6</v>
          </cell>
          <cell r="H834">
            <v>48590</v>
          </cell>
        </row>
        <row r="835">
          <cell r="A835" t="str">
            <v>33-3020</v>
          </cell>
          <cell r="B835" t="str">
            <v>Detectives and Criminal Investigators</v>
          </cell>
          <cell r="C835" t="str">
            <v>broad</v>
          </cell>
          <cell r="D835">
            <v>114430</v>
          </cell>
          <cell r="E835">
            <v>0.3</v>
          </cell>
          <cell r="F835">
            <v>99430</v>
          </cell>
          <cell r="G835">
            <v>0.1</v>
          </cell>
          <cell r="H835">
            <v>93790</v>
          </cell>
        </row>
        <row r="836">
          <cell r="A836" t="str">
            <v>33-3021</v>
          </cell>
          <cell r="B836" t="str">
            <v>Detectives and Criminal Investigators</v>
          </cell>
          <cell r="C836" t="str">
            <v>detailed</v>
          </cell>
          <cell r="D836">
            <v>114430</v>
          </cell>
          <cell r="E836">
            <v>0.3</v>
          </cell>
          <cell r="F836">
            <v>99430</v>
          </cell>
          <cell r="G836">
            <v>0.1</v>
          </cell>
          <cell r="H836">
            <v>93790</v>
          </cell>
        </row>
        <row r="837">
          <cell r="A837" t="str">
            <v>29-2055</v>
          </cell>
          <cell r="B837" t="str">
            <v>Surgical Technologists</v>
          </cell>
          <cell r="C837" t="str">
            <v>detailed</v>
          </cell>
          <cell r="D837">
            <v>117460</v>
          </cell>
          <cell r="E837">
            <v>1.2</v>
          </cell>
          <cell r="F837">
            <v>68710</v>
          </cell>
          <cell r="G837">
            <v>0.3</v>
          </cell>
          <cell r="H837">
            <v>64650</v>
          </cell>
        </row>
        <row r="838">
          <cell r="A838" t="str">
            <v>25-1060</v>
          </cell>
          <cell r="B838" t="str">
            <v>Social Sciences Teachers, Postsecondary</v>
          </cell>
          <cell r="C838" t="str">
            <v>broad</v>
          </cell>
          <cell r="D838">
            <v>118350</v>
          </cell>
          <cell r="E838">
            <v>0.6</v>
          </cell>
          <cell r="F838">
            <v>101080</v>
          </cell>
          <cell r="G838">
            <v>0.3</v>
          </cell>
          <cell r="H838">
            <v>84720</v>
          </cell>
        </row>
        <row r="839">
          <cell r="A839" t="str">
            <v>19-2040</v>
          </cell>
          <cell r="B839" t="str">
            <v>Environmental Scientists and Geoscientists</v>
          </cell>
          <cell r="C839" t="str">
            <v>broad</v>
          </cell>
          <cell r="D839">
            <v>118560</v>
          </cell>
          <cell r="E839">
            <v>1.5</v>
          </cell>
          <cell r="F839">
            <v>97110</v>
          </cell>
          <cell r="G839">
            <v>0.8</v>
          </cell>
          <cell r="H839">
            <v>85210</v>
          </cell>
        </row>
        <row r="840">
          <cell r="A840" t="str">
            <v>25-9090</v>
          </cell>
          <cell r="B840" t="str">
            <v>Miscellaneous Educational Instruction and Library Workers</v>
          </cell>
          <cell r="C840" t="str">
            <v>broad</v>
          </cell>
          <cell r="D840">
            <v>118590</v>
          </cell>
          <cell r="E840">
            <v>1.4</v>
          </cell>
          <cell r="F840">
            <v>59060</v>
          </cell>
          <cell r="G840">
            <v>1.4</v>
          </cell>
          <cell r="H840">
            <v>50890</v>
          </cell>
        </row>
        <row r="841">
          <cell r="A841" t="str">
            <v>25-9099</v>
          </cell>
          <cell r="B841" t="str">
            <v>Educational Instruction and Library Workers, All Other</v>
          </cell>
          <cell r="C841" t="str">
            <v>detailed</v>
          </cell>
          <cell r="D841">
            <v>118590</v>
          </cell>
          <cell r="E841">
            <v>1.4</v>
          </cell>
          <cell r="F841">
            <v>59060</v>
          </cell>
          <cell r="G841">
            <v>1.4</v>
          </cell>
          <cell r="H841">
            <v>50890</v>
          </cell>
        </row>
        <row r="842">
          <cell r="A842" t="str">
            <v>43-4180</v>
          </cell>
          <cell r="B842" t="str">
            <v>Reservation and Transportation Ticket Agents and Travel Clerks</v>
          </cell>
          <cell r="C842" t="str">
            <v>broad</v>
          </cell>
          <cell r="D842">
            <v>118710</v>
          </cell>
          <cell r="E842">
            <v>1.4</v>
          </cell>
          <cell r="F842">
            <v>49630</v>
          </cell>
          <cell r="G842">
            <v>0.4</v>
          </cell>
          <cell r="H842">
            <v>44390</v>
          </cell>
        </row>
        <row r="843">
          <cell r="A843" t="str">
            <v>43-4181</v>
          </cell>
          <cell r="B843" t="str">
            <v>Reservation and Transportation Ticket Agents and Travel Clerks</v>
          </cell>
          <cell r="C843" t="str">
            <v>detailed</v>
          </cell>
          <cell r="D843">
            <v>118710</v>
          </cell>
          <cell r="E843">
            <v>1.4</v>
          </cell>
          <cell r="F843">
            <v>49630</v>
          </cell>
          <cell r="G843">
            <v>0.4</v>
          </cell>
          <cell r="H843">
            <v>44390</v>
          </cell>
        </row>
        <row r="844">
          <cell r="A844" t="str">
            <v>47-2210</v>
          </cell>
          <cell r="B844" t="str">
            <v>Sheet Metal Workers</v>
          </cell>
          <cell r="C844" t="str">
            <v>broad</v>
          </cell>
          <cell r="D844">
            <v>119770</v>
          </cell>
          <cell r="E844">
            <v>2.4</v>
          </cell>
          <cell r="F844">
            <v>67850</v>
          </cell>
          <cell r="G844">
            <v>0.9</v>
          </cell>
          <cell r="H844">
            <v>61800</v>
          </cell>
        </row>
        <row r="845">
          <cell r="A845" t="str">
            <v>47-2211</v>
          </cell>
          <cell r="B845" t="str">
            <v>Sheet Metal Workers</v>
          </cell>
          <cell r="C845" t="str">
            <v>detailed</v>
          </cell>
          <cell r="D845">
            <v>119770</v>
          </cell>
          <cell r="E845">
            <v>2.4</v>
          </cell>
          <cell r="F845">
            <v>67850</v>
          </cell>
          <cell r="G845">
            <v>0.9</v>
          </cell>
          <cell r="H845">
            <v>61800</v>
          </cell>
        </row>
        <row r="846">
          <cell r="A846" t="str">
            <v>39-3030</v>
          </cell>
          <cell r="B846" t="str">
            <v>Ushers, Lobby Attendants, and Ticket Takers</v>
          </cell>
          <cell r="C846" t="str">
            <v>broad</v>
          </cell>
          <cell r="D846">
            <v>121770</v>
          </cell>
          <cell r="E846">
            <v>1.7</v>
          </cell>
          <cell r="F846">
            <v>33080</v>
          </cell>
          <cell r="G846">
            <v>0.6</v>
          </cell>
          <cell r="H846">
            <v>32910</v>
          </cell>
        </row>
        <row r="847">
          <cell r="A847" t="str">
            <v>39-3031</v>
          </cell>
          <cell r="B847" t="str">
            <v>Ushers, Lobby Attendants, and Ticket Takers</v>
          </cell>
          <cell r="C847" t="str">
            <v>detailed</v>
          </cell>
          <cell r="D847">
            <v>121770</v>
          </cell>
          <cell r="E847">
            <v>1.7</v>
          </cell>
          <cell r="F847">
            <v>33080</v>
          </cell>
          <cell r="G847">
            <v>0.6</v>
          </cell>
          <cell r="H847">
            <v>32910</v>
          </cell>
        </row>
        <row r="848">
          <cell r="A848" t="str">
            <v>29-1021</v>
          </cell>
          <cell r="B848" t="str">
            <v>Dentists, General</v>
          </cell>
          <cell r="C848" t="str">
            <v>detailed</v>
          </cell>
          <cell r="D848">
            <v>124390</v>
          </cell>
          <cell r="E848">
            <v>2.8</v>
          </cell>
          <cell r="F848">
            <v>191350</v>
          </cell>
          <cell r="G848">
            <v>1.3</v>
          </cell>
          <cell r="H848">
            <v>170950</v>
          </cell>
        </row>
        <row r="849">
          <cell r="A849" t="str">
            <v>51-4080</v>
          </cell>
          <cell r="B849" t="str">
            <v>Multiple Machine Tool Setters, Operators, and Tenders, Metal and Plastic</v>
          </cell>
          <cell r="C849" t="str">
            <v>broad</v>
          </cell>
          <cell r="D849">
            <v>124590</v>
          </cell>
          <cell r="E849">
            <v>1.6</v>
          </cell>
          <cell r="F849">
            <v>50030</v>
          </cell>
          <cell r="G849">
            <v>0.3</v>
          </cell>
          <cell r="H849">
            <v>47180</v>
          </cell>
        </row>
        <row r="850">
          <cell r="A850" t="str">
            <v>51-4081</v>
          </cell>
          <cell r="B850" t="str">
            <v>Multiple Machine Tool Setters, Operators, and Tenders, Metal and Plastic</v>
          </cell>
          <cell r="C850" t="str">
            <v>detailed</v>
          </cell>
          <cell r="D850">
            <v>124590</v>
          </cell>
          <cell r="E850">
            <v>1.6</v>
          </cell>
          <cell r="F850">
            <v>50030</v>
          </cell>
          <cell r="G850">
            <v>0.3</v>
          </cell>
          <cell r="H850">
            <v>47180</v>
          </cell>
        </row>
        <row r="851">
          <cell r="A851" t="str">
            <v>17-1010</v>
          </cell>
          <cell r="B851" t="str">
            <v>Architects, Except Naval</v>
          </cell>
          <cell r="C851" t="str">
            <v>broad</v>
          </cell>
          <cell r="D851">
            <v>126380</v>
          </cell>
          <cell r="E851">
            <v>1.6</v>
          </cell>
          <cell r="F851">
            <v>103550</v>
          </cell>
          <cell r="G851">
            <v>0.7</v>
          </cell>
          <cell r="H851">
            <v>97570</v>
          </cell>
        </row>
        <row r="852">
          <cell r="A852" t="str">
            <v>31-9096</v>
          </cell>
          <cell r="B852" t="str">
            <v>Veterinary Assistants and Laboratory Animal Caretakers</v>
          </cell>
          <cell r="C852" t="str">
            <v>detailed</v>
          </cell>
          <cell r="D852">
            <v>126580</v>
          </cell>
          <cell r="E852">
            <v>1.5</v>
          </cell>
          <cell r="F852">
            <v>40340</v>
          </cell>
          <cell r="G852">
            <v>0.3</v>
          </cell>
          <cell r="H852">
            <v>38150</v>
          </cell>
        </row>
        <row r="853">
          <cell r="A853" t="str">
            <v>19-1020</v>
          </cell>
          <cell r="B853" t="str">
            <v>Biological Scientists</v>
          </cell>
          <cell r="C853" t="str">
            <v>broad</v>
          </cell>
          <cell r="D853">
            <v>126740</v>
          </cell>
          <cell r="E853">
            <v>1.5</v>
          </cell>
          <cell r="F853">
            <v>107970</v>
          </cell>
          <cell r="G853">
            <v>0.7</v>
          </cell>
          <cell r="H853">
            <v>99760</v>
          </cell>
        </row>
        <row r="854">
          <cell r="A854" t="str">
            <v>43-9021</v>
          </cell>
          <cell r="B854" t="str">
            <v>Data Entry Keyers</v>
          </cell>
          <cell r="C854" t="str">
            <v>detailed</v>
          </cell>
          <cell r="D854">
            <v>127080</v>
          </cell>
          <cell r="E854">
            <v>2.1</v>
          </cell>
          <cell r="F854">
            <v>43310</v>
          </cell>
          <cell r="G854">
            <v>0.5</v>
          </cell>
          <cell r="H854">
            <v>41340</v>
          </cell>
        </row>
        <row r="855">
          <cell r="A855" t="str">
            <v>51-8030</v>
          </cell>
          <cell r="B855" t="str">
            <v>Water and Wastewater Treatment Plant and System Operators</v>
          </cell>
          <cell r="C855" t="str">
            <v>broad</v>
          </cell>
          <cell r="D855">
            <v>128490</v>
          </cell>
          <cell r="E855">
            <v>1.1000000000000001</v>
          </cell>
          <cell r="F855">
            <v>62540</v>
          </cell>
          <cell r="G855">
            <v>0.4</v>
          </cell>
          <cell r="H855">
            <v>60020</v>
          </cell>
        </row>
        <row r="856">
          <cell r="A856" t="str">
            <v>51-8031</v>
          </cell>
          <cell r="B856" t="str">
            <v>Water and Wastewater Treatment Plant and System Operators</v>
          </cell>
          <cell r="C856" t="str">
            <v>detailed</v>
          </cell>
          <cell r="D856">
            <v>128490</v>
          </cell>
          <cell r="E856">
            <v>1.1000000000000001</v>
          </cell>
          <cell r="F856">
            <v>62540</v>
          </cell>
          <cell r="G856">
            <v>0.4</v>
          </cell>
          <cell r="H856">
            <v>60020</v>
          </cell>
        </row>
        <row r="857">
          <cell r="A857" t="str">
            <v>29-2056</v>
          </cell>
          <cell r="B857" t="str">
            <v>Veterinary Technologists and Technicians</v>
          </cell>
          <cell r="C857" t="str">
            <v>detailed</v>
          </cell>
          <cell r="D857">
            <v>129140</v>
          </cell>
          <cell r="E857">
            <v>1.5</v>
          </cell>
          <cell r="F857">
            <v>49120</v>
          </cell>
          <cell r="G857">
            <v>0.5</v>
          </cell>
          <cell r="H857">
            <v>47380</v>
          </cell>
        </row>
        <row r="858">
          <cell r="A858" t="str">
            <v>39-1010</v>
          </cell>
          <cell r="B858" t="str">
            <v>First-Line Supervisors of Entertainment and Recreation Workers</v>
          </cell>
          <cell r="C858" t="str">
            <v>broad</v>
          </cell>
          <cell r="D858">
            <v>129200</v>
          </cell>
          <cell r="E858">
            <v>0.8</v>
          </cell>
          <cell r="F858">
            <v>55820</v>
          </cell>
          <cell r="G858">
            <v>0.5</v>
          </cell>
          <cell r="H858">
            <v>51010</v>
          </cell>
        </row>
        <row r="859">
          <cell r="A859" t="str">
            <v>29-9000</v>
          </cell>
          <cell r="B859" t="str">
            <v>Other Healthcare Practitioners and Technical Occupations</v>
          </cell>
          <cell r="C859" t="str">
            <v>minor</v>
          </cell>
          <cell r="D859">
            <v>129610</v>
          </cell>
          <cell r="E859">
            <v>1.4</v>
          </cell>
          <cell r="F859">
            <v>73950</v>
          </cell>
          <cell r="G859">
            <v>0.5</v>
          </cell>
          <cell r="H859">
            <v>65190</v>
          </cell>
        </row>
        <row r="860">
          <cell r="A860" t="str">
            <v>37-1012</v>
          </cell>
          <cell r="B860" t="str">
            <v>First-Line Supervisors of Landscaping, Lawn Service, and Groundskeeping Workers</v>
          </cell>
          <cell r="C860" t="str">
            <v>detailed</v>
          </cell>
          <cell r="D860">
            <v>130760</v>
          </cell>
          <cell r="E860">
            <v>1.8</v>
          </cell>
          <cell r="F860">
            <v>60960</v>
          </cell>
          <cell r="G860">
            <v>0.6</v>
          </cell>
          <cell r="H860">
            <v>58430</v>
          </cell>
        </row>
        <row r="861">
          <cell r="A861" t="str">
            <v>49-9051</v>
          </cell>
          <cell r="B861" t="str">
            <v>Electrical Power-Line Installers and Repairers</v>
          </cell>
          <cell r="C861" t="str">
            <v>detailed</v>
          </cell>
          <cell r="D861">
            <v>131070</v>
          </cell>
          <cell r="E861">
            <v>1.6</v>
          </cell>
          <cell r="F861">
            <v>91970</v>
          </cell>
          <cell r="G861">
            <v>0.6</v>
          </cell>
          <cell r="H861">
            <v>95320</v>
          </cell>
        </row>
        <row r="862">
          <cell r="A862" t="str">
            <v>51-9020</v>
          </cell>
          <cell r="B862" t="str">
            <v>Crushing, Grinding, Polishing, Mixing, and Blending Workers</v>
          </cell>
          <cell r="C862" t="str">
            <v>broad</v>
          </cell>
          <cell r="D862">
            <v>131430</v>
          </cell>
          <cell r="E862">
            <v>1.3</v>
          </cell>
          <cell r="F862">
            <v>51390</v>
          </cell>
          <cell r="G862">
            <v>0.3</v>
          </cell>
          <cell r="H862">
            <v>48470</v>
          </cell>
        </row>
        <row r="863">
          <cell r="A863" t="str">
            <v>53-2030</v>
          </cell>
          <cell r="B863" t="str">
            <v>Flight Attendants</v>
          </cell>
          <cell r="C863" t="str">
            <v>broad</v>
          </cell>
          <cell r="D863">
            <v>131650</v>
          </cell>
          <cell r="E863">
            <v>0.9</v>
          </cell>
          <cell r="F863">
            <v>77440</v>
          </cell>
          <cell r="G863">
            <v>0.5</v>
          </cell>
          <cell r="H863">
            <v>63580</v>
          </cell>
        </row>
        <row r="864">
          <cell r="A864" t="str">
            <v>53-2031</v>
          </cell>
          <cell r="B864" t="str">
            <v>Flight Attendants</v>
          </cell>
          <cell r="C864" t="str">
            <v>detailed</v>
          </cell>
          <cell r="D864">
            <v>131650</v>
          </cell>
          <cell r="E864">
            <v>0.9</v>
          </cell>
          <cell r="F864">
            <v>77440</v>
          </cell>
          <cell r="G864">
            <v>0.5</v>
          </cell>
          <cell r="H864">
            <v>63580</v>
          </cell>
        </row>
        <row r="865">
          <cell r="A865" t="str">
            <v>13-2090</v>
          </cell>
          <cell r="B865" t="str">
            <v>Miscellaneous Financial Specialists</v>
          </cell>
          <cell r="C865" t="str">
            <v>broad</v>
          </cell>
          <cell r="D865">
            <v>132130</v>
          </cell>
          <cell r="E865">
            <v>1.8</v>
          </cell>
          <cell r="F865">
            <v>93810</v>
          </cell>
          <cell r="G865">
            <v>0.7</v>
          </cell>
          <cell r="H865">
            <v>81100</v>
          </cell>
        </row>
        <row r="866">
          <cell r="A866" t="str">
            <v>13-2099</v>
          </cell>
          <cell r="B866" t="str">
            <v>Financial Specialists, All Other</v>
          </cell>
          <cell r="C866" t="str">
            <v>detailed</v>
          </cell>
          <cell r="D866">
            <v>132130</v>
          </cell>
          <cell r="E866">
            <v>1.8</v>
          </cell>
          <cell r="F866">
            <v>93810</v>
          </cell>
          <cell r="G866">
            <v>0.7</v>
          </cell>
          <cell r="H866">
            <v>81100</v>
          </cell>
        </row>
        <row r="867">
          <cell r="A867" t="str">
            <v>21-1023</v>
          </cell>
          <cell r="B867" t="str">
            <v>Mental Health and Substance Abuse Social Workers</v>
          </cell>
          <cell r="C867" t="str">
            <v>detailed</v>
          </cell>
          <cell r="D867">
            <v>132810</v>
          </cell>
          <cell r="E867">
            <v>1.8</v>
          </cell>
          <cell r="F867">
            <v>68030</v>
          </cell>
          <cell r="G867">
            <v>1.4</v>
          </cell>
          <cell r="H867">
            <v>60280</v>
          </cell>
        </row>
        <row r="868">
          <cell r="A868" t="str">
            <v>13-2080</v>
          </cell>
          <cell r="B868" t="str">
            <v>Tax Examiners, Collectors and Preparers, and Revenue Agents</v>
          </cell>
          <cell r="C868" t="str">
            <v>broad</v>
          </cell>
          <cell r="D868">
            <v>133090</v>
          </cell>
          <cell r="E868">
            <v>2.5</v>
          </cell>
          <cell r="F868">
            <v>65010</v>
          </cell>
          <cell r="G868">
            <v>0.7</v>
          </cell>
          <cell r="H868">
            <v>58860</v>
          </cell>
        </row>
        <row r="869">
          <cell r="A869" t="str">
            <v>53-6030</v>
          </cell>
          <cell r="B869" t="str">
            <v>Transportation Service Attendants</v>
          </cell>
          <cell r="C869" t="str">
            <v>broad</v>
          </cell>
          <cell r="D869">
            <v>133300</v>
          </cell>
          <cell r="E869">
            <v>1.6</v>
          </cell>
          <cell r="F869">
            <v>38320</v>
          </cell>
          <cell r="G869">
            <v>0.4</v>
          </cell>
          <cell r="H869">
            <v>36330</v>
          </cell>
        </row>
        <row r="870">
          <cell r="A870" t="str">
            <v>25-4020</v>
          </cell>
          <cell r="B870" t="str">
            <v>Librarians and Media Collections Specialists</v>
          </cell>
          <cell r="C870" t="str">
            <v>broad</v>
          </cell>
          <cell r="D870">
            <v>133790</v>
          </cell>
          <cell r="E870">
            <v>0.9</v>
          </cell>
          <cell r="F870">
            <v>72840</v>
          </cell>
          <cell r="G870">
            <v>0.4</v>
          </cell>
          <cell r="H870">
            <v>68270</v>
          </cell>
        </row>
        <row r="871">
          <cell r="A871" t="str">
            <v>25-4022</v>
          </cell>
          <cell r="B871" t="str">
            <v>Librarians and Media Collections Specialists</v>
          </cell>
          <cell r="C871" t="str">
            <v>detailed</v>
          </cell>
          <cell r="D871">
            <v>133790</v>
          </cell>
          <cell r="E871">
            <v>0.9</v>
          </cell>
          <cell r="F871">
            <v>72840</v>
          </cell>
          <cell r="G871">
            <v>0.4</v>
          </cell>
          <cell r="H871">
            <v>68270</v>
          </cell>
        </row>
        <row r="872">
          <cell r="A872" t="str">
            <v>43-4190</v>
          </cell>
          <cell r="B872" t="str">
            <v>Miscellaneous Information and Record Clerks</v>
          </cell>
          <cell r="C872" t="str">
            <v>broad</v>
          </cell>
          <cell r="D872">
            <v>134920</v>
          </cell>
          <cell r="E872">
            <v>1.3</v>
          </cell>
          <cell r="F872">
            <v>51490</v>
          </cell>
          <cell r="G872">
            <v>0.2</v>
          </cell>
          <cell r="H872">
            <v>49500</v>
          </cell>
        </row>
        <row r="873">
          <cell r="A873" t="str">
            <v>43-4199</v>
          </cell>
          <cell r="B873" t="str">
            <v>Information and Record Clerks, All Other</v>
          </cell>
          <cell r="C873" t="str">
            <v>detailed</v>
          </cell>
          <cell r="D873">
            <v>134920</v>
          </cell>
          <cell r="E873">
            <v>1.3</v>
          </cell>
          <cell r="F873">
            <v>51490</v>
          </cell>
          <cell r="G873">
            <v>0.2</v>
          </cell>
          <cell r="H873">
            <v>49500</v>
          </cell>
        </row>
        <row r="874">
          <cell r="A874" t="str">
            <v>47-2180</v>
          </cell>
          <cell r="B874" t="str">
            <v>Roofers</v>
          </cell>
          <cell r="C874" t="str">
            <v>broad</v>
          </cell>
          <cell r="D874">
            <v>135490</v>
          </cell>
          <cell r="E874">
            <v>1.4</v>
          </cell>
          <cell r="F874">
            <v>58140</v>
          </cell>
          <cell r="G874">
            <v>0.6</v>
          </cell>
          <cell r="H874">
            <v>55440</v>
          </cell>
        </row>
        <row r="875">
          <cell r="A875" t="str">
            <v>47-2181</v>
          </cell>
          <cell r="B875" t="str">
            <v>Roofers</v>
          </cell>
          <cell r="C875" t="str">
            <v>detailed</v>
          </cell>
          <cell r="D875">
            <v>135490</v>
          </cell>
          <cell r="E875">
            <v>1.4</v>
          </cell>
          <cell r="F875">
            <v>58140</v>
          </cell>
          <cell r="G875">
            <v>0.6</v>
          </cell>
          <cell r="H875">
            <v>55440</v>
          </cell>
        </row>
        <row r="876">
          <cell r="A876" t="str">
            <v>51-3021</v>
          </cell>
          <cell r="B876" t="str">
            <v>Butchers and Meat Cutters</v>
          </cell>
          <cell r="C876" t="str">
            <v>detailed</v>
          </cell>
          <cell r="D876">
            <v>136430</v>
          </cell>
          <cell r="E876">
            <v>1.4</v>
          </cell>
          <cell r="F876">
            <v>42380</v>
          </cell>
          <cell r="G876">
            <v>0.4</v>
          </cell>
          <cell r="H876">
            <v>40140</v>
          </cell>
        </row>
        <row r="877">
          <cell r="A877" t="str">
            <v>53-6020</v>
          </cell>
          <cell r="B877" t="str">
            <v>Parking Attendants</v>
          </cell>
          <cell r="C877" t="str">
            <v>broad</v>
          </cell>
          <cell r="D877">
            <v>137880</v>
          </cell>
          <cell r="E877">
            <v>2.2999999999999998</v>
          </cell>
          <cell r="F877">
            <v>34990</v>
          </cell>
          <cell r="G877">
            <v>0.5</v>
          </cell>
          <cell r="H877">
            <v>35150</v>
          </cell>
        </row>
        <row r="878">
          <cell r="A878" t="str">
            <v>53-6021</v>
          </cell>
          <cell r="B878" t="str">
            <v>Parking Attendants</v>
          </cell>
          <cell r="C878" t="str">
            <v>detailed</v>
          </cell>
          <cell r="D878">
            <v>137880</v>
          </cell>
          <cell r="E878">
            <v>2.2999999999999998</v>
          </cell>
          <cell r="F878">
            <v>34990</v>
          </cell>
          <cell r="G878">
            <v>0.5</v>
          </cell>
          <cell r="H878">
            <v>35150</v>
          </cell>
        </row>
        <row r="879">
          <cell r="A879" t="str">
            <v>49-3090</v>
          </cell>
          <cell r="B879" t="str">
            <v>Miscellaneous Vehicle and Mobile Equipment Mechanics, Installers, and Repairers</v>
          </cell>
          <cell r="C879" t="str">
            <v>broad</v>
          </cell>
          <cell r="D879">
            <v>138010</v>
          </cell>
          <cell r="E879">
            <v>1.3</v>
          </cell>
          <cell r="F879">
            <v>42450</v>
          </cell>
          <cell r="G879">
            <v>0.4</v>
          </cell>
          <cell r="H879">
            <v>38660</v>
          </cell>
        </row>
        <row r="880">
          <cell r="A880" t="str">
            <v>49-3010</v>
          </cell>
          <cell r="B880" t="str">
            <v>Aircraft Mechanics and Service Technicians</v>
          </cell>
          <cell r="C880" t="str">
            <v>broad</v>
          </cell>
          <cell r="D880">
            <v>138090</v>
          </cell>
          <cell r="E880">
            <v>1.3</v>
          </cell>
          <cell r="F880">
            <v>84740</v>
          </cell>
          <cell r="G880">
            <v>0.7</v>
          </cell>
          <cell r="H880">
            <v>79870</v>
          </cell>
        </row>
        <row r="881">
          <cell r="A881" t="str">
            <v>49-3011</v>
          </cell>
          <cell r="B881" t="str">
            <v>Aircraft Mechanics and Service Technicians</v>
          </cell>
          <cell r="C881" t="str">
            <v>detailed</v>
          </cell>
          <cell r="D881">
            <v>138090</v>
          </cell>
          <cell r="E881">
            <v>1.3</v>
          </cell>
          <cell r="F881">
            <v>84740</v>
          </cell>
          <cell r="G881">
            <v>0.7</v>
          </cell>
          <cell r="H881">
            <v>79870</v>
          </cell>
        </row>
        <row r="882">
          <cell r="A882" t="str">
            <v>35-2015</v>
          </cell>
          <cell r="B882" t="str">
            <v>Cooks, Short Order</v>
          </cell>
          <cell r="C882" t="str">
            <v>detailed</v>
          </cell>
          <cell r="D882">
            <v>138650</v>
          </cell>
          <cell r="E882">
            <v>5.2</v>
          </cell>
          <cell r="F882">
            <v>36120</v>
          </cell>
          <cell r="G882">
            <v>1.4</v>
          </cell>
          <cell r="H882">
            <v>35880</v>
          </cell>
        </row>
        <row r="883">
          <cell r="A883" t="str">
            <v>51-9011</v>
          </cell>
          <cell r="B883" t="str">
            <v>Chemical Equipment Operators and Tenders</v>
          </cell>
          <cell r="C883" t="str">
            <v>detailed</v>
          </cell>
          <cell r="D883">
            <v>139630</v>
          </cell>
          <cell r="E883">
            <v>1.6</v>
          </cell>
          <cell r="F883">
            <v>60710</v>
          </cell>
          <cell r="G883">
            <v>0.7</v>
          </cell>
          <cell r="H883">
            <v>58040</v>
          </cell>
        </row>
        <row r="884">
          <cell r="A884" t="str">
            <v>29-1126</v>
          </cell>
          <cell r="B884" t="str">
            <v>Respiratory Therapists</v>
          </cell>
          <cell r="C884" t="str">
            <v>detailed</v>
          </cell>
          <cell r="D884">
            <v>139790</v>
          </cell>
          <cell r="E884">
            <v>1</v>
          </cell>
          <cell r="F884">
            <v>87300</v>
          </cell>
          <cell r="G884">
            <v>0.2</v>
          </cell>
          <cell r="H884">
            <v>82280</v>
          </cell>
        </row>
        <row r="885">
          <cell r="A885" t="str">
            <v>19-5011</v>
          </cell>
          <cell r="B885" t="str">
            <v>Occupational Health and Safety Specialists</v>
          </cell>
          <cell r="C885" t="str">
            <v>detailed</v>
          </cell>
          <cell r="D885">
            <v>140610</v>
          </cell>
          <cell r="E885">
            <v>1.1000000000000001</v>
          </cell>
          <cell r="F885">
            <v>93860</v>
          </cell>
          <cell r="G885">
            <v>0.6</v>
          </cell>
          <cell r="H885">
            <v>90150</v>
          </cell>
        </row>
        <row r="886">
          <cell r="A886" t="str">
            <v>49-2022</v>
          </cell>
          <cell r="B886" t="str">
            <v>Telecommunications Equipment Installers and Repairers, Except Line Installers</v>
          </cell>
          <cell r="C886" t="str">
            <v>detailed</v>
          </cell>
          <cell r="D886">
            <v>140920</v>
          </cell>
          <cell r="E886">
            <v>2.1</v>
          </cell>
          <cell r="F886">
            <v>68500</v>
          </cell>
          <cell r="G886">
            <v>0.6</v>
          </cell>
          <cell r="H886">
            <v>63890</v>
          </cell>
        </row>
        <row r="887">
          <cell r="A887" t="str">
            <v>29-1020</v>
          </cell>
          <cell r="B887" t="str">
            <v>Dentists</v>
          </cell>
          <cell r="C887" t="str">
            <v>broad</v>
          </cell>
          <cell r="D887">
            <v>141610</v>
          </cell>
          <cell r="E887">
            <v>2.4</v>
          </cell>
          <cell r="F887">
            <v>202280</v>
          </cell>
          <cell r="G887">
            <v>1.6</v>
          </cell>
          <cell r="H887">
            <v>176110</v>
          </cell>
        </row>
        <row r="888">
          <cell r="A888" t="str">
            <v>13-1120</v>
          </cell>
          <cell r="B888" t="str">
            <v>Meeting, Convention, and Event Planners</v>
          </cell>
          <cell r="C888" t="str">
            <v>broad</v>
          </cell>
          <cell r="D888">
            <v>142860</v>
          </cell>
          <cell r="E888">
            <v>1.4</v>
          </cell>
          <cell r="F888">
            <v>66520</v>
          </cell>
          <cell r="G888">
            <v>0.9</v>
          </cell>
          <cell r="H888">
            <v>61160</v>
          </cell>
        </row>
        <row r="889">
          <cell r="A889" t="str">
            <v>13-1121</v>
          </cell>
          <cell r="B889" t="str">
            <v>Meeting, Convention, and Event Planners</v>
          </cell>
          <cell r="C889" t="str">
            <v>detailed</v>
          </cell>
          <cell r="D889">
            <v>142860</v>
          </cell>
          <cell r="E889">
            <v>1.4</v>
          </cell>
          <cell r="F889">
            <v>66520</v>
          </cell>
          <cell r="G889">
            <v>0.9</v>
          </cell>
          <cell r="H889">
            <v>61160</v>
          </cell>
        </row>
        <row r="890">
          <cell r="A890" t="str">
            <v>27-2012</v>
          </cell>
          <cell r="B890" t="str">
            <v>Producers and Directors</v>
          </cell>
          <cell r="C890" t="str">
            <v>detailed</v>
          </cell>
          <cell r="D890">
            <v>143120</v>
          </cell>
          <cell r="E890">
            <v>2.9</v>
          </cell>
          <cell r="F890">
            <v>113300</v>
          </cell>
          <cell r="G890">
            <v>1.8</v>
          </cell>
          <cell r="H890">
            <v>90360</v>
          </cell>
        </row>
        <row r="891">
          <cell r="A891" t="str">
            <v>31-9097</v>
          </cell>
          <cell r="B891" t="str">
            <v>Phlebotomists</v>
          </cell>
          <cell r="C891" t="str">
            <v>detailed</v>
          </cell>
          <cell r="D891">
            <v>143540</v>
          </cell>
          <cell r="E891">
            <v>1.2</v>
          </cell>
          <cell r="F891">
            <v>45520</v>
          </cell>
          <cell r="G891">
            <v>0.3</v>
          </cell>
          <cell r="H891">
            <v>45230</v>
          </cell>
        </row>
        <row r="892">
          <cell r="A892" t="str">
            <v>51-5112</v>
          </cell>
          <cell r="B892" t="str">
            <v>Printing Press Operators</v>
          </cell>
          <cell r="C892" t="str">
            <v>detailed</v>
          </cell>
          <cell r="D892">
            <v>144260</v>
          </cell>
          <cell r="E892">
            <v>1.2</v>
          </cell>
          <cell r="F892">
            <v>47360</v>
          </cell>
          <cell r="G892">
            <v>0.4</v>
          </cell>
          <cell r="H892">
            <v>45780</v>
          </cell>
        </row>
        <row r="893">
          <cell r="A893" t="str">
            <v>51-3022</v>
          </cell>
          <cell r="B893" t="str">
            <v>Meat, Poultry, and Fish Cutters and Trimmers</v>
          </cell>
          <cell r="C893" t="str">
            <v>detailed</v>
          </cell>
          <cell r="D893">
            <v>145700</v>
          </cell>
          <cell r="E893">
            <v>1.3</v>
          </cell>
          <cell r="F893">
            <v>39280</v>
          </cell>
          <cell r="G893">
            <v>0.3</v>
          </cell>
          <cell r="H893">
            <v>38300</v>
          </cell>
        </row>
        <row r="894">
          <cell r="A894" t="str">
            <v>15-1231</v>
          </cell>
          <cell r="B894" t="str">
            <v>Computer Network Support Specialists</v>
          </cell>
          <cell r="C894" t="str">
            <v>detailed</v>
          </cell>
          <cell r="D894">
            <v>146190</v>
          </cell>
          <cell r="E894">
            <v>2</v>
          </cell>
          <cell r="F894">
            <v>81870</v>
          </cell>
          <cell r="G894">
            <v>1.2</v>
          </cell>
          <cell r="H894">
            <v>76220</v>
          </cell>
        </row>
        <row r="895">
          <cell r="A895" t="str">
            <v>47-4010</v>
          </cell>
          <cell r="B895" t="str">
            <v>Construction and Building Inspectors</v>
          </cell>
          <cell r="C895" t="str">
            <v>broad</v>
          </cell>
          <cell r="D895">
            <v>146720</v>
          </cell>
          <cell r="E895">
            <v>1.7</v>
          </cell>
          <cell r="F895">
            <v>77730</v>
          </cell>
          <cell r="G895">
            <v>0.6</v>
          </cell>
          <cell r="H895">
            <v>74690</v>
          </cell>
        </row>
        <row r="896">
          <cell r="A896" t="str">
            <v>47-4011</v>
          </cell>
          <cell r="B896" t="str">
            <v>Construction and Building Inspectors</v>
          </cell>
          <cell r="C896" t="str">
            <v>detailed</v>
          </cell>
          <cell r="D896">
            <v>146720</v>
          </cell>
          <cell r="E896">
            <v>1.7</v>
          </cell>
          <cell r="F896">
            <v>77730</v>
          </cell>
          <cell r="G896">
            <v>0.6</v>
          </cell>
          <cell r="H896">
            <v>74690</v>
          </cell>
        </row>
        <row r="897">
          <cell r="A897" t="str">
            <v>53-7080</v>
          </cell>
          <cell r="B897" t="str">
            <v>Refuse and Recyclable Material Collectors</v>
          </cell>
          <cell r="C897" t="str">
            <v>broad</v>
          </cell>
          <cell r="D897">
            <v>147240</v>
          </cell>
          <cell r="E897">
            <v>1.6</v>
          </cell>
          <cell r="F897">
            <v>52820</v>
          </cell>
          <cell r="G897">
            <v>0.5</v>
          </cell>
          <cell r="H897">
            <v>49690</v>
          </cell>
        </row>
        <row r="898">
          <cell r="A898" t="str">
            <v>53-7081</v>
          </cell>
          <cell r="B898" t="str">
            <v>Refuse and Recyclable Material Collectors</v>
          </cell>
          <cell r="C898" t="str">
            <v>detailed</v>
          </cell>
          <cell r="D898">
            <v>147240</v>
          </cell>
          <cell r="E898">
            <v>1.6</v>
          </cell>
          <cell r="F898">
            <v>52820</v>
          </cell>
          <cell r="G898">
            <v>0.5</v>
          </cell>
          <cell r="H898">
            <v>49690</v>
          </cell>
        </row>
        <row r="899">
          <cell r="A899" t="str">
            <v>43-4110</v>
          </cell>
          <cell r="B899" t="str">
            <v>Interviewers, Except Eligibility and Loan</v>
          </cell>
          <cell r="C899" t="str">
            <v>broad</v>
          </cell>
          <cell r="D899">
            <v>148060</v>
          </cell>
          <cell r="E899">
            <v>1.4</v>
          </cell>
          <cell r="F899">
            <v>47240</v>
          </cell>
          <cell r="G899">
            <v>0.4</v>
          </cell>
          <cell r="H899">
            <v>45920</v>
          </cell>
        </row>
        <row r="900">
          <cell r="A900" t="str">
            <v>43-4111</v>
          </cell>
          <cell r="B900" t="str">
            <v>Interviewers, Except Eligibility and Loan</v>
          </cell>
          <cell r="C900" t="str">
            <v>detailed</v>
          </cell>
          <cell r="D900">
            <v>148060</v>
          </cell>
          <cell r="E900">
            <v>1.4</v>
          </cell>
          <cell r="F900">
            <v>47240</v>
          </cell>
          <cell r="G900">
            <v>0.4</v>
          </cell>
          <cell r="H900">
            <v>45920</v>
          </cell>
        </row>
        <row r="901">
          <cell r="A901" t="str">
            <v>49-3021</v>
          </cell>
          <cell r="B901" t="str">
            <v>Automotive Body and Related Repairers</v>
          </cell>
          <cell r="C901" t="str">
            <v>detailed</v>
          </cell>
          <cell r="D901">
            <v>149310</v>
          </cell>
          <cell r="E901">
            <v>1.4</v>
          </cell>
          <cell r="F901">
            <v>59690</v>
          </cell>
          <cell r="G901">
            <v>0.7</v>
          </cell>
          <cell r="H901">
            <v>54890</v>
          </cell>
        </row>
        <row r="902">
          <cell r="A902" t="str">
            <v>25-1199</v>
          </cell>
          <cell r="B902" t="str">
            <v>Postsecondary Teachers, All Other</v>
          </cell>
          <cell r="C902" t="str">
            <v>detailed</v>
          </cell>
          <cell r="D902">
            <v>149840</v>
          </cell>
          <cell r="E902">
            <v>0.7</v>
          </cell>
          <cell r="F902">
            <v>90630</v>
          </cell>
          <cell r="G902">
            <v>0.3</v>
          </cell>
          <cell r="H902">
            <v>77640</v>
          </cell>
        </row>
        <row r="903">
          <cell r="A903" t="str">
            <v>51-4072</v>
          </cell>
          <cell r="B903" t="str">
            <v>Molding, Coremaking, and Casting Machine Setters, Operators, and Tenders, Metal and Plastic</v>
          </cell>
          <cell r="C903" t="str">
            <v>detailed</v>
          </cell>
          <cell r="D903">
            <v>150470</v>
          </cell>
          <cell r="E903">
            <v>1.4</v>
          </cell>
          <cell r="F903">
            <v>45960</v>
          </cell>
          <cell r="G903">
            <v>0.3</v>
          </cell>
          <cell r="H903">
            <v>44350</v>
          </cell>
        </row>
        <row r="904">
          <cell r="A904" t="str">
            <v>53-2010</v>
          </cell>
          <cell r="B904" t="str">
            <v>Aircraft Pilots and Flight Engineers</v>
          </cell>
          <cell r="C904" t="str">
            <v>broad</v>
          </cell>
          <cell r="D904">
            <v>151190</v>
          </cell>
          <cell r="E904">
            <v>1</v>
          </cell>
          <cell r="F904">
            <v>243730</v>
          </cell>
          <cell r="G904">
            <v>2.2000000000000002</v>
          </cell>
          <cell r="H904">
            <v>210020</v>
          </cell>
        </row>
        <row r="905">
          <cell r="A905" t="str">
            <v>49-2020</v>
          </cell>
          <cell r="B905" t="str">
            <v>Radio and Telecommunications Equipment Installers and Repairers</v>
          </cell>
          <cell r="C905" t="str">
            <v>broad</v>
          </cell>
          <cell r="D905">
            <v>152060</v>
          </cell>
          <cell r="E905">
            <v>2.1</v>
          </cell>
          <cell r="F905">
            <v>68600</v>
          </cell>
          <cell r="G905">
            <v>0.6</v>
          </cell>
          <cell r="H905">
            <v>63860</v>
          </cell>
        </row>
        <row r="906">
          <cell r="A906" t="str">
            <v>39-5092</v>
          </cell>
          <cell r="B906" t="str">
            <v>Manicurists and Pedicurists</v>
          </cell>
          <cell r="C906" t="str">
            <v>detailed</v>
          </cell>
          <cell r="D906">
            <v>152770</v>
          </cell>
          <cell r="E906">
            <v>1.4</v>
          </cell>
          <cell r="F906">
            <v>38570</v>
          </cell>
          <cell r="G906">
            <v>0.9</v>
          </cell>
          <cell r="H906">
            <v>35760</v>
          </cell>
        </row>
        <row r="907">
          <cell r="A907" t="str">
            <v>43-3050</v>
          </cell>
          <cell r="B907" t="str">
            <v>Payroll and Timekeeping Clerks</v>
          </cell>
          <cell r="C907" t="str">
            <v>broad</v>
          </cell>
          <cell r="D907">
            <v>153140</v>
          </cell>
          <cell r="E907">
            <v>1.2</v>
          </cell>
          <cell r="F907">
            <v>59630</v>
          </cell>
          <cell r="G907">
            <v>0.4</v>
          </cell>
          <cell r="H907">
            <v>58260</v>
          </cell>
        </row>
        <row r="908">
          <cell r="A908" t="str">
            <v>43-3051</v>
          </cell>
          <cell r="B908" t="str">
            <v>Payroll and Timekeeping Clerks</v>
          </cell>
          <cell r="C908" t="str">
            <v>detailed</v>
          </cell>
          <cell r="D908">
            <v>153140</v>
          </cell>
          <cell r="E908">
            <v>1.2</v>
          </cell>
          <cell r="F908">
            <v>59630</v>
          </cell>
          <cell r="G908">
            <v>0.4</v>
          </cell>
          <cell r="H908">
            <v>58260</v>
          </cell>
        </row>
        <row r="909">
          <cell r="A909" t="str">
            <v>17-2190</v>
          </cell>
          <cell r="B909" t="str">
            <v>Miscellaneous Engineers</v>
          </cell>
          <cell r="C909" t="str">
            <v>broad</v>
          </cell>
          <cell r="D909">
            <v>154070</v>
          </cell>
          <cell r="E909">
            <v>1.1000000000000001</v>
          </cell>
          <cell r="F909">
            <v>125330</v>
          </cell>
          <cell r="G909">
            <v>0.4</v>
          </cell>
          <cell r="H909">
            <v>122930</v>
          </cell>
        </row>
        <row r="910">
          <cell r="A910" t="str">
            <v>17-2199</v>
          </cell>
          <cell r="B910" t="str">
            <v>Engineers, All Other</v>
          </cell>
          <cell r="C910" t="str">
            <v>detailed</v>
          </cell>
          <cell r="D910">
            <v>154070</v>
          </cell>
          <cell r="E910">
            <v>1.1000000000000001</v>
          </cell>
          <cell r="F910">
            <v>125330</v>
          </cell>
          <cell r="G910">
            <v>0.4</v>
          </cell>
          <cell r="H910">
            <v>122930</v>
          </cell>
        </row>
        <row r="911">
          <cell r="A911" t="str">
            <v>33-1012</v>
          </cell>
          <cell r="B911" t="str">
            <v>First-Line Supervisors of Police and Detectives</v>
          </cell>
          <cell r="C911" t="str">
            <v>detailed</v>
          </cell>
          <cell r="D911">
            <v>154610</v>
          </cell>
          <cell r="E911">
            <v>0.4</v>
          </cell>
          <cell r="F911">
            <v>112190</v>
          </cell>
          <cell r="G911">
            <v>0.3</v>
          </cell>
          <cell r="H911">
            <v>106040</v>
          </cell>
        </row>
        <row r="912">
          <cell r="A912" t="str">
            <v>43-4060</v>
          </cell>
          <cell r="B912" t="str">
            <v>Eligibility Interviewers, Government Programs</v>
          </cell>
          <cell r="C912" t="str">
            <v>broad</v>
          </cell>
          <cell r="D912">
            <v>154800</v>
          </cell>
          <cell r="E912">
            <v>0.7</v>
          </cell>
          <cell r="F912">
            <v>56090</v>
          </cell>
          <cell r="G912">
            <v>0.2</v>
          </cell>
          <cell r="H912">
            <v>54210</v>
          </cell>
        </row>
        <row r="913">
          <cell r="A913" t="str">
            <v>43-4061</v>
          </cell>
          <cell r="B913" t="str">
            <v>Eligibility Interviewers, Government Programs</v>
          </cell>
          <cell r="C913" t="str">
            <v>detailed</v>
          </cell>
          <cell r="D913">
            <v>154800</v>
          </cell>
          <cell r="E913">
            <v>0.7</v>
          </cell>
          <cell r="F913">
            <v>56090</v>
          </cell>
          <cell r="G913">
            <v>0.2</v>
          </cell>
          <cell r="H913">
            <v>54210</v>
          </cell>
        </row>
        <row r="914">
          <cell r="A914" t="str">
            <v>47-4050</v>
          </cell>
          <cell r="B914" t="str">
            <v>Highway Maintenance Workers</v>
          </cell>
          <cell r="C914" t="str">
            <v>broad</v>
          </cell>
          <cell r="D914">
            <v>154960</v>
          </cell>
          <cell r="E914">
            <v>1</v>
          </cell>
          <cell r="F914">
            <v>53080</v>
          </cell>
          <cell r="G914">
            <v>0.3</v>
          </cell>
          <cell r="H914">
            <v>50260</v>
          </cell>
        </row>
        <row r="915">
          <cell r="A915" t="str">
            <v>47-4051</v>
          </cell>
          <cell r="B915" t="str">
            <v>Highway Maintenance Workers</v>
          </cell>
          <cell r="C915" t="str">
            <v>detailed</v>
          </cell>
          <cell r="D915">
            <v>154960</v>
          </cell>
          <cell r="E915">
            <v>1</v>
          </cell>
          <cell r="F915">
            <v>53080</v>
          </cell>
          <cell r="G915">
            <v>0.3</v>
          </cell>
          <cell r="H915">
            <v>50260</v>
          </cell>
        </row>
        <row r="916">
          <cell r="A916" t="str">
            <v>11-3013</v>
          </cell>
          <cell r="B916" t="str">
            <v>Facilities Managers</v>
          </cell>
          <cell r="C916" t="str">
            <v>detailed</v>
          </cell>
          <cell r="D916">
            <v>156180</v>
          </cell>
          <cell r="E916">
            <v>1.1000000000000001</v>
          </cell>
          <cell r="F916">
            <v>116890</v>
          </cell>
          <cell r="G916">
            <v>0.5</v>
          </cell>
          <cell r="H916">
            <v>106660</v>
          </cell>
        </row>
        <row r="917">
          <cell r="A917" t="str">
            <v>43-6012</v>
          </cell>
          <cell r="B917" t="str">
            <v>Legal Secretaries and Administrative Assistants</v>
          </cell>
          <cell r="C917" t="str">
            <v>detailed</v>
          </cell>
          <cell r="D917">
            <v>156280</v>
          </cell>
          <cell r="E917">
            <v>3.1</v>
          </cell>
          <cell r="F917">
            <v>60620</v>
          </cell>
          <cell r="G917">
            <v>2.1</v>
          </cell>
          <cell r="H917">
            <v>55570</v>
          </cell>
        </row>
        <row r="918">
          <cell r="A918" t="str">
            <v>29-2053</v>
          </cell>
          <cell r="B918" t="str">
            <v>Psychiatric Technicians</v>
          </cell>
          <cell r="C918" t="str">
            <v>detailed</v>
          </cell>
          <cell r="D918">
            <v>156960</v>
          </cell>
          <cell r="E918">
            <v>1.8</v>
          </cell>
          <cell r="F918">
            <v>46610</v>
          </cell>
          <cell r="G918">
            <v>0.4</v>
          </cell>
          <cell r="H918">
            <v>45130</v>
          </cell>
        </row>
        <row r="919">
          <cell r="A919" t="str">
            <v>33-9092</v>
          </cell>
          <cell r="B919" t="str">
            <v>Lifeguards, Ski Patrol, and Other Recreational Protective Service Workers</v>
          </cell>
          <cell r="C919" t="str">
            <v>detailed</v>
          </cell>
          <cell r="D919">
            <v>157550</v>
          </cell>
          <cell r="E919">
            <v>1.8</v>
          </cell>
          <cell r="F919">
            <v>34470</v>
          </cell>
          <cell r="G919">
            <v>0.4</v>
          </cell>
          <cell r="H919">
            <v>33580</v>
          </cell>
        </row>
        <row r="920">
          <cell r="A920" t="str">
            <v>51-9124</v>
          </cell>
          <cell r="B920" t="str">
            <v>Coating, Painting, and Spraying Machine Setters, Operators, and Tenders</v>
          </cell>
          <cell r="C920" t="str">
            <v>detailed</v>
          </cell>
          <cell r="D920">
            <v>158740</v>
          </cell>
          <cell r="E920">
            <v>1.2</v>
          </cell>
          <cell r="F920">
            <v>52620</v>
          </cell>
          <cell r="G920">
            <v>0.4</v>
          </cell>
          <cell r="H920">
            <v>48250</v>
          </cell>
        </row>
        <row r="921">
          <cell r="A921" t="str">
            <v>43-3010</v>
          </cell>
          <cell r="B921" t="str">
            <v>Bill and Account Collectors</v>
          </cell>
          <cell r="C921" t="str">
            <v>broad</v>
          </cell>
          <cell r="D921">
            <v>158830</v>
          </cell>
          <cell r="E921">
            <v>1.4</v>
          </cell>
          <cell r="F921">
            <v>49060</v>
          </cell>
          <cell r="G921">
            <v>0.4</v>
          </cell>
          <cell r="H921">
            <v>47030</v>
          </cell>
        </row>
        <row r="922">
          <cell r="A922" t="str">
            <v>43-3011</v>
          </cell>
          <cell r="B922" t="str">
            <v>Bill and Account Collectors</v>
          </cell>
          <cell r="C922" t="str">
            <v>detailed</v>
          </cell>
          <cell r="D922">
            <v>158830</v>
          </cell>
          <cell r="E922">
            <v>1.4</v>
          </cell>
          <cell r="F922">
            <v>49060</v>
          </cell>
          <cell r="G922">
            <v>0.4</v>
          </cell>
          <cell r="H922">
            <v>47030</v>
          </cell>
        </row>
        <row r="923">
          <cell r="A923" t="str">
            <v>53-3052</v>
          </cell>
          <cell r="B923" t="str">
            <v>Bus Drivers, Transit and Intercity</v>
          </cell>
          <cell r="C923" t="str">
            <v>detailed</v>
          </cell>
          <cell r="D923">
            <v>159240</v>
          </cell>
          <cell r="E923">
            <v>1.1000000000000001</v>
          </cell>
          <cell r="F923">
            <v>60280</v>
          </cell>
          <cell r="G923">
            <v>0.3</v>
          </cell>
          <cell r="H923">
            <v>59050</v>
          </cell>
        </row>
        <row r="924">
          <cell r="A924" t="str">
            <v>19-3030</v>
          </cell>
          <cell r="B924" t="str">
            <v>Psychologists</v>
          </cell>
          <cell r="C924" t="str">
            <v>broad</v>
          </cell>
          <cell r="D924">
            <v>159540</v>
          </cell>
          <cell r="E924">
            <v>1.6</v>
          </cell>
          <cell r="F924">
            <v>107410</v>
          </cell>
          <cell r="G924">
            <v>1</v>
          </cell>
          <cell r="H924">
            <v>99110</v>
          </cell>
        </row>
        <row r="925">
          <cell r="A925" t="str">
            <v>31-2020</v>
          </cell>
          <cell r="B925" t="str">
            <v>Physical Therapist Assistants and Aides</v>
          </cell>
          <cell r="C925" t="str">
            <v>broad</v>
          </cell>
          <cell r="D925">
            <v>160580</v>
          </cell>
          <cell r="E925">
            <v>1.5</v>
          </cell>
          <cell r="F925">
            <v>59040</v>
          </cell>
          <cell r="G925">
            <v>0.6</v>
          </cell>
          <cell r="H925">
            <v>61200</v>
          </cell>
        </row>
        <row r="926">
          <cell r="A926" t="str">
            <v>43-9020</v>
          </cell>
          <cell r="B926" t="str">
            <v>Data Entry and Information Processing Workers</v>
          </cell>
          <cell r="C926" t="str">
            <v>broad</v>
          </cell>
          <cell r="D926">
            <v>162090</v>
          </cell>
          <cell r="E926">
            <v>1.8</v>
          </cell>
          <cell r="F926">
            <v>44990</v>
          </cell>
          <cell r="G926">
            <v>0.5</v>
          </cell>
          <cell r="H926">
            <v>43090</v>
          </cell>
        </row>
        <row r="927">
          <cell r="A927" t="str">
            <v>29-1070</v>
          </cell>
          <cell r="B927" t="str">
            <v>Physician Assistants</v>
          </cell>
          <cell r="C927" t="str">
            <v>broad</v>
          </cell>
          <cell r="D927">
            <v>162150</v>
          </cell>
          <cell r="E927">
            <v>1.4</v>
          </cell>
          <cell r="F927">
            <v>141280</v>
          </cell>
          <cell r="G927">
            <v>0.7</v>
          </cell>
          <cell r="H927">
            <v>135880</v>
          </cell>
        </row>
        <row r="928">
          <cell r="A928" t="str">
            <v>29-1071</v>
          </cell>
          <cell r="B928" t="str">
            <v>Physician Assistants</v>
          </cell>
          <cell r="C928" t="str">
            <v>detailed</v>
          </cell>
          <cell r="D928">
            <v>162150</v>
          </cell>
          <cell r="E928">
            <v>1.4</v>
          </cell>
          <cell r="F928">
            <v>141280</v>
          </cell>
          <cell r="G928">
            <v>0.7</v>
          </cell>
          <cell r="H928">
            <v>135880</v>
          </cell>
        </row>
        <row r="929">
          <cell r="A929" t="str">
            <v>29-1122</v>
          </cell>
          <cell r="B929" t="str">
            <v>Occupational Therapists</v>
          </cell>
          <cell r="C929" t="str">
            <v>detailed</v>
          </cell>
          <cell r="D929">
            <v>162450</v>
          </cell>
          <cell r="E929">
            <v>1.2</v>
          </cell>
          <cell r="F929">
            <v>101280</v>
          </cell>
          <cell r="G929">
            <v>0.4</v>
          </cell>
          <cell r="H929">
            <v>100330</v>
          </cell>
        </row>
        <row r="930">
          <cell r="A930" t="str">
            <v>51-4070</v>
          </cell>
          <cell r="B930" t="str">
            <v>Molders and Molding Machine Setters, Operators, and Tenders, Metal and Plastic</v>
          </cell>
          <cell r="C930" t="str">
            <v>broad</v>
          </cell>
          <cell r="D930">
            <v>163270</v>
          </cell>
          <cell r="E930">
            <v>1.3</v>
          </cell>
          <cell r="F930">
            <v>46270</v>
          </cell>
          <cell r="G930">
            <v>0.3</v>
          </cell>
          <cell r="H930">
            <v>44720</v>
          </cell>
        </row>
        <row r="931">
          <cell r="A931" t="str">
            <v>25-2058</v>
          </cell>
          <cell r="B931" t="str">
            <v>Special Education Teachers, Secondary School</v>
          </cell>
          <cell r="C931" t="str">
            <v>detailed</v>
          </cell>
          <cell r="D931">
            <v>163930</v>
          </cell>
          <cell r="E931">
            <v>1.4</v>
          </cell>
          <cell r="F931">
            <v>77260</v>
          </cell>
          <cell r="G931">
            <v>0.5</v>
          </cell>
          <cell r="H931">
            <v>74260</v>
          </cell>
        </row>
        <row r="932">
          <cell r="A932" t="str">
            <v>25-9044</v>
          </cell>
          <cell r="B932" t="str">
            <v>Teaching Assistants, Postsecondary</v>
          </cell>
          <cell r="C932" t="str">
            <v>detailed</v>
          </cell>
          <cell r="D932">
            <v>164090</v>
          </cell>
          <cell r="E932">
            <v>0.3</v>
          </cell>
          <cell r="F932">
            <v>47670</v>
          </cell>
          <cell r="G932">
            <v>0.4</v>
          </cell>
          <cell r="H932">
            <v>42910</v>
          </cell>
        </row>
        <row r="933">
          <cell r="A933" t="str">
            <v>43-4130</v>
          </cell>
          <cell r="B933" t="str">
            <v>Loan Interviewers and Clerks</v>
          </cell>
          <cell r="C933" t="str">
            <v>broad</v>
          </cell>
          <cell r="D933">
            <v>164790</v>
          </cell>
          <cell r="E933">
            <v>1.2</v>
          </cell>
          <cell r="F933">
            <v>52520</v>
          </cell>
          <cell r="G933">
            <v>0.3</v>
          </cell>
          <cell r="H933">
            <v>50020</v>
          </cell>
        </row>
        <row r="934">
          <cell r="A934" t="str">
            <v>43-4131</v>
          </cell>
          <cell r="B934" t="str">
            <v>Loan Interviewers and Clerks</v>
          </cell>
          <cell r="C934" t="str">
            <v>detailed</v>
          </cell>
          <cell r="D934">
            <v>164790</v>
          </cell>
          <cell r="E934">
            <v>1.2</v>
          </cell>
          <cell r="F934">
            <v>52520</v>
          </cell>
          <cell r="G934">
            <v>0.3</v>
          </cell>
          <cell r="H934">
            <v>50020</v>
          </cell>
        </row>
        <row r="935">
          <cell r="A935" t="str">
            <v>27-1026</v>
          </cell>
          <cell r="B935" t="str">
            <v>Merchandise Displayers and Window Trimmers</v>
          </cell>
          <cell r="C935" t="str">
            <v>detailed</v>
          </cell>
          <cell r="D935">
            <v>165220</v>
          </cell>
          <cell r="E935">
            <v>1.9</v>
          </cell>
          <cell r="F935">
            <v>42830</v>
          </cell>
          <cell r="G935">
            <v>0.9</v>
          </cell>
          <cell r="H935">
            <v>39390</v>
          </cell>
        </row>
        <row r="936">
          <cell r="A936" t="str">
            <v>51-9198</v>
          </cell>
          <cell r="B936" t="str">
            <v>Helpers--Production Workers</v>
          </cell>
          <cell r="C936" t="str">
            <v>detailed</v>
          </cell>
          <cell r="D936">
            <v>165700</v>
          </cell>
          <cell r="E936">
            <v>1.4</v>
          </cell>
          <cell r="F936">
            <v>41120</v>
          </cell>
          <cell r="G936">
            <v>0.3</v>
          </cell>
          <cell r="H936">
            <v>39070</v>
          </cell>
        </row>
        <row r="937">
          <cell r="A937" t="str">
            <v>51-9120</v>
          </cell>
          <cell r="B937" t="str">
            <v>Painting Workers</v>
          </cell>
          <cell r="C937" t="str">
            <v>broad</v>
          </cell>
          <cell r="D937">
            <v>166680</v>
          </cell>
          <cell r="E937">
            <v>1.3</v>
          </cell>
          <cell r="F937">
            <v>52270</v>
          </cell>
          <cell r="G937">
            <v>0.4</v>
          </cell>
          <cell r="H937">
            <v>48060</v>
          </cell>
        </row>
        <row r="938">
          <cell r="A938" t="str">
            <v>51-9161</v>
          </cell>
          <cell r="B938" t="str">
            <v>Computer Numerically Controlled Tool Operators</v>
          </cell>
          <cell r="C938" t="str">
            <v>detailed</v>
          </cell>
          <cell r="D938">
            <v>169450</v>
          </cell>
          <cell r="E938">
            <v>1.5</v>
          </cell>
          <cell r="F938">
            <v>54320</v>
          </cell>
          <cell r="G938">
            <v>0.3</v>
          </cell>
          <cell r="H938">
            <v>50690</v>
          </cell>
        </row>
        <row r="939">
          <cell r="A939" t="str">
            <v>19-5000</v>
          </cell>
          <cell r="B939" t="str">
            <v>Occupational Health and Safety Specialists and Technicians</v>
          </cell>
          <cell r="C939" t="str">
            <v>minor</v>
          </cell>
          <cell r="D939">
            <v>171200</v>
          </cell>
          <cell r="E939">
            <v>1</v>
          </cell>
          <cell r="F939">
            <v>89260</v>
          </cell>
          <cell r="G939">
            <v>0.6</v>
          </cell>
          <cell r="H939">
            <v>83740</v>
          </cell>
        </row>
        <row r="940">
          <cell r="A940" t="str">
            <v>19-5010</v>
          </cell>
          <cell r="B940" t="str">
            <v>Occupational Health and Safety Specialists and Technicians</v>
          </cell>
          <cell r="C940" t="str">
            <v>broad</v>
          </cell>
          <cell r="D940">
            <v>171200</v>
          </cell>
          <cell r="E940">
            <v>1</v>
          </cell>
          <cell r="F940">
            <v>89260</v>
          </cell>
          <cell r="G940">
            <v>0.6</v>
          </cell>
          <cell r="H940">
            <v>83740</v>
          </cell>
        </row>
        <row r="941">
          <cell r="A941" t="str">
            <v>51-4031</v>
          </cell>
          <cell r="B941" t="str">
            <v>Cutting, Punching, and Press Machine Setters, Operators, and Tenders, Metal and Plastic</v>
          </cell>
          <cell r="C941" t="str">
            <v>detailed</v>
          </cell>
          <cell r="D941">
            <v>171200</v>
          </cell>
          <cell r="E941">
            <v>1.2</v>
          </cell>
          <cell r="F941">
            <v>48430</v>
          </cell>
          <cell r="G941">
            <v>0.3</v>
          </cell>
          <cell r="H941">
            <v>46330</v>
          </cell>
        </row>
        <row r="942">
          <cell r="A942" t="str">
            <v>19-1042</v>
          </cell>
          <cell r="B942" t="str">
            <v>Medical Scientists, Except Epidemiologists</v>
          </cell>
          <cell r="C942" t="str">
            <v>detailed</v>
          </cell>
          <cell r="D942">
            <v>172340</v>
          </cell>
          <cell r="E942">
            <v>1.1000000000000001</v>
          </cell>
          <cell r="F942">
            <v>116840</v>
          </cell>
          <cell r="G942">
            <v>0.7</v>
          </cell>
          <cell r="H942">
            <v>103410</v>
          </cell>
        </row>
        <row r="943">
          <cell r="A943" t="str">
            <v>51-3092</v>
          </cell>
          <cell r="B943" t="str">
            <v>Food Batchmakers</v>
          </cell>
          <cell r="C943" t="str">
            <v>detailed</v>
          </cell>
          <cell r="D943">
            <v>174520</v>
          </cell>
          <cell r="E943">
            <v>1.5</v>
          </cell>
          <cell r="F943">
            <v>43750</v>
          </cell>
          <cell r="G943">
            <v>0.4</v>
          </cell>
          <cell r="H943">
            <v>42290</v>
          </cell>
        </row>
        <row r="944">
          <cell r="A944" t="str">
            <v>25-3040</v>
          </cell>
          <cell r="B944" t="str">
            <v>Tutors</v>
          </cell>
          <cell r="C944" t="str">
            <v>broad</v>
          </cell>
          <cell r="D944">
            <v>175070</v>
          </cell>
          <cell r="E944">
            <v>1.8</v>
          </cell>
          <cell r="F944">
            <v>48050</v>
          </cell>
          <cell r="G944">
            <v>0.8</v>
          </cell>
          <cell r="H944">
            <v>43350</v>
          </cell>
        </row>
        <row r="945">
          <cell r="A945" t="str">
            <v>25-3041</v>
          </cell>
          <cell r="B945" t="str">
            <v>Tutors</v>
          </cell>
          <cell r="C945" t="str">
            <v>detailed</v>
          </cell>
          <cell r="D945">
            <v>175070</v>
          </cell>
          <cell r="E945">
            <v>1.8</v>
          </cell>
          <cell r="F945">
            <v>48050</v>
          </cell>
          <cell r="G945">
            <v>0.8</v>
          </cell>
          <cell r="H945">
            <v>43350</v>
          </cell>
        </row>
        <row r="946">
          <cell r="A946" t="str">
            <v>17-3010</v>
          </cell>
          <cell r="B946" t="str">
            <v>Drafters</v>
          </cell>
          <cell r="C946" t="str">
            <v>broad</v>
          </cell>
          <cell r="D946">
            <v>176060</v>
          </cell>
          <cell r="E946">
            <v>1.6</v>
          </cell>
          <cell r="F946">
            <v>72590</v>
          </cell>
          <cell r="G946">
            <v>0.5</v>
          </cell>
          <cell r="H946">
            <v>68090</v>
          </cell>
        </row>
        <row r="947">
          <cell r="A947" t="str">
            <v>49-9099</v>
          </cell>
          <cell r="B947" t="str">
            <v>Installation, Maintenance, and Repair Workers, All Other</v>
          </cell>
          <cell r="C947" t="str">
            <v>detailed</v>
          </cell>
          <cell r="D947">
            <v>176300</v>
          </cell>
          <cell r="E947">
            <v>1.8</v>
          </cell>
          <cell r="F947">
            <v>53850</v>
          </cell>
          <cell r="G947">
            <v>0.5</v>
          </cell>
          <cell r="H947">
            <v>49230</v>
          </cell>
        </row>
        <row r="948">
          <cell r="A948" t="str">
            <v>49-3042</v>
          </cell>
          <cell r="B948" t="str">
            <v>Mobile Heavy Equipment Mechanics, Except Engines</v>
          </cell>
          <cell r="C948" t="str">
            <v>detailed</v>
          </cell>
          <cell r="D948">
            <v>176600</v>
          </cell>
          <cell r="E948">
            <v>1.6</v>
          </cell>
          <cell r="F948">
            <v>69240</v>
          </cell>
          <cell r="G948">
            <v>0.7</v>
          </cell>
          <cell r="H948">
            <v>65510</v>
          </cell>
        </row>
        <row r="949">
          <cell r="A949" t="str">
            <v>37-1011</v>
          </cell>
          <cell r="B949" t="str">
            <v>First-Line Supervisors of Housekeeping and Janitorial Workers</v>
          </cell>
          <cell r="C949" t="str">
            <v>detailed</v>
          </cell>
          <cell r="D949">
            <v>178760</v>
          </cell>
          <cell r="E949">
            <v>1</v>
          </cell>
          <cell r="F949">
            <v>53320</v>
          </cell>
          <cell r="G949">
            <v>0.4</v>
          </cell>
          <cell r="H949">
            <v>49100</v>
          </cell>
        </row>
        <row r="950">
          <cell r="A950" t="str">
            <v>15-1241</v>
          </cell>
          <cell r="B950" t="str">
            <v>Computer Network Architects</v>
          </cell>
          <cell r="C950" t="str">
            <v>detailed</v>
          </cell>
          <cell r="D950">
            <v>179740</v>
          </cell>
          <cell r="E950">
            <v>1.7</v>
          </cell>
          <cell r="F950">
            <v>139580</v>
          </cell>
          <cell r="G950">
            <v>0.6</v>
          </cell>
          <cell r="H950">
            <v>134050</v>
          </cell>
        </row>
        <row r="951">
          <cell r="A951" t="str">
            <v>43-4030</v>
          </cell>
          <cell r="B951" t="str">
            <v>Court, Municipal, and License Clerks</v>
          </cell>
          <cell r="C951" t="str">
            <v>broad</v>
          </cell>
          <cell r="D951">
            <v>179750</v>
          </cell>
          <cell r="E951">
            <v>0.7</v>
          </cell>
          <cell r="F951">
            <v>52320</v>
          </cell>
          <cell r="G951">
            <v>0.2</v>
          </cell>
          <cell r="H951">
            <v>48700</v>
          </cell>
        </row>
        <row r="952">
          <cell r="A952" t="str">
            <v>43-4031</v>
          </cell>
          <cell r="B952" t="str">
            <v>Court, Municipal, and License Clerks</v>
          </cell>
          <cell r="C952" t="str">
            <v>detailed</v>
          </cell>
          <cell r="D952">
            <v>179750</v>
          </cell>
          <cell r="E952">
            <v>0.7</v>
          </cell>
          <cell r="F952">
            <v>52320</v>
          </cell>
          <cell r="G952">
            <v>0.2</v>
          </cell>
          <cell r="H952">
            <v>48700</v>
          </cell>
        </row>
        <row r="953">
          <cell r="A953" t="str">
            <v>11-9033</v>
          </cell>
          <cell r="B953" t="str">
            <v>Education Administrators, Postsecondary</v>
          </cell>
          <cell r="C953" t="str">
            <v>detailed</v>
          </cell>
          <cell r="D953">
            <v>180470</v>
          </cell>
          <cell r="E953">
            <v>0.4</v>
          </cell>
          <cell r="F953">
            <v>126540</v>
          </cell>
          <cell r="G953">
            <v>0.3</v>
          </cell>
          <cell r="H953">
            <v>104590</v>
          </cell>
        </row>
        <row r="954">
          <cell r="A954" t="str">
            <v>29-2042</v>
          </cell>
          <cell r="B954" t="str">
            <v>Emergency Medical Technicians</v>
          </cell>
          <cell r="C954" t="str">
            <v>detailed</v>
          </cell>
          <cell r="D954">
            <v>180510</v>
          </cell>
          <cell r="E954">
            <v>0.9</v>
          </cell>
          <cell r="F954">
            <v>46830</v>
          </cell>
          <cell r="G954">
            <v>0.3</v>
          </cell>
          <cell r="H954">
            <v>44470</v>
          </cell>
        </row>
        <row r="955">
          <cell r="A955" t="str">
            <v>47-3000</v>
          </cell>
          <cell r="B955" t="str">
            <v>Helpers, Construction Trades</v>
          </cell>
          <cell r="C955" t="str">
            <v>minor</v>
          </cell>
          <cell r="D955">
            <v>182090</v>
          </cell>
          <cell r="E955">
            <v>2</v>
          </cell>
          <cell r="F955">
            <v>44640</v>
          </cell>
          <cell r="G955">
            <v>0.5</v>
          </cell>
          <cell r="H955">
            <v>43260</v>
          </cell>
        </row>
        <row r="956">
          <cell r="A956" t="str">
            <v>47-3010</v>
          </cell>
          <cell r="B956" t="str">
            <v>Helpers, Construction Trades</v>
          </cell>
          <cell r="C956" t="str">
            <v>broad</v>
          </cell>
          <cell r="D956">
            <v>182090</v>
          </cell>
          <cell r="E956">
            <v>2</v>
          </cell>
          <cell r="F956">
            <v>44640</v>
          </cell>
          <cell r="G956">
            <v>0.5</v>
          </cell>
          <cell r="H956">
            <v>43260</v>
          </cell>
        </row>
        <row r="957">
          <cell r="A957" t="str">
            <v>29-2099</v>
          </cell>
          <cell r="B957" t="str">
            <v>Health Technologists and Technicians, All Other</v>
          </cell>
          <cell r="C957" t="str">
            <v>detailed</v>
          </cell>
          <cell r="D957">
            <v>182610</v>
          </cell>
          <cell r="E957">
            <v>1.3</v>
          </cell>
          <cell r="F957">
            <v>58710</v>
          </cell>
          <cell r="G957">
            <v>0.6</v>
          </cell>
          <cell r="H957">
            <v>50290</v>
          </cell>
        </row>
        <row r="958">
          <cell r="A958" t="str">
            <v>29-1127</v>
          </cell>
          <cell r="B958" t="str">
            <v>Speech-Language Pathologists</v>
          </cell>
          <cell r="C958" t="str">
            <v>detailed</v>
          </cell>
          <cell r="D958">
            <v>183390</v>
          </cell>
          <cell r="E958">
            <v>1.2</v>
          </cell>
          <cell r="F958">
            <v>98170</v>
          </cell>
          <cell r="G958">
            <v>0.4</v>
          </cell>
          <cell r="H958">
            <v>97870</v>
          </cell>
        </row>
        <row r="959">
          <cell r="A959" t="str">
            <v>19-1040</v>
          </cell>
          <cell r="B959" t="str">
            <v>Medical Scientists</v>
          </cell>
          <cell r="C959" t="str">
            <v>broad</v>
          </cell>
          <cell r="D959">
            <v>184430</v>
          </cell>
          <cell r="E959">
            <v>1.1000000000000001</v>
          </cell>
          <cell r="F959">
            <v>115600</v>
          </cell>
          <cell r="G959">
            <v>0.7</v>
          </cell>
          <cell r="H959">
            <v>102990</v>
          </cell>
        </row>
        <row r="960">
          <cell r="A960" t="str">
            <v>27-3040</v>
          </cell>
          <cell r="B960" t="str">
            <v>Writers and Editors</v>
          </cell>
          <cell r="C960" t="str">
            <v>broad</v>
          </cell>
          <cell r="D960">
            <v>185130</v>
          </cell>
          <cell r="E960">
            <v>1.7</v>
          </cell>
          <cell r="F960">
            <v>90730</v>
          </cell>
          <cell r="G960">
            <v>1.2</v>
          </cell>
          <cell r="H960">
            <v>79680</v>
          </cell>
        </row>
        <row r="961">
          <cell r="A961" t="str">
            <v>15-1253</v>
          </cell>
          <cell r="B961" t="str">
            <v>Software Quality Assurance Analysts and Testers</v>
          </cell>
          <cell r="C961" t="str">
            <v>detailed</v>
          </cell>
          <cell r="D961">
            <v>186740</v>
          </cell>
          <cell r="E961">
            <v>2.2999999999999998</v>
          </cell>
          <cell r="F961">
            <v>111490</v>
          </cell>
          <cell r="G961">
            <v>0.7</v>
          </cell>
          <cell r="H961">
            <v>104300</v>
          </cell>
        </row>
        <row r="962">
          <cell r="A962" t="str">
            <v>21-1022</v>
          </cell>
          <cell r="B962" t="str">
            <v>Healthcare Social Workers</v>
          </cell>
          <cell r="C962" t="str">
            <v>detailed</v>
          </cell>
          <cell r="D962">
            <v>187630</v>
          </cell>
          <cell r="E962">
            <v>1.1000000000000001</v>
          </cell>
          <cell r="F962">
            <v>71790</v>
          </cell>
          <cell r="G962">
            <v>0.5</v>
          </cell>
          <cell r="H962">
            <v>67880</v>
          </cell>
        </row>
        <row r="963">
          <cell r="A963" t="str">
            <v>15-1212</v>
          </cell>
          <cell r="B963" t="str">
            <v>Information Security Analysts</v>
          </cell>
          <cell r="C963" t="str">
            <v>detailed</v>
          </cell>
          <cell r="D963">
            <v>190650</v>
          </cell>
          <cell r="E963">
            <v>2</v>
          </cell>
          <cell r="F963">
            <v>132510</v>
          </cell>
          <cell r="G963">
            <v>0.6</v>
          </cell>
          <cell r="H963">
            <v>129180</v>
          </cell>
        </row>
        <row r="964">
          <cell r="A964" t="str">
            <v>17-1000</v>
          </cell>
          <cell r="B964" t="str">
            <v>Architects, Surveyors, and Cartographers</v>
          </cell>
          <cell r="C964" t="str">
            <v>minor</v>
          </cell>
          <cell r="D964">
            <v>191460</v>
          </cell>
          <cell r="E964">
            <v>1.2</v>
          </cell>
          <cell r="F964">
            <v>96190</v>
          </cell>
          <cell r="G964">
            <v>0.6</v>
          </cell>
          <cell r="H964">
            <v>87950</v>
          </cell>
        </row>
        <row r="965">
          <cell r="A965" t="str">
            <v>43-9190</v>
          </cell>
          <cell r="B965" t="str">
            <v>Miscellaneous Office and Administrative Support Workers</v>
          </cell>
          <cell r="C965" t="str">
            <v>broad</v>
          </cell>
          <cell r="D965">
            <v>192260</v>
          </cell>
          <cell r="E965">
            <v>1.1000000000000001</v>
          </cell>
          <cell r="F965">
            <v>48670</v>
          </cell>
          <cell r="G965">
            <v>0.4</v>
          </cell>
          <cell r="H965">
            <v>45670</v>
          </cell>
        </row>
        <row r="966">
          <cell r="A966" t="str">
            <v>43-9199</v>
          </cell>
          <cell r="B966" t="str">
            <v>Office and Administrative Support Workers, All Other</v>
          </cell>
          <cell r="C966" t="str">
            <v>detailed</v>
          </cell>
          <cell r="D966">
            <v>192260</v>
          </cell>
          <cell r="E966">
            <v>1.1000000000000001</v>
          </cell>
          <cell r="F966">
            <v>48670</v>
          </cell>
          <cell r="G966">
            <v>0.4</v>
          </cell>
          <cell r="H966">
            <v>45670</v>
          </cell>
        </row>
        <row r="967">
          <cell r="A967" t="str">
            <v>41-9022</v>
          </cell>
          <cell r="B967" t="str">
            <v>Real Estate Sales Agents</v>
          </cell>
          <cell r="C967" t="str">
            <v>detailed</v>
          </cell>
          <cell r="D967">
            <v>193370</v>
          </cell>
          <cell r="E967">
            <v>3</v>
          </cell>
          <cell r="F967">
            <v>69510</v>
          </cell>
          <cell r="G967">
            <v>1.9</v>
          </cell>
          <cell r="H967">
            <v>52830</v>
          </cell>
        </row>
        <row r="968">
          <cell r="A968" t="str">
            <v>29-2070</v>
          </cell>
          <cell r="B968" t="str">
            <v>Medical Records Specialists</v>
          </cell>
          <cell r="C968" t="str">
            <v>broad</v>
          </cell>
          <cell r="D968">
            <v>194720</v>
          </cell>
          <cell r="E968">
            <v>1.1000000000000001</v>
          </cell>
          <cell r="F968">
            <v>56790</v>
          </cell>
          <cell r="G968">
            <v>0.4</v>
          </cell>
          <cell r="H968">
            <v>51140</v>
          </cell>
        </row>
        <row r="969">
          <cell r="A969" t="str">
            <v>29-2072</v>
          </cell>
          <cell r="B969" t="str">
            <v>Medical Records Specialists</v>
          </cell>
          <cell r="C969" t="str">
            <v>detailed</v>
          </cell>
          <cell r="D969">
            <v>194720</v>
          </cell>
          <cell r="E969">
            <v>1.1000000000000001</v>
          </cell>
          <cell r="F969">
            <v>56790</v>
          </cell>
          <cell r="G969">
            <v>0.4</v>
          </cell>
          <cell r="H969">
            <v>51140</v>
          </cell>
        </row>
        <row r="970">
          <cell r="A970" t="str">
            <v>27-1024</v>
          </cell>
          <cell r="B970" t="str">
            <v>Graphic Designers</v>
          </cell>
          <cell r="C970" t="str">
            <v>detailed</v>
          </cell>
          <cell r="D970">
            <v>197830</v>
          </cell>
          <cell r="E970">
            <v>2.4</v>
          </cell>
          <cell r="F970">
            <v>70560</v>
          </cell>
          <cell r="G970">
            <v>1.3</v>
          </cell>
          <cell r="H970">
            <v>62960</v>
          </cell>
        </row>
        <row r="971">
          <cell r="A971" t="str">
            <v>51-9160</v>
          </cell>
          <cell r="B971" t="str">
            <v>Computer Numerically Controlled Tool Operators and Programmers</v>
          </cell>
          <cell r="C971" t="str">
            <v>broad</v>
          </cell>
          <cell r="D971">
            <v>197950</v>
          </cell>
          <cell r="E971">
            <v>1.3</v>
          </cell>
          <cell r="F971">
            <v>56890</v>
          </cell>
          <cell r="G971">
            <v>0.3</v>
          </cell>
          <cell r="H971">
            <v>53380</v>
          </cell>
        </row>
        <row r="972">
          <cell r="A972" t="str">
            <v>51-6010</v>
          </cell>
          <cell r="B972" t="str">
            <v>Laundry and Dry-Cleaning Workers</v>
          </cell>
          <cell r="C972" t="str">
            <v>broad</v>
          </cell>
          <cell r="D972">
            <v>198040</v>
          </cell>
          <cell r="E972">
            <v>1.7</v>
          </cell>
          <cell r="F972">
            <v>34920</v>
          </cell>
          <cell r="G972">
            <v>0.4</v>
          </cell>
          <cell r="H972">
            <v>34890</v>
          </cell>
        </row>
        <row r="973">
          <cell r="A973" t="str">
            <v>51-6011</v>
          </cell>
          <cell r="B973" t="str">
            <v>Laundry and Dry-Cleaning Workers</v>
          </cell>
          <cell r="C973" t="str">
            <v>detailed</v>
          </cell>
          <cell r="D973">
            <v>198040</v>
          </cell>
          <cell r="E973">
            <v>1.7</v>
          </cell>
          <cell r="F973">
            <v>34920</v>
          </cell>
          <cell r="G973">
            <v>0.4</v>
          </cell>
          <cell r="H973">
            <v>34890</v>
          </cell>
        </row>
        <row r="974">
          <cell r="A974" t="str">
            <v>27-2010</v>
          </cell>
          <cell r="B974" t="str">
            <v>Actors, Producers, and Directors</v>
          </cell>
          <cell r="C974" t="str">
            <v>broad</v>
          </cell>
          <cell r="D974">
            <v>198120</v>
          </cell>
          <cell r="E974">
            <v>3.6</v>
          </cell>
          <cell r="F974">
            <v>115510</v>
          </cell>
          <cell r="G974">
            <v>2.8</v>
          </cell>
          <cell r="H974">
            <v>81670</v>
          </cell>
        </row>
        <row r="975">
          <cell r="A975" t="str">
            <v>17-2071</v>
          </cell>
          <cell r="B975" t="str">
            <v>Electrical Engineers</v>
          </cell>
          <cell r="C975" t="str">
            <v>detailed</v>
          </cell>
          <cell r="D975">
            <v>198750</v>
          </cell>
          <cell r="E975">
            <v>1.7</v>
          </cell>
          <cell r="F975">
            <v>125100</v>
          </cell>
          <cell r="G975">
            <v>0.8</v>
          </cell>
          <cell r="H975">
            <v>120630</v>
          </cell>
        </row>
        <row r="976">
          <cell r="A976" t="str">
            <v>51-9010</v>
          </cell>
          <cell r="B976" t="str">
            <v>Chemical Processing Machine Setters, Operators, and Tenders</v>
          </cell>
          <cell r="C976" t="str">
            <v>broad</v>
          </cell>
          <cell r="D976">
            <v>199730</v>
          </cell>
          <cell r="E976">
            <v>1.4</v>
          </cell>
          <cell r="F976">
            <v>59300</v>
          </cell>
          <cell r="G976">
            <v>0.6</v>
          </cell>
          <cell r="H976">
            <v>56350</v>
          </cell>
        </row>
        <row r="977">
          <cell r="A977" t="str">
            <v>51-7000</v>
          </cell>
          <cell r="B977" t="str">
            <v>Woodworkers</v>
          </cell>
          <cell r="C977" t="str">
            <v>minor</v>
          </cell>
          <cell r="D977">
            <v>199920</v>
          </cell>
          <cell r="E977">
            <v>1</v>
          </cell>
          <cell r="F977">
            <v>45630</v>
          </cell>
          <cell r="G977">
            <v>0.3</v>
          </cell>
          <cell r="H977">
            <v>45300</v>
          </cell>
        </row>
        <row r="978">
          <cell r="A978" t="str">
            <v>35-1011</v>
          </cell>
          <cell r="B978" t="str">
            <v>Chefs and Head Cooks</v>
          </cell>
          <cell r="C978" t="str">
            <v>detailed</v>
          </cell>
          <cell r="D978">
            <v>200040</v>
          </cell>
          <cell r="E978">
            <v>3.1</v>
          </cell>
          <cell r="F978">
            <v>66700</v>
          </cell>
          <cell r="G978">
            <v>1.1000000000000001</v>
          </cell>
          <cell r="H978">
            <v>62470</v>
          </cell>
        </row>
        <row r="979">
          <cell r="A979" t="str">
            <v>51-5100</v>
          </cell>
          <cell r="B979" t="str">
            <v>Printing Workers</v>
          </cell>
          <cell r="C979" t="str">
            <v>minor</v>
          </cell>
          <cell r="D979">
            <v>201290</v>
          </cell>
          <cell r="E979">
            <v>1</v>
          </cell>
          <cell r="F979">
            <v>47290</v>
          </cell>
          <cell r="G979">
            <v>0.3</v>
          </cell>
          <cell r="H979">
            <v>45820</v>
          </cell>
        </row>
        <row r="980">
          <cell r="A980" t="str">
            <v>51-5110</v>
          </cell>
          <cell r="B980" t="str">
            <v>Printing Workers</v>
          </cell>
          <cell r="C980" t="str">
            <v>broad</v>
          </cell>
          <cell r="D980">
            <v>201290</v>
          </cell>
          <cell r="E980">
            <v>1</v>
          </cell>
          <cell r="F980">
            <v>47290</v>
          </cell>
          <cell r="G980">
            <v>0.3</v>
          </cell>
          <cell r="H980">
            <v>45820</v>
          </cell>
        </row>
        <row r="981">
          <cell r="A981" t="str">
            <v>43-5032</v>
          </cell>
          <cell r="B981" t="str">
            <v>Dispatchers, Except Police, Fire, and Ambulance</v>
          </cell>
          <cell r="C981" t="str">
            <v>detailed</v>
          </cell>
          <cell r="D981">
            <v>202810</v>
          </cell>
          <cell r="E981">
            <v>2.2999999999999998</v>
          </cell>
          <cell r="F981">
            <v>54740</v>
          </cell>
          <cell r="G981">
            <v>0.7</v>
          </cell>
          <cell r="H981">
            <v>50340</v>
          </cell>
        </row>
        <row r="982">
          <cell r="A982" t="str">
            <v>29-2090</v>
          </cell>
          <cell r="B982" t="str">
            <v>Miscellaneous Health Technologists and Technicians</v>
          </cell>
          <cell r="C982" t="str">
            <v>broad</v>
          </cell>
          <cell r="D982">
            <v>203270</v>
          </cell>
          <cell r="E982">
            <v>1.1000000000000001</v>
          </cell>
          <cell r="F982">
            <v>60290</v>
          </cell>
          <cell r="G982">
            <v>0.5</v>
          </cell>
          <cell r="H982">
            <v>51490</v>
          </cell>
        </row>
        <row r="983">
          <cell r="A983" t="str">
            <v>11-1010</v>
          </cell>
          <cell r="B983" t="str">
            <v>Chief Executives</v>
          </cell>
          <cell r="C983" t="str">
            <v>broad</v>
          </cell>
          <cell r="D983">
            <v>204350</v>
          </cell>
          <cell r="E983">
            <v>3.1</v>
          </cell>
          <cell r="F983">
            <v>269630</v>
          </cell>
          <cell r="G983">
            <v>1.9</v>
          </cell>
          <cell r="H983">
            <v>213990</v>
          </cell>
        </row>
        <row r="984">
          <cell r="A984" t="str">
            <v>11-1011</v>
          </cell>
          <cell r="B984" t="str">
            <v>Chief Executives</v>
          </cell>
          <cell r="C984" t="str">
            <v>detailed</v>
          </cell>
          <cell r="D984">
            <v>204350</v>
          </cell>
          <cell r="E984">
            <v>3.1</v>
          </cell>
          <cell r="F984">
            <v>269630</v>
          </cell>
          <cell r="G984">
            <v>1.9</v>
          </cell>
          <cell r="H984">
            <v>213990</v>
          </cell>
        </row>
        <row r="985">
          <cell r="A985" t="str">
            <v>47-2051</v>
          </cell>
          <cell r="B985" t="str">
            <v>Cement Masons and Concrete Finishers</v>
          </cell>
          <cell r="C985" t="str">
            <v>detailed</v>
          </cell>
          <cell r="D985">
            <v>206170</v>
          </cell>
          <cell r="E985">
            <v>1.7</v>
          </cell>
          <cell r="F985">
            <v>60050</v>
          </cell>
          <cell r="G985">
            <v>0.5</v>
          </cell>
          <cell r="H985">
            <v>57020</v>
          </cell>
        </row>
        <row r="986">
          <cell r="A986" t="str">
            <v>47-2050</v>
          </cell>
          <cell r="B986" t="str">
            <v>Cement Masons, Concrete Finishers, and Terrazzo Workers</v>
          </cell>
          <cell r="C986" t="str">
            <v>broad</v>
          </cell>
          <cell r="D986">
            <v>207340</v>
          </cell>
          <cell r="E986">
            <v>1.7</v>
          </cell>
          <cell r="F986">
            <v>60200</v>
          </cell>
          <cell r="G986">
            <v>0.5</v>
          </cell>
          <cell r="H986">
            <v>57060</v>
          </cell>
        </row>
        <row r="987">
          <cell r="A987" t="str">
            <v>33-1010</v>
          </cell>
          <cell r="B987" t="str">
            <v>First-Line Supervisors of Law Enforcement Workers</v>
          </cell>
          <cell r="C987" t="str">
            <v>broad</v>
          </cell>
          <cell r="D987">
            <v>208000</v>
          </cell>
          <cell r="E987">
            <v>0.3</v>
          </cell>
          <cell r="F987">
            <v>105050</v>
          </cell>
          <cell r="G987">
            <v>0.2</v>
          </cell>
          <cell r="H987">
            <v>100050</v>
          </cell>
        </row>
        <row r="988">
          <cell r="A988" t="str">
            <v>11-9150</v>
          </cell>
          <cell r="B988" t="str">
            <v>Social and Community Service Managers</v>
          </cell>
          <cell r="C988" t="str">
            <v>broad</v>
          </cell>
          <cell r="D988">
            <v>209330</v>
          </cell>
          <cell r="E988">
            <v>0.9</v>
          </cell>
          <cell r="F988">
            <v>88880</v>
          </cell>
          <cell r="G988">
            <v>0.3</v>
          </cell>
          <cell r="H988">
            <v>80390</v>
          </cell>
        </row>
        <row r="989">
          <cell r="A989" t="str">
            <v>11-9151</v>
          </cell>
          <cell r="B989" t="str">
            <v>Social and Community Service Managers</v>
          </cell>
          <cell r="C989" t="str">
            <v>detailed</v>
          </cell>
          <cell r="D989">
            <v>209330</v>
          </cell>
          <cell r="E989">
            <v>0.9</v>
          </cell>
          <cell r="F989">
            <v>88880</v>
          </cell>
          <cell r="G989">
            <v>0.3</v>
          </cell>
          <cell r="H989">
            <v>80390</v>
          </cell>
        </row>
        <row r="990">
          <cell r="A990" t="str">
            <v>47-5000</v>
          </cell>
          <cell r="B990" t="str">
            <v>Extraction Workers</v>
          </cell>
          <cell r="C990" t="str">
            <v>minor</v>
          </cell>
          <cell r="D990">
            <v>211130</v>
          </cell>
          <cell r="E990">
            <v>1.5</v>
          </cell>
          <cell r="F990">
            <v>59850</v>
          </cell>
          <cell r="G990">
            <v>0.5</v>
          </cell>
          <cell r="H990">
            <v>57320</v>
          </cell>
        </row>
        <row r="991">
          <cell r="A991" t="str">
            <v>43-9040</v>
          </cell>
          <cell r="B991" t="str">
            <v>Insurance Claims and Policy Processing Clerks</v>
          </cell>
          <cell r="C991" t="str">
            <v>broad</v>
          </cell>
          <cell r="D991">
            <v>214260</v>
          </cell>
          <cell r="E991">
            <v>1.5</v>
          </cell>
          <cell r="F991">
            <v>52920</v>
          </cell>
          <cell r="G991">
            <v>0.4</v>
          </cell>
          <cell r="H991">
            <v>49230</v>
          </cell>
        </row>
        <row r="992">
          <cell r="A992" t="str">
            <v>43-9041</v>
          </cell>
          <cell r="B992" t="str">
            <v>Insurance Claims and Policy Processing Clerks</v>
          </cell>
          <cell r="C992" t="str">
            <v>detailed</v>
          </cell>
          <cell r="D992">
            <v>214260</v>
          </cell>
          <cell r="E992">
            <v>1.5</v>
          </cell>
          <cell r="F992">
            <v>52920</v>
          </cell>
          <cell r="G992">
            <v>0.4</v>
          </cell>
          <cell r="H992">
            <v>49230</v>
          </cell>
        </row>
        <row r="993">
          <cell r="A993" t="str">
            <v>41-1012</v>
          </cell>
          <cell r="B993" t="str">
            <v>First-Line Supervisors of Non-Retail Sales Workers</v>
          </cell>
          <cell r="C993" t="str">
            <v>detailed</v>
          </cell>
          <cell r="D993">
            <v>214390</v>
          </cell>
          <cell r="E993">
            <v>1</v>
          </cell>
          <cell r="F993">
            <v>99370</v>
          </cell>
          <cell r="G993">
            <v>0.6</v>
          </cell>
          <cell r="H993">
            <v>87520</v>
          </cell>
        </row>
        <row r="994">
          <cell r="A994" t="str">
            <v>31-2000</v>
          </cell>
          <cell r="B994" t="str">
            <v>Occupational Therapy and Physical Therapist Assistants and Aides</v>
          </cell>
          <cell r="C994" t="str">
            <v>minor</v>
          </cell>
          <cell r="D994">
            <v>216180</v>
          </cell>
          <cell r="E994">
            <v>1.3</v>
          </cell>
          <cell r="F994">
            <v>61510</v>
          </cell>
          <cell r="G994">
            <v>0.5</v>
          </cell>
          <cell r="H994">
            <v>63030</v>
          </cell>
        </row>
        <row r="995">
          <cell r="A995" t="str">
            <v>11-9040</v>
          </cell>
          <cell r="B995" t="str">
            <v>Architectural and Engineering Managers</v>
          </cell>
          <cell r="C995" t="str">
            <v>broad</v>
          </cell>
          <cell r="D995">
            <v>220260</v>
          </cell>
          <cell r="E995">
            <v>0.8</v>
          </cell>
          <cell r="F995">
            <v>181540</v>
          </cell>
          <cell r="G995">
            <v>0.3</v>
          </cell>
          <cell r="H995">
            <v>171270</v>
          </cell>
        </row>
        <row r="996">
          <cell r="A996" t="str">
            <v>11-9041</v>
          </cell>
          <cell r="B996" t="str">
            <v>Architectural and Engineering Managers</v>
          </cell>
          <cell r="C996" t="str">
            <v>detailed</v>
          </cell>
          <cell r="D996">
            <v>220260</v>
          </cell>
          <cell r="E996">
            <v>0.8</v>
          </cell>
          <cell r="F996">
            <v>181540</v>
          </cell>
          <cell r="G996">
            <v>0.3</v>
          </cell>
          <cell r="H996">
            <v>171270</v>
          </cell>
        </row>
        <row r="997">
          <cell r="A997" t="str">
            <v>11-3120</v>
          </cell>
          <cell r="B997" t="str">
            <v>Human Resources Managers</v>
          </cell>
          <cell r="C997" t="str">
            <v>broad</v>
          </cell>
          <cell r="D997">
            <v>220660</v>
          </cell>
          <cell r="E997">
            <v>0.6</v>
          </cell>
          <cell r="F997">
            <v>164230</v>
          </cell>
          <cell r="G997">
            <v>0.4</v>
          </cell>
          <cell r="H997">
            <v>149280</v>
          </cell>
        </row>
        <row r="998">
          <cell r="A998" t="str">
            <v>11-3121</v>
          </cell>
          <cell r="B998" t="str">
            <v>Human Resources Managers</v>
          </cell>
          <cell r="C998" t="str">
            <v>detailed</v>
          </cell>
          <cell r="D998">
            <v>220660</v>
          </cell>
          <cell r="E998">
            <v>0.6</v>
          </cell>
          <cell r="F998">
            <v>164230</v>
          </cell>
          <cell r="G998">
            <v>0.4</v>
          </cell>
          <cell r="H998">
            <v>149280</v>
          </cell>
        </row>
        <row r="999">
          <cell r="A999" t="str">
            <v>11-3070</v>
          </cell>
          <cell r="B999" t="str">
            <v>Transportation, Storage, and Distribution Managers</v>
          </cell>
          <cell r="C999" t="str">
            <v>broad</v>
          </cell>
          <cell r="D999">
            <v>221180</v>
          </cell>
          <cell r="E999">
            <v>0.9</v>
          </cell>
          <cell r="F999">
            <v>121600</v>
          </cell>
          <cell r="G999">
            <v>0.5</v>
          </cell>
          <cell r="H999">
            <v>107230</v>
          </cell>
        </row>
        <row r="1000">
          <cell r="A1000" t="str">
            <v>11-3071</v>
          </cell>
          <cell r="B1000" t="str">
            <v>Transportation, Storage, and Distribution Managers</v>
          </cell>
          <cell r="C1000" t="str">
            <v>detailed</v>
          </cell>
          <cell r="D1000">
            <v>221180</v>
          </cell>
          <cell r="E1000">
            <v>0.9</v>
          </cell>
          <cell r="F1000">
            <v>121600</v>
          </cell>
          <cell r="G1000">
            <v>0.5</v>
          </cell>
          <cell r="H1000">
            <v>107230</v>
          </cell>
        </row>
        <row r="1001">
          <cell r="A1001" t="str">
            <v>25-1071</v>
          </cell>
          <cell r="B1001" t="str">
            <v>Health Specialties Teachers, Postsecondary</v>
          </cell>
          <cell r="C1001" t="str">
            <v>detailed</v>
          </cell>
          <cell r="D1001">
            <v>221270</v>
          </cell>
          <cell r="E1001">
            <v>0.6</v>
          </cell>
          <cell r="F1001">
            <v>147570</v>
          </cell>
          <cell r="G1001">
            <v>0.4</v>
          </cell>
          <cell r="H1001">
            <v>107310</v>
          </cell>
        </row>
        <row r="1002">
          <cell r="A1002" t="str">
            <v>29-1292</v>
          </cell>
          <cell r="B1002" t="str">
            <v>Dental Hygienists</v>
          </cell>
          <cell r="C1002" t="str">
            <v>detailed</v>
          </cell>
          <cell r="D1002">
            <v>222740</v>
          </cell>
          <cell r="E1002">
            <v>1.6</v>
          </cell>
          <cell r="F1002">
            <v>98990</v>
          </cell>
          <cell r="G1002">
            <v>1</v>
          </cell>
          <cell r="H1002">
            <v>98100</v>
          </cell>
        </row>
        <row r="1003">
          <cell r="A1003" t="str">
            <v>13-1050</v>
          </cell>
          <cell r="B1003" t="str">
            <v>Cost Estimators</v>
          </cell>
          <cell r="C1003" t="str">
            <v>broad</v>
          </cell>
          <cell r="D1003">
            <v>224220</v>
          </cell>
          <cell r="E1003">
            <v>1</v>
          </cell>
          <cell r="F1003">
            <v>85390</v>
          </cell>
          <cell r="G1003">
            <v>0.6</v>
          </cell>
          <cell r="H1003">
            <v>78740</v>
          </cell>
        </row>
        <row r="1004">
          <cell r="A1004" t="str">
            <v>13-1051</v>
          </cell>
          <cell r="B1004" t="str">
            <v>Cost Estimators</v>
          </cell>
          <cell r="C1004" t="str">
            <v>detailed</v>
          </cell>
          <cell r="D1004">
            <v>224220</v>
          </cell>
          <cell r="E1004">
            <v>1</v>
          </cell>
          <cell r="F1004">
            <v>85390</v>
          </cell>
          <cell r="G1004">
            <v>0.6</v>
          </cell>
          <cell r="H1004">
            <v>78740</v>
          </cell>
        </row>
        <row r="1005">
          <cell r="A1005" t="str">
            <v>27-4000</v>
          </cell>
          <cell r="B1005" t="str">
            <v>Media and Communication Equipment Workers</v>
          </cell>
          <cell r="C1005" t="str">
            <v>minor</v>
          </cell>
          <cell r="D1005">
            <v>224690</v>
          </cell>
          <cell r="E1005">
            <v>1.7</v>
          </cell>
          <cell r="F1005">
            <v>69480</v>
          </cell>
          <cell r="G1005">
            <v>1.4</v>
          </cell>
          <cell r="H1005">
            <v>59200</v>
          </cell>
        </row>
        <row r="1006">
          <cell r="A1006" t="str">
            <v>47-2141</v>
          </cell>
          <cell r="B1006" t="str">
            <v>Painters, Construction and Maintenance</v>
          </cell>
          <cell r="C1006" t="str">
            <v>detailed</v>
          </cell>
          <cell r="D1006">
            <v>225190</v>
          </cell>
          <cell r="E1006">
            <v>1.6</v>
          </cell>
          <cell r="F1006">
            <v>55420</v>
          </cell>
          <cell r="G1006">
            <v>0.6</v>
          </cell>
          <cell r="H1006">
            <v>49400</v>
          </cell>
        </row>
        <row r="1007">
          <cell r="A1007" t="str">
            <v>47-2140</v>
          </cell>
          <cell r="B1007" t="str">
            <v>Painters and Paperhangers</v>
          </cell>
          <cell r="C1007" t="str">
            <v>broad</v>
          </cell>
          <cell r="D1007">
            <v>226760</v>
          </cell>
          <cell r="E1007">
            <v>1.6</v>
          </cell>
          <cell r="F1007">
            <v>55400</v>
          </cell>
          <cell r="G1007">
            <v>0.6</v>
          </cell>
          <cell r="H1007">
            <v>49420</v>
          </cell>
        </row>
        <row r="1008">
          <cell r="A1008" t="str">
            <v>25-9030</v>
          </cell>
          <cell r="B1008" t="str">
            <v>Instructional Coordinators</v>
          </cell>
          <cell r="C1008" t="str">
            <v>broad</v>
          </cell>
          <cell r="D1008">
            <v>227760</v>
          </cell>
          <cell r="E1008">
            <v>0.8</v>
          </cell>
          <cell r="F1008">
            <v>80920</v>
          </cell>
          <cell r="G1008">
            <v>0.3</v>
          </cell>
          <cell r="H1008">
            <v>77440</v>
          </cell>
        </row>
        <row r="1009">
          <cell r="A1009" t="str">
            <v>25-9031</v>
          </cell>
          <cell r="B1009" t="str">
            <v>Instructional Coordinators</v>
          </cell>
          <cell r="C1009" t="str">
            <v>detailed</v>
          </cell>
          <cell r="D1009">
            <v>227760</v>
          </cell>
          <cell r="E1009">
            <v>0.8</v>
          </cell>
          <cell r="F1009">
            <v>80920</v>
          </cell>
          <cell r="G1009">
            <v>0.3</v>
          </cell>
          <cell r="H1009">
            <v>77440</v>
          </cell>
        </row>
        <row r="1010">
          <cell r="A1010" t="str">
            <v>49-9050</v>
          </cell>
          <cell r="B1010" t="str">
            <v>Line Installers and Repairers</v>
          </cell>
          <cell r="C1010" t="str">
            <v>broad</v>
          </cell>
          <cell r="D1010">
            <v>228790</v>
          </cell>
          <cell r="E1010">
            <v>1.3</v>
          </cell>
          <cell r="F1010">
            <v>84270</v>
          </cell>
          <cell r="G1010">
            <v>0.5</v>
          </cell>
          <cell r="H1010">
            <v>81530</v>
          </cell>
        </row>
        <row r="1011">
          <cell r="A1011" t="str">
            <v>29-2034</v>
          </cell>
          <cell r="B1011" t="str">
            <v>Radiologic Technologists and Technicians</v>
          </cell>
          <cell r="C1011" t="str">
            <v>detailed</v>
          </cell>
          <cell r="D1011">
            <v>230490</v>
          </cell>
          <cell r="E1011">
            <v>0.9</v>
          </cell>
          <cell r="F1011">
            <v>83840</v>
          </cell>
          <cell r="G1011">
            <v>0.2</v>
          </cell>
          <cell r="H1011">
            <v>80110</v>
          </cell>
        </row>
        <row r="1012">
          <cell r="A1012" t="str">
            <v>25-4000</v>
          </cell>
          <cell r="B1012" t="str">
            <v>Librarians, Curators, and Archivists</v>
          </cell>
          <cell r="C1012" t="str">
            <v>minor</v>
          </cell>
          <cell r="D1012">
            <v>234910</v>
          </cell>
          <cell r="E1012">
            <v>0.8</v>
          </cell>
          <cell r="F1012">
            <v>63900</v>
          </cell>
          <cell r="G1012">
            <v>0.4</v>
          </cell>
          <cell r="H1012">
            <v>60470</v>
          </cell>
        </row>
        <row r="1013">
          <cell r="A1013" t="str">
            <v>49-3040</v>
          </cell>
          <cell r="B1013" t="str">
            <v>Heavy Vehicle and Mobile Equipment Service Technicians and Mechanics</v>
          </cell>
          <cell r="C1013" t="str">
            <v>broad</v>
          </cell>
          <cell r="D1013">
            <v>235820</v>
          </cell>
          <cell r="E1013">
            <v>1.2</v>
          </cell>
          <cell r="F1013">
            <v>67450</v>
          </cell>
          <cell r="G1013">
            <v>0.6</v>
          </cell>
          <cell r="H1013">
            <v>63850</v>
          </cell>
        </row>
        <row r="1014">
          <cell r="A1014" t="str">
            <v>39-5090</v>
          </cell>
          <cell r="B1014" t="str">
            <v>Miscellaneous Personal Appearance Workers</v>
          </cell>
          <cell r="C1014" t="str">
            <v>broad</v>
          </cell>
          <cell r="D1014">
            <v>236070</v>
          </cell>
          <cell r="E1014">
            <v>1.5</v>
          </cell>
          <cell r="F1014">
            <v>43070</v>
          </cell>
          <cell r="G1014">
            <v>0.9</v>
          </cell>
          <cell r="H1014">
            <v>36630</v>
          </cell>
        </row>
        <row r="1015">
          <cell r="A1015" t="str">
            <v>51-3010</v>
          </cell>
          <cell r="B1015" t="str">
            <v>Bakers</v>
          </cell>
          <cell r="C1015" t="str">
            <v>broad</v>
          </cell>
          <cell r="D1015">
            <v>236200</v>
          </cell>
          <cell r="E1015">
            <v>2</v>
          </cell>
          <cell r="F1015">
            <v>38480</v>
          </cell>
          <cell r="G1015">
            <v>0.4</v>
          </cell>
          <cell r="H1015">
            <v>37160</v>
          </cell>
        </row>
        <row r="1016">
          <cell r="A1016" t="str">
            <v>51-3011</v>
          </cell>
          <cell r="B1016" t="str">
            <v>Bakers</v>
          </cell>
          <cell r="C1016" t="str">
            <v>detailed</v>
          </cell>
          <cell r="D1016">
            <v>236200</v>
          </cell>
          <cell r="E1016">
            <v>2</v>
          </cell>
          <cell r="F1016">
            <v>38480</v>
          </cell>
          <cell r="G1016">
            <v>0.4</v>
          </cell>
          <cell r="H1016">
            <v>37160</v>
          </cell>
        </row>
        <row r="1017">
          <cell r="A1017" t="str">
            <v>11-9050</v>
          </cell>
          <cell r="B1017" t="str">
            <v>Food Service Managers</v>
          </cell>
          <cell r="C1017" t="str">
            <v>broad</v>
          </cell>
          <cell r="D1017">
            <v>238430</v>
          </cell>
          <cell r="E1017">
            <v>1.7</v>
          </cell>
          <cell r="F1017">
            <v>74880</v>
          </cell>
          <cell r="G1017">
            <v>0.6</v>
          </cell>
          <cell r="H1017">
            <v>69390</v>
          </cell>
        </row>
        <row r="1018">
          <cell r="A1018" t="str">
            <v>11-9051</v>
          </cell>
          <cell r="B1018" t="str">
            <v>Food Service Managers</v>
          </cell>
          <cell r="C1018" t="str">
            <v>detailed</v>
          </cell>
          <cell r="D1018">
            <v>238430</v>
          </cell>
          <cell r="E1018">
            <v>1.7</v>
          </cell>
          <cell r="F1018">
            <v>74880</v>
          </cell>
          <cell r="G1018">
            <v>0.6</v>
          </cell>
          <cell r="H1018">
            <v>69390</v>
          </cell>
        </row>
        <row r="1019">
          <cell r="A1019" t="str">
            <v>41-9020</v>
          </cell>
          <cell r="B1019" t="str">
            <v>Real Estate Brokers and Sales Agents</v>
          </cell>
          <cell r="C1019" t="str">
            <v>broad</v>
          </cell>
          <cell r="D1019">
            <v>239470</v>
          </cell>
          <cell r="E1019">
            <v>2.1</v>
          </cell>
          <cell r="F1019">
            <v>72290</v>
          </cell>
          <cell r="G1019">
            <v>1.6</v>
          </cell>
          <cell r="H1019">
            <v>57400</v>
          </cell>
        </row>
        <row r="1020">
          <cell r="A1020" t="str">
            <v>25-1120</v>
          </cell>
          <cell r="B1020" t="str">
            <v>Arts, Communications, History, and Humanities Teachers, Postsecondary</v>
          </cell>
          <cell r="C1020" t="str">
            <v>broad</v>
          </cell>
          <cell r="D1020">
            <v>239780</v>
          </cell>
          <cell r="E1020">
            <v>0.4</v>
          </cell>
          <cell r="F1020">
            <v>92420</v>
          </cell>
          <cell r="G1020">
            <v>0.3</v>
          </cell>
          <cell r="H1020">
            <v>79150</v>
          </cell>
        </row>
        <row r="1021">
          <cell r="A1021" t="str">
            <v>49-2090</v>
          </cell>
          <cell r="B1021" t="str">
            <v>Miscellaneous Electrical and Electronic Equipment Mechanics, Installers, and Repairers</v>
          </cell>
          <cell r="C1021" t="str">
            <v>broad</v>
          </cell>
          <cell r="D1021">
            <v>240630</v>
          </cell>
          <cell r="E1021">
            <v>1.4</v>
          </cell>
          <cell r="F1021">
            <v>70010</v>
          </cell>
          <cell r="G1021">
            <v>0.4</v>
          </cell>
          <cell r="H1021">
            <v>64070</v>
          </cell>
        </row>
        <row r="1022">
          <cell r="A1022" t="str">
            <v>39-1000</v>
          </cell>
          <cell r="B1022" t="str">
            <v>Supervisors of Personal Care and Service Workers</v>
          </cell>
          <cell r="C1022" t="str">
            <v>minor</v>
          </cell>
          <cell r="D1022">
            <v>243320</v>
          </cell>
          <cell r="E1022">
            <v>0.9</v>
          </cell>
          <cell r="F1022">
            <v>54200</v>
          </cell>
          <cell r="G1022">
            <v>0.5</v>
          </cell>
          <cell r="H1022">
            <v>49820</v>
          </cell>
        </row>
        <row r="1023">
          <cell r="A1023" t="str">
            <v>11-3050</v>
          </cell>
          <cell r="B1023" t="str">
            <v>Industrial Production Managers</v>
          </cell>
          <cell r="C1023" t="str">
            <v>broad</v>
          </cell>
          <cell r="D1023">
            <v>246250</v>
          </cell>
          <cell r="E1023">
            <v>0.5</v>
          </cell>
          <cell r="F1023">
            <v>134170</v>
          </cell>
          <cell r="G1023">
            <v>0.3</v>
          </cell>
          <cell r="H1023">
            <v>126060</v>
          </cell>
        </row>
        <row r="1024">
          <cell r="A1024" t="str">
            <v>11-3051</v>
          </cell>
          <cell r="B1024" t="str">
            <v>Industrial Production Managers</v>
          </cell>
          <cell r="C1024" t="str">
            <v>detailed</v>
          </cell>
          <cell r="D1024">
            <v>246250</v>
          </cell>
          <cell r="E1024">
            <v>0.5</v>
          </cell>
          <cell r="F1024">
            <v>134170</v>
          </cell>
          <cell r="G1024">
            <v>0.3</v>
          </cell>
          <cell r="H1024">
            <v>126060</v>
          </cell>
        </row>
        <row r="1025">
          <cell r="A1025" t="str">
            <v>51-2028</v>
          </cell>
          <cell r="B1025" t="str">
            <v>Electrical, Electronic, and Electromechanical Assemblers, Except Coil Winders, Tapers, and Finishers</v>
          </cell>
          <cell r="C1025" t="str">
            <v>detailed</v>
          </cell>
          <cell r="D1025">
            <v>246970</v>
          </cell>
          <cell r="E1025">
            <v>1.1000000000000001</v>
          </cell>
          <cell r="F1025">
            <v>47660</v>
          </cell>
          <cell r="G1025">
            <v>0.3</v>
          </cell>
          <cell r="H1025">
            <v>45850</v>
          </cell>
        </row>
        <row r="1026">
          <cell r="A1026" t="str">
            <v>53-3053</v>
          </cell>
          <cell r="B1026" t="str">
            <v>Shuttle Drivers and Chauffeurs</v>
          </cell>
          <cell r="C1026" t="str">
            <v>detailed</v>
          </cell>
          <cell r="D1026">
            <v>248530</v>
          </cell>
          <cell r="E1026">
            <v>1.3</v>
          </cell>
          <cell r="F1026">
            <v>39880</v>
          </cell>
          <cell r="G1026">
            <v>0.5</v>
          </cell>
          <cell r="H1026">
            <v>37290</v>
          </cell>
        </row>
        <row r="1027">
          <cell r="A1027" t="str">
            <v>27-2022</v>
          </cell>
          <cell r="B1027" t="str">
            <v>Coaches and Scouts</v>
          </cell>
          <cell r="C1027" t="str">
            <v>detailed</v>
          </cell>
          <cell r="D1027">
            <v>248950</v>
          </cell>
          <cell r="E1027">
            <v>1.5</v>
          </cell>
          <cell r="F1027">
            <v>60160</v>
          </cell>
          <cell r="G1027">
            <v>1.1000000000000001</v>
          </cell>
          <cell r="H1027">
            <v>47320</v>
          </cell>
        </row>
        <row r="1028">
          <cell r="A1028" t="str">
            <v>13-1081</v>
          </cell>
          <cell r="B1028" t="str">
            <v>Logisticians</v>
          </cell>
          <cell r="C1028" t="str">
            <v>detailed</v>
          </cell>
          <cell r="D1028">
            <v>251040</v>
          </cell>
          <cell r="E1028">
            <v>1</v>
          </cell>
          <cell r="F1028">
            <v>89730</v>
          </cell>
          <cell r="G1028">
            <v>0.4</v>
          </cell>
          <cell r="H1028">
            <v>82320</v>
          </cell>
        </row>
        <row r="1029">
          <cell r="A1029" t="str">
            <v>51-9199</v>
          </cell>
          <cell r="B1029" t="str">
            <v>Production Workers, All Other</v>
          </cell>
          <cell r="C1029" t="str">
            <v>detailed</v>
          </cell>
          <cell r="D1029">
            <v>251700</v>
          </cell>
          <cell r="E1029">
            <v>1.3</v>
          </cell>
          <cell r="F1029">
            <v>44380</v>
          </cell>
          <cell r="G1029">
            <v>0.3</v>
          </cell>
          <cell r="H1029">
            <v>40110</v>
          </cell>
        </row>
        <row r="1030">
          <cell r="A1030" t="str">
            <v>29-1290</v>
          </cell>
          <cell r="B1030" t="str">
            <v>Miscellaneous Healthcare Diagnosing or Treating Practitioners</v>
          </cell>
          <cell r="C1030" t="str">
            <v>broad</v>
          </cell>
          <cell r="D1030">
            <v>259190</v>
          </cell>
          <cell r="E1030">
            <v>1.4</v>
          </cell>
          <cell r="F1030">
            <v>101800</v>
          </cell>
          <cell r="G1030">
            <v>1.2</v>
          </cell>
          <cell r="H1030">
            <v>98370</v>
          </cell>
        </row>
        <row r="1031">
          <cell r="A1031" t="str">
            <v>51-2020</v>
          </cell>
          <cell r="B1031" t="str">
            <v>Electrical, Electronics, and Electromechanical Assemblers</v>
          </cell>
          <cell r="C1031" t="str">
            <v>broad</v>
          </cell>
          <cell r="D1031">
            <v>259810</v>
          </cell>
          <cell r="E1031">
            <v>1.1000000000000001</v>
          </cell>
          <cell r="F1031">
            <v>47800</v>
          </cell>
          <cell r="G1031">
            <v>0.3</v>
          </cell>
          <cell r="H1031">
            <v>45930</v>
          </cell>
        </row>
        <row r="1032">
          <cell r="A1032" t="str">
            <v>25-2052</v>
          </cell>
          <cell r="B1032" t="str">
            <v>Special Education Teachers, Kindergarten and Elementary School</v>
          </cell>
          <cell r="C1032" t="str">
            <v>detailed</v>
          </cell>
          <cell r="D1032">
            <v>260870</v>
          </cell>
          <cell r="E1032">
            <v>1.2</v>
          </cell>
          <cell r="F1032">
            <v>72650</v>
          </cell>
          <cell r="G1032">
            <v>0.5</v>
          </cell>
          <cell r="H1032">
            <v>65120</v>
          </cell>
        </row>
        <row r="1033">
          <cell r="A1033" t="str">
            <v>43-4080</v>
          </cell>
          <cell r="B1033" t="str">
            <v>Hotel, Motel, and Resort Desk Clerks</v>
          </cell>
          <cell r="C1033" t="str">
            <v>broad</v>
          </cell>
          <cell r="D1033">
            <v>261420</v>
          </cell>
          <cell r="E1033">
            <v>0.7</v>
          </cell>
          <cell r="F1033">
            <v>35550</v>
          </cell>
          <cell r="G1033">
            <v>0.3</v>
          </cell>
          <cell r="H1033">
            <v>35070</v>
          </cell>
        </row>
        <row r="1034">
          <cell r="A1034" t="str">
            <v>43-4081</v>
          </cell>
          <cell r="B1034" t="str">
            <v>Hotel, Motel, and Resort Desk Clerks</v>
          </cell>
          <cell r="C1034" t="str">
            <v>detailed</v>
          </cell>
          <cell r="D1034">
            <v>261420</v>
          </cell>
          <cell r="E1034">
            <v>0.7</v>
          </cell>
          <cell r="F1034">
            <v>35550</v>
          </cell>
          <cell r="G1034">
            <v>0.3</v>
          </cell>
          <cell r="H1034">
            <v>35070</v>
          </cell>
        </row>
        <row r="1035">
          <cell r="A1035" t="str">
            <v>15-2050</v>
          </cell>
          <cell r="B1035" t="str">
            <v>Data Scientists</v>
          </cell>
          <cell r="C1035" t="str">
            <v>broad</v>
          </cell>
          <cell r="D1035">
            <v>262440</v>
          </cell>
          <cell r="E1035">
            <v>1.1000000000000001</v>
          </cell>
          <cell r="F1035">
            <v>126800</v>
          </cell>
          <cell r="G1035">
            <v>0.7</v>
          </cell>
          <cell r="H1035">
            <v>120230</v>
          </cell>
        </row>
        <row r="1036">
          <cell r="A1036" t="str">
            <v>15-2051</v>
          </cell>
          <cell r="B1036" t="str">
            <v>Data Scientists</v>
          </cell>
          <cell r="C1036" t="str">
            <v>detailed</v>
          </cell>
          <cell r="D1036">
            <v>262440</v>
          </cell>
          <cell r="E1036">
            <v>1.1000000000000001</v>
          </cell>
          <cell r="F1036">
            <v>126800</v>
          </cell>
          <cell r="G1036">
            <v>0.7</v>
          </cell>
          <cell r="H1036">
            <v>120230</v>
          </cell>
        </row>
        <row r="1037">
          <cell r="A1037" t="str">
            <v>11-3012</v>
          </cell>
          <cell r="B1037" t="str">
            <v>Administrative Services Managers</v>
          </cell>
          <cell r="C1037" t="str">
            <v>detailed</v>
          </cell>
          <cell r="D1037">
            <v>263960</v>
          </cell>
          <cell r="E1037">
            <v>1.2</v>
          </cell>
          <cell r="F1037">
            <v>129870</v>
          </cell>
          <cell r="G1037">
            <v>0.5</v>
          </cell>
          <cell r="H1037">
            <v>114130</v>
          </cell>
        </row>
        <row r="1038">
          <cell r="A1038" t="str">
            <v>19-2000</v>
          </cell>
          <cell r="B1038" t="str">
            <v>Physical Scientists</v>
          </cell>
          <cell r="C1038" t="str">
            <v>minor</v>
          </cell>
          <cell r="D1038">
            <v>264650</v>
          </cell>
          <cell r="E1038">
            <v>1</v>
          </cell>
          <cell r="F1038">
            <v>108140</v>
          </cell>
          <cell r="G1038">
            <v>0.5</v>
          </cell>
          <cell r="H1038">
            <v>96290</v>
          </cell>
        </row>
        <row r="1039">
          <cell r="A1039" t="str">
            <v>45-2092</v>
          </cell>
          <cell r="B1039" t="str">
            <v>Farmworkers and Laborers, Crop, Nursery, and Greenhouse</v>
          </cell>
          <cell r="C1039" t="str">
            <v>detailed</v>
          </cell>
          <cell r="D1039">
            <v>265500</v>
          </cell>
          <cell r="E1039">
            <v>1</v>
          </cell>
          <cell r="F1039">
            <v>37630</v>
          </cell>
          <cell r="G1039">
            <v>0.4</v>
          </cell>
          <cell r="H1039">
            <v>35660</v>
          </cell>
        </row>
        <row r="1040">
          <cell r="A1040" t="str">
            <v>13-2052</v>
          </cell>
          <cell r="B1040" t="str">
            <v>Personal Financial Advisors</v>
          </cell>
          <cell r="C1040" t="str">
            <v>detailed</v>
          </cell>
          <cell r="D1040">
            <v>266800</v>
          </cell>
          <cell r="E1040">
            <v>2</v>
          </cell>
          <cell r="F1040">
            <v>156670</v>
          </cell>
          <cell r="G1040">
            <v>1.6</v>
          </cell>
          <cell r="H1040">
            <v>105070</v>
          </cell>
        </row>
        <row r="1041">
          <cell r="A1041" t="str">
            <v>39-2020</v>
          </cell>
          <cell r="B1041" t="str">
            <v>Animal Caretakers</v>
          </cell>
          <cell r="C1041" t="str">
            <v>broad</v>
          </cell>
          <cell r="D1041">
            <v>266910</v>
          </cell>
          <cell r="E1041">
            <v>1.2</v>
          </cell>
          <cell r="F1041">
            <v>37300</v>
          </cell>
          <cell r="G1041">
            <v>0.6</v>
          </cell>
          <cell r="H1041">
            <v>35360</v>
          </cell>
        </row>
        <row r="1042">
          <cell r="A1042" t="str">
            <v>39-2021</v>
          </cell>
          <cell r="B1042" t="str">
            <v>Animal Caretakers</v>
          </cell>
          <cell r="C1042" t="str">
            <v>detailed</v>
          </cell>
          <cell r="D1042">
            <v>266910</v>
          </cell>
          <cell r="E1042">
            <v>1.2</v>
          </cell>
          <cell r="F1042">
            <v>37300</v>
          </cell>
          <cell r="G1042">
            <v>0.6</v>
          </cell>
          <cell r="H1042">
            <v>35360</v>
          </cell>
        </row>
        <row r="1043">
          <cell r="A1043" t="str">
            <v>29-1123</v>
          </cell>
          <cell r="B1043" t="str">
            <v>Physical Therapists</v>
          </cell>
          <cell r="C1043" t="str">
            <v>detailed</v>
          </cell>
          <cell r="D1043">
            <v>267330</v>
          </cell>
          <cell r="E1043">
            <v>1</v>
          </cell>
          <cell r="F1043">
            <v>105280</v>
          </cell>
          <cell r="G1043">
            <v>0.3</v>
          </cell>
          <cell r="H1043">
            <v>102760</v>
          </cell>
        </row>
        <row r="1044">
          <cell r="A1044" t="str">
            <v>41-2022</v>
          </cell>
          <cell r="B1044" t="str">
            <v>Parts Salespersons</v>
          </cell>
          <cell r="C1044" t="str">
            <v>detailed</v>
          </cell>
          <cell r="D1044">
            <v>270070</v>
          </cell>
          <cell r="E1044">
            <v>1</v>
          </cell>
          <cell r="F1044">
            <v>43830</v>
          </cell>
          <cell r="G1044">
            <v>0.4</v>
          </cell>
          <cell r="H1044">
            <v>38630</v>
          </cell>
        </row>
        <row r="1045">
          <cell r="A1045" t="str">
            <v>51-4030</v>
          </cell>
          <cell r="B1045" t="str">
            <v>Machine Tool Cutting Setters, Operators, and Tenders, Metal and Plastic</v>
          </cell>
          <cell r="C1045" t="str">
            <v>broad</v>
          </cell>
          <cell r="D1045">
            <v>272050</v>
          </cell>
          <cell r="E1045">
            <v>0.9</v>
          </cell>
          <cell r="F1045">
            <v>49050</v>
          </cell>
          <cell r="G1045">
            <v>0.2</v>
          </cell>
          <cell r="H1045">
            <v>46760</v>
          </cell>
        </row>
        <row r="1046">
          <cell r="A1046" t="str">
            <v>13-2072</v>
          </cell>
          <cell r="B1046" t="str">
            <v>Loan Officers</v>
          </cell>
          <cell r="C1046" t="str">
            <v>detailed</v>
          </cell>
          <cell r="D1046">
            <v>274330</v>
          </cell>
          <cell r="E1046">
            <v>1.1000000000000001</v>
          </cell>
          <cell r="F1046">
            <v>87790</v>
          </cell>
          <cell r="G1046">
            <v>0.6</v>
          </cell>
          <cell r="H1046">
            <v>76690</v>
          </cell>
        </row>
        <row r="1047">
          <cell r="A1047" t="str">
            <v>25-1190</v>
          </cell>
          <cell r="B1047" t="str">
            <v>Miscellaneous Postsecondary Teachers</v>
          </cell>
          <cell r="C1047" t="str">
            <v>broad</v>
          </cell>
          <cell r="D1047">
            <v>279350</v>
          </cell>
          <cell r="E1047">
            <v>0.6</v>
          </cell>
          <cell r="F1047">
            <v>82770</v>
          </cell>
          <cell r="G1047">
            <v>0.3</v>
          </cell>
          <cell r="H1047">
            <v>72830</v>
          </cell>
        </row>
        <row r="1048">
          <cell r="A1048" t="str">
            <v>27-2020</v>
          </cell>
          <cell r="B1048" t="str">
            <v>Athletes, Coaches, Umpires, and Related Workers</v>
          </cell>
          <cell r="C1048" t="str">
            <v>broad</v>
          </cell>
          <cell r="D1048">
            <v>279790</v>
          </cell>
          <cell r="E1048">
            <v>1.5</v>
          </cell>
          <cell r="F1048">
            <v>67610</v>
          </cell>
          <cell r="G1048">
            <v>2.1</v>
          </cell>
          <cell r="H1048">
            <v>47320</v>
          </cell>
        </row>
        <row r="1049">
          <cell r="A1049" t="str">
            <v>29-2040</v>
          </cell>
          <cell r="B1049" t="str">
            <v>Emergency Medical Technicians and Paramedics</v>
          </cell>
          <cell r="C1049" t="str">
            <v>broad</v>
          </cell>
          <cell r="D1049">
            <v>281120</v>
          </cell>
          <cell r="E1049">
            <v>0.9</v>
          </cell>
          <cell r="F1049">
            <v>52750</v>
          </cell>
          <cell r="G1049">
            <v>0.3</v>
          </cell>
          <cell r="H1049">
            <v>48150</v>
          </cell>
        </row>
        <row r="1050">
          <cell r="A1050" t="str">
            <v>51-8000</v>
          </cell>
          <cell r="B1050" t="str">
            <v>Plant and System Operators</v>
          </cell>
          <cell r="C1050" t="str">
            <v>minor</v>
          </cell>
          <cell r="D1050">
            <v>281600</v>
          </cell>
          <cell r="E1050">
            <v>0.9</v>
          </cell>
          <cell r="F1050">
            <v>77280</v>
          </cell>
          <cell r="G1050">
            <v>0.3</v>
          </cell>
          <cell r="H1050">
            <v>74100</v>
          </cell>
        </row>
        <row r="1051">
          <cell r="A1051" t="str">
            <v>27-3030</v>
          </cell>
          <cell r="B1051" t="str">
            <v>Public Relations Specialists</v>
          </cell>
          <cell r="C1051" t="str">
            <v>broad</v>
          </cell>
          <cell r="D1051">
            <v>283380</v>
          </cell>
          <cell r="E1051">
            <v>1.1000000000000001</v>
          </cell>
          <cell r="F1051">
            <v>84120</v>
          </cell>
          <cell r="G1051">
            <v>1.1000000000000001</v>
          </cell>
          <cell r="H1051">
            <v>74750</v>
          </cell>
        </row>
        <row r="1052">
          <cell r="A1052" t="str">
            <v>27-3031</v>
          </cell>
          <cell r="B1052" t="str">
            <v>Public Relations Specialists</v>
          </cell>
          <cell r="C1052" t="str">
            <v>detailed</v>
          </cell>
          <cell r="D1052">
            <v>283380</v>
          </cell>
          <cell r="E1052">
            <v>1.1000000000000001</v>
          </cell>
          <cell r="F1052">
            <v>84120</v>
          </cell>
          <cell r="G1052">
            <v>1.1000000000000001</v>
          </cell>
          <cell r="H1052">
            <v>74750</v>
          </cell>
        </row>
        <row r="1053">
          <cell r="A1053" t="str">
            <v>41-4011</v>
          </cell>
          <cell r="B1053" t="str">
            <v>Sales Representatives, Wholesale and Manufacturing, Technical and Scientific Products</v>
          </cell>
          <cell r="C1053" t="str">
            <v>detailed</v>
          </cell>
          <cell r="D1053">
            <v>284800</v>
          </cell>
          <cell r="E1053">
            <v>1.8</v>
          </cell>
          <cell r="F1053">
            <v>119730</v>
          </cell>
          <cell r="G1053">
            <v>0.8</v>
          </cell>
          <cell r="H1053">
            <v>104920</v>
          </cell>
        </row>
        <row r="1054">
          <cell r="A1054" t="str">
            <v>39-2000</v>
          </cell>
          <cell r="B1054" t="str">
            <v>Animal Care and Service Workers</v>
          </cell>
          <cell r="C1054" t="str">
            <v>minor</v>
          </cell>
          <cell r="D1054">
            <v>285680</v>
          </cell>
          <cell r="E1054">
            <v>1.2</v>
          </cell>
          <cell r="F1054">
            <v>37940</v>
          </cell>
          <cell r="G1054">
            <v>0.6</v>
          </cell>
          <cell r="H1054">
            <v>35530</v>
          </cell>
        </row>
        <row r="1055">
          <cell r="A1055" t="str">
            <v>51-4040</v>
          </cell>
          <cell r="B1055" t="str">
            <v>Machinists</v>
          </cell>
          <cell r="C1055" t="str">
            <v>broad</v>
          </cell>
          <cell r="D1055">
            <v>287050</v>
          </cell>
          <cell r="E1055">
            <v>0.9</v>
          </cell>
          <cell r="F1055">
            <v>59320</v>
          </cell>
          <cell r="G1055">
            <v>0.2</v>
          </cell>
          <cell r="H1055">
            <v>58750</v>
          </cell>
        </row>
        <row r="1056">
          <cell r="A1056" t="str">
            <v>51-4041</v>
          </cell>
          <cell r="B1056" t="str">
            <v>Machinists</v>
          </cell>
          <cell r="C1056" t="str">
            <v>detailed</v>
          </cell>
          <cell r="D1056">
            <v>287050</v>
          </cell>
          <cell r="E1056">
            <v>0.9</v>
          </cell>
          <cell r="F1056">
            <v>59320</v>
          </cell>
          <cell r="G1056">
            <v>0.2</v>
          </cell>
          <cell r="H1056">
            <v>58750</v>
          </cell>
        </row>
        <row r="1057">
          <cell r="A1057" t="str">
            <v>19-3000</v>
          </cell>
          <cell r="B1057" t="str">
            <v>Social Scientists and Related Workers</v>
          </cell>
          <cell r="C1057" t="str">
            <v>minor</v>
          </cell>
          <cell r="D1057">
            <v>288600</v>
          </cell>
          <cell r="E1057">
            <v>1.1000000000000001</v>
          </cell>
          <cell r="F1057">
            <v>106250</v>
          </cell>
          <cell r="G1057">
            <v>0.9</v>
          </cell>
          <cell r="H1057">
            <v>97900</v>
          </cell>
        </row>
        <row r="1058">
          <cell r="A1058" t="str">
            <v>49-3030</v>
          </cell>
          <cell r="B1058" t="str">
            <v>Bus and Truck Mechanics and Diesel Engine Specialists</v>
          </cell>
          <cell r="C1058" t="str">
            <v>broad</v>
          </cell>
          <cell r="D1058">
            <v>289960</v>
          </cell>
          <cell r="E1058">
            <v>1</v>
          </cell>
          <cell r="F1058">
            <v>64320</v>
          </cell>
          <cell r="G1058">
            <v>0.3</v>
          </cell>
          <cell r="H1058">
            <v>61770</v>
          </cell>
        </row>
        <row r="1059">
          <cell r="A1059" t="str">
            <v>49-3031</v>
          </cell>
          <cell r="B1059" t="str">
            <v>Bus and Truck Mechanics and Diesel Engine Specialists</v>
          </cell>
          <cell r="C1059" t="str">
            <v>detailed</v>
          </cell>
          <cell r="D1059">
            <v>289960</v>
          </cell>
          <cell r="E1059">
            <v>1</v>
          </cell>
          <cell r="F1059">
            <v>64320</v>
          </cell>
          <cell r="G1059">
            <v>0.3</v>
          </cell>
          <cell r="H1059">
            <v>61770</v>
          </cell>
        </row>
        <row r="1060">
          <cell r="A1060" t="str">
            <v>51-3090</v>
          </cell>
          <cell r="B1060" t="str">
            <v>Miscellaneous Food Processing Workers</v>
          </cell>
          <cell r="C1060" t="str">
            <v>broad</v>
          </cell>
          <cell r="D1060">
            <v>291140</v>
          </cell>
          <cell r="E1060">
            <v>1.1000000000000001</v>
          </cell>
          <cell r="F1060">
            <v>43010</v>
          </cell>
          <cell r="G1060">
            <v>0.3</v>
          </cell>
          <cell r="H1060">
            <v>41230</v>
          </cell>
        </row>
        <row r="1061">
          <cell r="A1061" t="str">
            <v>35-3040</v>
          </cell>
          <cell r="B1061" t="str">
            <v>Food Servers, Nonrestaurant</v>
          </cell>
          <cell r="C1061" t="str">
            <v>broad</v>
          </cell>
          <cell r="D1061">
            <v>293900</v>
          </cell>
          <cell r="E1061">
            <v>1.3</v>
          </cell>
          <cell r="F1061">
            <v>36140</v>
          </cell>
          <cell r="G1061">
            <v>0.4</v>
          </cell>
          <cell r="H1061">
            <v>35360</v>
          </cell>
        </row>
        <row r="1062">
          <cell r="A1062" t="str">
            <v>35-3041</v>
          </cell>
          <cell r="B1062" t="str">
            <v>Food Servers, Nonrestaurant</v>
          </cell>
          <cell r="C1062" t="str">
            <v>detailed</v>
          </cell>
          <cell r="D1062">
            <v>293900</v>
          </cell>
          <cell r="E1062">
            <v>1.3</v>
          </cell>
          <cell r="F1062">
            <v>36140</v>
          </cell>
          <cell r="G1062">
            <v>0.4</v>
          </cell>
          <cell r="H1062">
            <v>35360</v>
          </cell>
        </row>
        <row r="1063">
          <cell r="A1063" t="str">
            <v>17-2070</v>
          </cell>
          <cell r="B1063" t="str">
            <v>Electrical and Electronics Engineers</v>
          </cell>
          <cell r="C1063" t="str">
            <v>broad</v>
          </cell>
          <cell r="D1063">
            <v>295650</v>
          </cell>
          <cell r="E1063">
            <v>1.4</v>
          </cell>
          <cell r="F1063">
            <v>129100</v>
          </cell>
          <cell r="G1063">
            <v>0.5</v>
          </cell>
          <cell r="H1063">
            <v>125040</v>
          </cell>
        </row>
        <row r="1064">
          <cell r="A1064" t="str">
            <v>17-2140</v>
          </cell>
          <cell r="B1064" t="str">
            <v>Mechanical Engineers</v>
          </cell>
          <cell r="C1064" t="str">
            <v>broad</v>
          </cell>
          <cell r="D1064">
            <v>296810</v>
          </cell>
          <cell r="E1064">
            <v>1.3</v>
          </cell>
          <cell r="F1064">
            <v>113610</v>
          </cell>
          <cell r="G1064">
            <v>0.4</v>
          </cell>
          <cell r="H1064">
            <v>104110</v>
          </cell>
        </row>
        <row r="1065">
          <cell r="A1065" t="str">
            <v>17-2141</v>
          </cell>
          <cell r="B1065" t="str">
            <v>Mechanical Engineers</v>
          </cell>
          <cell r="C1065" t="str">
            <v>detailed</v>
          </cell>
          <cell r="D1065">
            <v>296810</v>
          </cell>
          <cell r="E1065">
            <v>1.3</v>
          </cell>
          <cell r="F1065">
            <v>113610</v>
          </cell>
          <cell r="G1065">
            <v>0.4</v>
          </cell>
          <cell r="H1065">
            <v>104110</v>
          </cell>
        </row>
        <row r="1066">
          <cell r="A1066" t="str">
            <v>25-1070</v>
          </cell>
          <cell r="B1066" t="str">
            <v>Health Teachers, Postsecondary</v>
          </cell>
          <cell r="C1066" t="str">
            <v>broad</v>
          </cell>
          <cell r="D1066">
            <v>299230</v>
          </cell>
          <cell r="E1066">
            <v>0.6</v>
          </cell>
          <cell r="F1066">
            <v>131640</v>
          </cell>
          <cell r="G1066">
            <v>0.4</v>
          </cell>
          <cell r="H1066">
            <v>99830</v>
          </cell>
        </row>
        <row r="1067">
          <cell r="A1067" t="str">
            <v>13-2070</v>
          </cell>
          <cell r="B1067" t="str">
            <v>Credit Counselors and Loan Officers</v>
          </cell>
          <cell r="C1067" t="str">
            <v>broad</v>
          </cell>
          <cell r="D1067">
            <v>302100</v>
          </cell>
          <cell r="E1067">
            <v>1</v>
          </cell>
          <cell r="F1067">
            <v>84980</v>
          </cell>
          <cell r="G1067">
            <v>0.6</v>
          </cell>
          <cell r="H1067">
            <v>73940</v>
          </cell>
        </row>
        <row r="1068">
          <cell r="A1068" t="str">
            <v>43-5030</v>
          </cell>
          <cell r="B1068" t="str">
            <v>Dispatchers</v>
          </cell>
          <cell r="C1068" t="str">
            <v>broad</v>
          </cell>
          <cell r="D1068">
            <v>305300</v>
          </cell>
          <cell r="E1068">
            <v>1.7</v>
          </cell>
          <cell r="F1068">
            <v>55410</v>
          </cell>
          <cell r="G1068">
            <v>0.5</v>
          </cell>
          <cell r="H1068">
            <v>51070</v>
          </cell>
        </row>
        <row r="1069">
          <cell r="A1069" t="str">
            <v>39-5012</v>
          </cell>
          <cell r="B1069" t="str">
            <v>Hairdressers, Hairstylists, and Cosmetologists</v>
          </cell>
          <cell r="C1069" t="str">
            <v>detailed</v>
          </cell>
          <cell r="D1069">
            <v>305710</v>
          </cell>
          <cell r="E1069">
            <v>1.2</v>
          </cell>
          <cell r="F1069">
            <v>43960</v>
          </cell>
          <cell r="G1069">
            <v>1</v>
          </cell>
          <cell r="H1069">
            <v>35790</v>
          </cell>
        </row>
        <row r="1070">
          <cell r="A1070" t="str">
            <v>37-1000</v>
          </cell>
          <cell r="B1070" t="str">
            <v>Supervisors of Building and Grounds Cleaning and Maintenance Workers</v>
          </cell>
          <cell r="C1070" t="str">
            <v>minor</v>
          </cell>
          <cell r="D1070">
            <v>309510</v>
          </cell>
          <cell r="E1070">
            <v>0.9</v>
          </cell>
          <cell r="F1070">
            <v>56550</v>
          </cell>
          <cell r="G1070">
            <v>0.4</v>
          </cell>
          <cell r="H1070">
            <v>52940</v>
          </cell>
        </row>
        <row r="1071">
          <cell r="A1071" t="str">
            <v>37-1010</v>
          </cell>
          <cell r="B1071" t="str">
            <v>First-Line Supervisors of Building and Grounds Cleaning and Maintenance Workers</v>
          </cell>
          <cell r="C1071" t="str">
            <v>broad</v>
          </cell>
          <cell r="D1071">
            <v>309510</v>
          </cell>
          <cell r="E1071">
            <v>0.9</v>
          </cell>
          <cell r="F1071">
            <v>56550</v>
          </cell>
          <cell r="G1071">
            <v>0.4</v>
          </cell>
          <cell r="H1071">
            <v>52940</v>
          </cell>
        </row>
        <row r="1072">
          <cell r="A1072" t="str">
            <v>11-9140</v>
          </cell>
          <cell r="B1072" t="str">
            <v>Property, Real Estate, and Community Association Managers</v>
          </cell>
          <cell r="C1072" t="str">
            <v>broad</v>
          </cell>
          <cell r="D1072">
            <v>311180</v>
          </cell>
          <cell r="E1072">
            <v>1.8</v>
          </cell>
          <cell r="F1072">
            <v>83710</v>
          </cell>
          <cell r="G1072">
            <v>1.2</v>
          </cell>
          <cell r="H1072">
            <v>69990</v>
          </cell>
        </row>
        <row r="1073">
          <cell r="A1073" t="str">
            <v>11-9141</v>
          </cell>
          <cell r="B1073" t="str">
            <v>Property, Real Estate, and Community Association Managers</v>
          </cell>
          <cell r="C1073" t="str">
            <v>detailed</v>
          </cell>
          <cell r="D1073">
            <v>311180</v>
          </cell>
          <cell r="E1073">
            <v>1.8</v>
          </cell>
          <cell r="F1073">
            <v>83710</v>
          </cell>
          <cell r="G1073">
            <v>1.2</v>
          </cell>
          <cell r="H1073">
            <v>69990</v>
          </cell>
        </row>
        <row r="1074">
          <cell r="A1074" t="str">
            <v>15-1244</v>
          </cell>
          <cell r="B1074" t="str">
            <v>Network and Computer Systems Administrators</v>
          </cell>
          <cell r="C1074" t="str">
            <v>detailed</v>
          </cell>
          <cell r="D1074">
            <v>314340</v>
          </cell>
          <cell r="E1074">
            <v>1</v>
          </cell>
          <cell r="F1074">
            <v>103680</v>
          </cell>
          <cell r="G1074">
            <v>0.6</v>
          </cell>
          <cell r="H1074">
            <v>99130</v>
          </cell>
        </row>
        <row r="1075">
          <cell r="A1075" t="str">
            <v>53-2000</v>
          </cell>
          <cell r="B1075" t="str">
            <v>Air Transportation Workers</v>
          </cell>
          <cell r="C1075" t="str">
            <v>minor</v>
          </cell>
          <cell r="D1075">
            <v>320540</v>
          </cell>
          <cell r="E1075">
            <v>0.7</v>
          </cell>
          <cell r="F1075">
            <v>160070</v>
          </cell>
          <cell r="G1075">
            <v>1.6</v>
          </cell>
          <cell r="H1075">
            <v>108460</v>
          </cell>
        </row>
        <row r="1076">
          <cell r="A1076" t="str">
            <v>39-5010</v>
          </cell>
          <cell r="B1076" t="str">
            <v>Barbers, Hairdressers, Hairstylists and Cosmetologists</v>
          </cell>
          <cell r="C1076" t="str">
            <v>broad</v>
          </cell>
          <cell r="D1076">
            <v>320710</v>
          </cell>
          <cell r="E1076">
            <v>1.1000000000000001</v>
          </cell>
          <cell r="F1076">
            <v>44100</v>
          </cell>
          <cell r="G1076">
            <v>1</v>
          </cell>
          <cell r="H1076">
            <v>35880</v>
          </cell>
        </row>
        <row r="1077">
          <cell r="A1077" t="str">
            <v>29-1050</v>
          </cell>
          <cell r="B1077" t="str">
            <v>Pharmacists</v>
          </cell>
          <cell r="C1077" t="str">
            <v>broad</v>
          </cell>
          <cell r="D1077">
            <v>321970</v>
          </cell>
          <cell r="E1077">
            <v>0.9</v>
          </cell>
          <cell r="F1077">
            <v>140920</v>
          </cell>
          <cell r="G1077">
            <v>0.3</v>
          </cell>
          <cell r="H1077">
            <v>140910</v>
          </cell>
        </row>
        <row r="1078">
          <cell r="A1078" t="str">
            <v>29-1051</v>
          </cell>
          <cell r="B1078" t="str">
            <v>Pharmacists</v>
          </cell>
          <cell r="C1078" t="str">
            <v>detailed</v>
          </cell>
          <cell r="D1078">
            <v>321970</v>
          </cell>
          <cell r="E1078">
            <v>0.9</v>
          </cell>
          <cell r="F1078">
            <v>140920</v>
          </cell>
          <cell r="G1078">
            <v>0.3</v>
          </cell>
          <cell r="H1078">
            <v>140910</v>
          </cell>
        </row>
        <row r="1079">
          <cell r="A1079" t="str">
            <v>39-9031</v>
          </cell>
          <cell r="B1079" t="str">
            <v>Exercise Trainers and Group Fitness Instructors</v>
          </cell>
          <cell r="C1079" t="str">
            <v>detailed</v>
          </cell>
          <cell r="D1079">
            <v>322930</v>
          </cell>
          <cell r="E1079">
            <v>1.3</v>
          </cell>
          <cell r="F1079">
            <v>52420</v>
          </cell>
          <cell r="G1079">
            <v>1</v>
          </cell>
          <cell r="H1079">
            <v>47160</v>
          </cell>
        </row>
        <row r="1080">
          <cell r="A1080" t="str">
            <v>29-1170</v>
          </cell>
          <cell r="B1080" t="str">
            <v>Nurse Practitioners</v>
          </cell>
          <cell r="C1080" t="str">
            <v>broad</v>
          </cell>
          <cell r="D1080">
            <v>323040</v>
          </cell>
          <cell r="E1080">
            <v>1.2</v>
          </cell>
          <cell r="F1080">
            <v>137300</v>
          </cell>
          <cell r="G1080">
            <v>0.3</v>
          </cell>
          <cell r="H1080">
            <v>132300</v>
          </cell>
        </row>
        <row r="1081">
          <cell r="A1081" t="str">
            <v>29-1171</v>
          </cell>
          <cell r="B1081" t="str">
            <v>Nurse Practitioners</v>
          </cell>
          <cell r="C1081" t="str">
            <v>detailed</v>
          </cell>
          <cell r="D1081">
            <v>323040</v>
          </cell>
          <cell r="E1081">
            <v>1.2</v>
          </cell>
          <cell r="F1081">
            <v>137300</v>
          </cell>
          <cell r="G1081">
            <v>0.3</v>
          </cell>
          <cell r="H1081">
            <v>132300</v>
          </cell>
        </row>
        <row r="1082">
          <cell r="A1082" t="str">
            <v>13-1031</v>
          </cell>
          <cell r="B1082" t="str">
            <v>Claims Adjusters, Examiners, and Investigators</v>
          </cell>
          <cell r="C1082" t="str">
            <v>detailed</v>
          </cell>
          <cell r="D1082">
            <v>324230</v>
          </cell>
          <cell r="E1082">
            <v>1.2</v>
          </cell>
          <cell r="F1082">
            <v>80470</v>
          </cell>
          <cell r="G1082">
            <v>0.3</v>
          </cell>
          <cell r="H1082">
            <v>78000</v>
          </cell>
        </row>
        <row r="1083">
          <cell r="A1083" t="str">
            <v>11-9032</v>
          </cell>
          <cell r="B1083" t="str">
            <v>Education Administrators, Kindergarten through Secondary</v>
          </cell>
          <cell r="C1083" t="str">
            <v>detailed</v>
          </cell>
          <cell r="D1083">
            <v>328330</v>
          </cell>
          <cell r="E1083">
            <v>0.6</v>
          </cell>
          <cell r="F1083">
            <v>116100</v>
          </cell>
          <cell r="G1083">
            <v>0.3</v>
          </cell>
          <cell r="H1083">
            <v>105870</v>
          </cell>
        </row>
        <row r="1084">
          <cell r="A1084" t="str">
            <v>43-5052</v>
          </cell>
          <cell r="B1084" t="str">
            <v>Postal Service Mail Carriers</v>
          </cell>
          <cell r="C1084" t="str">
            <v>detailed</v>
          </cell>
          <cell r="D1084">
            <v>328820</v>
          </cell>
          <cell r="E1084">
            <v>0</v>
          </cell>
          <cell r="F1084">
            <v>62540</v>
          </cell>
          <cell r="G1084">
            <v>0</v>
          </cell>
          <cell r="H1084">
            <v>60550</v>
          </cell>
        </row>
        <row r="1085">
          <cell r="A1085" t="str">
            <v>43-3070</v>
          </cell>
          <cell r="B1085" t="str">
            <v>Tellers</v>
          </cell>
          <cell r="C1085" t="str">
            <v>broad</v>
          </cell>
          <cell r="D1085">
            <v>329480</v>
          </cell>
          <cell r="E1085">
            <v>1.3</v>
          </cell>
          <cell r="F1085">
            <v>42350</v>
          </cell>
          <cell r="G1085">
            <v>0.3</v>
          </cell>
          <cell r="H1085">
            <v>43030</v>
          </cell>
        </row>
        <row r="1086">
          <cell r="A1086" t="str">
            <v>43-3071</v>
          </cell>
          <cell r="B1086" t="str">
            <v>Tellers</v>
          </cell>
          <cell r="C1086" t="str">
            <v>detailed</v>
          </cell>
          <cell r="D1086">
            <v>329480</v>
          </cell>
          <cell r="E1086">
            <v>1.3</v>
          </cell>
          <cell r="F1086">
            <v>42350</v>
          </cell>
          <cell r="G1086">
            <v>0.3</v>
          </cell>
          <cell r="H1086">
            <v>43030</v>
          </cell>
        </row>
        <row r="1087">
          <cell r="A1087" t="str">
            <v>45-2090</v>
          </cell>
          <cell r="B1087" t="str">
            <v>Miscellaneous Agricultural Workers</v>
          </cell>
          <cell r="C1087" t="str">
            <v>broad</v>
          </cell>
          <cell r="D1087">
            <v>330420</v>
          </cell>
          <cell r="E1087">
            <v>0.8</v>
          </cell>
          <cell r="F1087">
            <v>38400</v>
          </cell>
          <cell r="G1087">
            <v>0.4</v>
          </cell>
          <cell r="H1087">
            <v>35870</v>
          </cell>
        </row>
        <row r="1088">
          <cell r="A1088" t="str">
            <v>39-9032</v>
          </cell>
          <cell r="B1088" t="str">
            <v>Recreation Workers</v>
          </cell>
          <cell r="C1088" t="str">
            <v>detailed</v>
          </cell>
          <cell r="D1088">
            <v>331490</v>
          </cell>
          <cell r="E1088">
            <v>1.1000000000000001</v>
          </cell>
          <cell r="F1088">
            <v>38520</v>
          </cell>
          <cell r="G1088">
            <v>0.4</v>
          </cell>
          <cell r="H1088">
            <v>36560</v>
          </cell>
        </row>
        <row r="1089">
          <cell r="A1089" t="str">
            <v>25-3020</v>
          </cell>
          <cell r="B1089" t="str">
            <v>Self-Enrichment Teachers</v>
          </cell>
          <cell r="C1089" t="str">
            <v>broad</v>
          </cell>
          <cell r="D1089">
            <v>332110</v>
          </cell>
          <cell r="E1089">
            <v>1.3</v>
          </cell>
          <cell r="F1089">
            <v>54740</v>
          </cell>
          <cell r="G1089">
            <v>0.8</v>
          </cell>
          <cell r="H1089">
            <v>46800</v>
          </cell>
        </row>
        <row r="1090">
          <cell r="A1090" t="str">
            <v>25-3021</v>
          </cell>
          <cell r="B1090" t="str">
            <v>Self-Enrichment Teachers</v>
          </cell>
          <cell r="C1090" t="str">
            <v>detailed</v>
          </cell>
          <cell r="D1090">
            <v>332110</v>
          </cell>
          <cell r="E1090">
            <v>1.3</v>
          </cell>
          <cell r="F1090">
            <v>54740</v>
          </cell>
          <cell r="G1090">
            <v>0.8</v>
          </cell>
          <cell r="H1090">
            <v>46800</v>
          </cell>
        </row>
        <row r="1091">
          <cell r="A1091" t="str">
            <v>29-2010</v>
          </cell>
          <cell r="B1091" t="str">
            <v>Clinical Laboratory Technologists and Technicians</v>
          </cell>
          <cell r="C1091" t="str">
            <v>broad</v>
          </cell>
          <cell r="D1091">
            <v>332940</v>
          </cell>
          <cell r="E1091">
            <v>0.9</v>
          </cell>
          <cell r="F1091">
            <v>67350</v>
          </cell>
          <cell r="G1091">
            <v>0.3</v>
          </cell>
          <cell r="H1091">
            <v>62930</v>
          </cell>
        </row>
        <row r="1092">
          <cell r="A1092" t="str">
            <v>29-2010</v>
          </cell>
          <cell r="B1092" t="str">
            <v>Clinical Laboratory Technologists and Technicians</v>
          </cell>
          <cell r="C1092" t="str">
            <v>detailed</v>
          </cell>
          <cell r="D1092">
            <v>332940</v>
          </cell>
          <cell r="E1092">
            <v>0.9</v>
          </cell>
          <cell r="F1092">
            <v>67350</v>
          </cell>
          <cell r="G1092">
            <v>0.3</v>
          </cell>
          <cell r="H1092">
            <v>62930</v>
          </cell>
        </row>
        <row r="1093">
          <cell r="A1093" t="str">
            <v>13-1030</v>
          </cell>
          <cell r="B1093" t="str">
            <v>Claims Adjusters, Appraisers, Examiners, and Investigators</v>
          </cell>
          <cell r="C1093" t="str">
            <v>broad</v>
          </cell>
          <cell r="D1093">
            <v>335790</v>
          </cell>
          <cell r="E1093">
            <v>1.2</v>
          </cell>
          <cell r="F1093">
            <v>80420</v>
          </cell>
          <cell r="G1093">
            <v>0.3</v>
          </cell>
          <cell r="H1093">
            <v>78020</v>
          </cell>
        </row>
        <row r="1094">
          <cell r="A1094" t="str">
            <v>29-1229</v>
          </cell>
          <cell r="B1094" t="str">
            <v>Physicians, All Other</v>
          </cell>
          <cell r="C1094" t="str">
            <v>detailed</v>
          </cell>
          <cell r="D1094">
            <v>342720</v>
          </cell>
          <cell r="E1094">
            <v>1.4</v>
          </cell>
          <cell r="F1094">
            <v>262040</v>
          </cell>
          <cell r="G1094">
            <v>1</v>
          </cell>
          <cell r="H1094">
            <v>265930</v>
          </cell>
        </row>
        <row r="1095">
          <cell r="A1095" t="str">
            <v>33-2010</v>
          </cell>
          <cell r="B1095" t="str">
            <v>Firefighters</v>
          </cell>
          <cell r="C1095" t="str">
            <v>broad</v>
          </cell>
          <cell r="D1095">
            <v>345990</v>
          </cell>
          <cell r="E1095">
            <v>1.1000000000000001</v>
          </cell>
          <cell r="F1095">
            <v>63630</v>
          </cell>
          <cell r="G1095">
            <v>0.6</v>
          </cell>
          <cell r="H1095">
            <v>59280</v>
          </cell>
        </row>
        <row r="1096">
          <cell r="A1096" t="str">
            <v>33-2011</v>
          </cell>
          <cell r="B1096" t="str">
            <v>Firefighters</v>
          </cell>
          <cell r="C1096" t="str">
            <v>detailed</v>
          </cell>
          <cell r="D1096">
            <v>345990</v>
          </cell>
          <cell r="E1096">
            <v>1.1000000000000001</v>
          </cell>
          <cell r="F1096">
            <v>63630</v>
          </cell>
          <cell r="G1096">
            <v>0.6</v>
          </cell>
          <cell r="H1096">
            <v>59280</v>
          </cell>
        </row>
        <row r="1097">
          <cell r="A1097" t="str">
            <v>53-6000</v>
          </cell>
          <cell r="B1097" t="str">
            <v>Other Transportation Workers</v>
          </cell>
          <cell r="C1097" t="str">
            <v>minor</v>
          </cell>
          <cell r="D1097">
            <v>347240</v>
          </cell>
          <cell r="E1097">
            <v>1.2</v>
          </cell>
          <cell r="F1097">
            <v>41680</v>
          </cell>
          <cell r="G1097">
            <v>0.4</v>
          </cell>
          <cell r="H1097">
            <v>36460</v>
          </cell>
        </row>
        <row r="1098">
          <cell r="A1098" t="str">
            <v>49-9090</v>
          </cell>
          <cell r="B1098" t="str">
            <v>Miscellaneous Installation, Maintenance, and Repair Workers</v>
          </cell>
          <cell r="C1098" t="str">
            <v>broad</v>
          </cell>
          <cell r="D1098">
            <v>351050</v>
          </cell>
          <cell r="E1098">
            <v>1.2</v>
          </cell>
          <cell r="F1098">
            <v>52250</v>
          </cell>
          <cell r="G1098">
            <v>0.4</v>
          </cell>
          <cell r="H1098">
            <v>47460</v>
          </cell>
        </row>
        <row r="1099">
          <cell r="A1099" t="str">
            <v>51-3020</v>
          </cell>
          <cell r="B1099" t="str">
            <v>Butchers and Other Meat, Poultry, and Fish Processing Workers</v>
          </cell>
          <cell r="C1099" t="str">
            <v>broad</v>
          </cell>
          <cell r="D1099">
            <v>352090</v>
          </cell>
          <cell r="E1099">
            <v>0.9</v>
          </cell>
          <cell r="F1099">
            <v>40980</v>
          </cell>
          <cell r="G1099">
            <v>0.2</v>
          </cell>
          <cell r="H1099">
            <v>39190</v>
          </cell>
        </row>
        <row r="1100">
          <cell r="A1100" t="str">
            <v>21-1012</v>
          </cell>
          <cell r="B1100" t="str">
            <v>Educational, Guidance, and Career Counselors and Advisors</v>
          </cell>
          <cell r="C1100" t="str">
            <v>detailed</v>
          </cell>
          <cell r="D1100">
            <v>353310</v>
          </cell>
          <cell r="E1100">
            <v>0.6</v>
          </cell>
          <cell r="F1100">
            <v>71430</v>
          </cell>
          <cell r="G1100">
            <v>0.5</v>
          </cell>
          <cell r="H1100">
            <v>64330</v>
          </cell>
        </row>
        <row r="1101">
          <cell r="A1101" t="str">
            <v>19-4000</v>
          </cell>
          <cell r="B1101" t="str">
            <v>Life, Physical, and Social Science Technicians</v>
          </cell>
          <cell r="C1101" t="str">
            <v>minor</v>
          </cell>
          <cell r="D1101">
            <v>361920</v>
          </cell>
          <cell r="E1101">
            <v>0.9</v>
          </cell>
          <cell r="F1101">
            <v>64290</v>
          </cell>
          <cell r="G1101">
            <v>0.5</v>
          </cell>
          <cell r="H1101">
            <v>59510</v>
          </cell>
        </row>
        <row r="1102">
          <cell r="A1102" t="str">
            <v>13-2051</v>
          </cell>
          <cell r="B1102" t="str">
            <v>Financial and Investment Analysts</v>
          </cell>
          <cell r="C1102" t="str">
            <v>detailed</v>
          </cell>
          <cell r="D1102">
            <v>361980</v>
          </cell>
          <cell r="E1102">
            <v>2.2999999999999998</v>
          </cell>
          <cell r="F1102">
            <v>116800</v>
          </cell>
          <cell r="G1102">
            <v>0.7</v>
          </cell>
          <cell r="H1102">
            <v>102740</v>
          </cell>
        </row>
        <row r="1103">
          <cell r="A1103" t="str">
            <v>33-2000</v>
          </cell>
          <cell r="B1103" t="str">
            <v>Firefighting and Prevention Workers</v>
          </cell>
          <cell r="C1103" t="str">
            <v>minor</v>
          </cell>
          <cell r="D1103">
            <v>362570</v>
          </cell>
          <cell r="E1103">
            <v>1.1000000000000001</v>
          </cell>
          <cell r="F1103">
            <v>64220</v>
          </cell>
          <cell r="G1103">
            <v>0.6</v>
          </cell>
          <cell r="H1103">
            <v>59630</v>
          </cell>
        </row>
        <row r="1104">
          <cell r="A1104" t="str">
            <v>17-2112</v>
          </cell>
          <cell r="B1104" t="str">
            <v>Industrial Engineers</v>
          </cell>
          <cell r="C1104" t="str">
            <v>detailed</v>
          </cell>
          <cell r="D1104">
            <v>365740</v>
          </cell>
          <cell r="E1104">
            <v>0.7</v>
          </cell>
          <cell r="F1104">
            <v>109900</v>
          </cell>
          <cell r="G1104">
            <v>0.3</v>
          </cell>
          <cell r="H1104">
            <v>102440</v>
          </cell>
        </row>
        <row r="1105">
          <cell r="A1105" t="str">
            <v>17-2050</v>
          </cell>
          <cell r="B1105" t="str">
            <v>Civil Engineers</v>
          </cell>
          <cell r="C1105" t="str">
            <v>broad</v>
          </cell>
          <cell r="D1105">
            <v>367840</v>
          </cell>
          <cell r="E1105">
            <v>1</v>
          </cell>
          <cell r="F1105">
            <v>108670</v>
          </cell>
          <cell r="G1105">
            <v>0.9</v>
          </cell>
          <cell r="H1105">
            <v>100840</v>
          </cell>
        </row>
        <row r="1106">
          <cell r="A1106" t="str">
            <v>17-2051</v>
          </cell>
          <cell r="B1106" t="str">
            <v>Civil Engineers</v>
          </cell>
          <cell r="C1106" t="str">
            <v>detailed</v>
          </cell>
          <cell r="D1106">
            <v>367840</v>
          </cell>
          <cell r="E1106">
            <v>1</v>
          </cell>
          <cell r="F1106">
            <v>108670</v>
          </cell>
          <cell r="G1106">
            <v>0.9</v>
          </cell>
          <cell r="H1106">
            <v>100840</v>
          </cell>
        </row>
        <row r="1107">
          <cell r="A1107" t="str">
            <v>45-2000</v>
          </cell>
          <cell r="B1107" t="str">
            <v>Agricultural Workers</v>
          </cell>
          <cell r="C1107" t="str">
            <v>minor</v>
          </cell>
          <cell r="D1107">
            <v>371340</v>
          </cell>
          <cell r="E1107">
            <v>0.7</v>
          </cell>
          <cell r="F1107">
            <v>38970</v>
          </cell>
          <cell r="G1107">
            <v>0.4</v>
          </cell>
          <cell r="H1107">
            <v>35950</v>
          </cell>
        </row>
        <row r="1108">
          <cell r="A1108" t="str">
            <v>51-9110</v>
          </cell>
          <cell r="B1108" t="str">
            <v>Packaging and Filling Machine Operators and Tenders</v>
          </cell>
          <cell r="C1108" t="str">
            <v>broad</v>
          </cell>
          <cell r="D1108">
            <v>379060</v>
          </cell>
          <cell r="E1108">
            <v>0.8</v>
          </cell>
          <cell r="F1108">
            <v>44590</v>
          </cell>
          <cell r="G1108">
            <v>0.2</v>
          </cell>
          <cell r="H1108">
            <v>43220</v>
          </cell>
        </row>
        <row r="1109">
          <cell r="A1109" t="str">
            <v>51-9111</v>
          </cell>
          <cell r="B1109" t="str">
            <v>Packaging and Filling Machine Operators and Tenders</v>
          </cell>
          <cell r="C1109" t="str">
            <v>detailed</v>
          </cell>
          <cell r="D1109">
            <v>379060</v>
          </cell>
          <cell r="E1109">
            <v>0.8</v>
          </cell>
          <cell r="F1109">
            <v>44590</v>
          </cell>
          <cell r="G1109">
            <v>0.2</v>
          </cell>
          <cell r="H1109">
            <v>43220</v>
          </cell>
        </row>
        <row r="1110">
          <cell r="A1110" t="str">
            <v>11-9020</v>
          </cell>
          <cell r="B1110" t="str">
            <v>Construction Managers</v>
          </cell>
          <cell r="C1110" t="str">
            <v>broad</v>
          </cell>
          <cell r="D1110">
            <v>380360</v>
          </cell>
          <cell r="E1110">
            <v>1.1000000000000001</v>
          </cell>
          <cell r="F1110">
            <v>124360</v>
          </cell>
          <cell r="G1110">
            <v>0.5</v>
          </cell>
          <cell r="H1110">
            <v>114990</v>
          </cell>
        </row>
        <row r="1111">
          <cell r="A1111" t="str">
            <v>11-9021</v>
          </cell>
          <cell r="B1111" t="str">
            <v>Construction Managers</v>
          </cell>
          <cell r="C1111" t="str">
            <v>detailed</v>
          </cell>
          <cell r="D1111">
            <v>380360</v>
          </cell>
          <cell r="E1111">
            <v>1.1000000000000001</v>
          </cell>
          <cell r="F1111">
            <v>124360</v>
          </cell>
          <cell r="G1111">
            <v>0.5</v>
          </cell>
          <cell r="H1111">
            <v>114990</v>
          </cell>
        </row>
        <row r="1112">
          <cell r="A1112" t="str">
            <v>53-7061</v>
          </cell>
          <cell r="B1112" t="str">
            <v>Cleaners of Vehicles and Equipment</v>
          </cell>
          <cell r="C1112" t="str">
            <v>detailed</v>
          </cell>
          <cell r="D1112">
            <v>380430</v>
          </cell>
          <cell r="E1112">
            <v>0.8</v>
          </cell>
          <cell r="F1112">
            <v>36980</v>
          </cell>
          <cell r="G1112">
            <v>0.2</v>
          </cell>
          <cell r="H1112">
            <v>35830</v>
          </cell>
        </row>
        <row r="1113">
          <cell r="A1113" t="str">
            <v>33-3012</v>
          </cell>
          <cell r="B1113" t="str">
            <v>Correctional Officers and Jailers</v>
          </cell>
          <cell r="C1113" t="str">
            <v>detailed</v>
          </cell>
          <cell r="D1113">
            <v>380500</v>
          </cell>
          <cell r="E1113">
            <v>0.4</v>
          </cell>
          <cell r="F1113">
            <v>63630</v>
          </cell>
          <cell r="G1113">
            <v>0.2</v>
          </cell>
          <cell r="H1113">
            <v>58940</v>
          </cell>
        </row>
        <row r="1114">
          <cell r="A1114" t="str">
            <v>19-1000</v>
          </cell>
          <cell r="B1114" t="str">
            <v>Life Scientists</v>
          </cell>
          <cell r="C1114" t="str">
            <v>minor</v>
          </cell>
          <cell r="D1114">
            <v>386900</v>
          </cell>
          <cell r="E1114">
            <v>0.8</v>
          </cell>
          <cell r="F1114">
            <v>107350</v>
          </cell>
          <cell r="G1114">
            <v>0.6</v>
          </cell>
          <cell r="H1114">
            <v>96310</v>
          </cell>
        </row>
        <row r="1115">
          <cell r="A1115" t="str">
            <v>17-2110</v>
          </cell>
          <cell r="B1115" t="str">
            <v>Industrial Engineers, Including Health and Safety</v>
          </cell>
          <cell r="C1115" t="str">
            <v>broad</v>
          </cell>
          <cell r="D1115">
            <v>387190</v>
          </cell>
          <cell r="E1115">
            <v>0.7</v>
          </cell>
          <cell r="F1115">
            <v>110450</v>
          </cell>
          <cell r="G1115">
            <v>0.3</v>
          </cell>
          <cell r="H1115">
            <v>102670</v>
          </cell>
        </row>
        <row r="1116">
          <cell r="A1116" t="str">
            <v>31-9091</v>
          </cell>
          <cell r="B1116" t="str">
            <v>Dental Assistants</v>
          </cell>
          <cell r="C1116" t="str">
            <v>detailed</v>
          </cell>
          <cell r="D1116">
            <v>387790</v>
          </cell>
          <cell r="E1116">
            <v>0.9</v>
          </cell>
          <cell r="F1116">
            <v>50200</v>
          </cell>
          <cell r="G1116">
            <v>0.4</v>
          </cell>
          <cell r="H1116">
            <v>48070</v>
          </cell>
        </row>
        <row r="1117">
          <cell r="A1117" t="str">
            <v>43-5060</v>
          </cell>
          <cell r="B1117" t="str">
            <v>Production, Planning, and Expediting Clerks</v>
          </cell>
          <cell r="C1117" t="str">
            <v>broad</v>
          </cell>
          <cell r="D1117">
            <v>390160</v>
          </cell>
          <cell r="E1117">
            <v>1.7</v>
          </cell>
          <cell r="F1117">
            <v>62150</v>
          </cell>
          <cell r="G1117">
            <v>0.4</v>
          </cell>
          <cell r="H1117">
            <v>59650</v>
          </cell>
        </row>
        <row r="1118">
          <cell r="A1118" t="str">
            <v>43-5061</v>
          </cell>
          <cell r="B1118" t="str">
            <v>Production, Planning, and Expediting Clerks</v>
          </cell>
          <cell r="C1118" t="str">
            <v>detailed</v>
          </cell>
          <cell r="D1118">
            <v>390160</v>
          </cell>
          <cell r="E1118">
            <v>1.7</v>
          </cell>
          <cell r="F1118">
            <v>62150</v>
          </cell>
          <cell r="G1118">
            <v>0.4</v>
          </cell>
          <cell r="H1118">
            <v>59650</v>
          </cell>
        </row>
        <row r="1119">
          <cell r="A1119" t="str">
            <v>17-3020</v>
          </cell>
          <cell r="B1119" t="str">
            <v>Engineering Technologists and Technicians, Except Drafters</v>
          </cell>
          <cell r="C1119" t="str">
            <v>broad</v>
          </cell>
          <cell r="D1119">
            <v>390860</v>
          </cell>
          <cell r="E1119">
            <v>0.7</v>
          </cell>
          <cell r="F1119">
            <v>75710</v>
          </cell>
          <cell r="G1119">
            <v>0.3</v>
          </cell>
          <cell r="H1119">
            <v>73460</v>
          </cell>
        </row>
        <row r="1120">
          <cell r="A1120" t="str">
            <v>21-1021</v>
          </cell>
          <cell r="B1120" t="str">
            <v>Child, Family, and School Social Workers</v>
          </cell>
          <cell r="C1120" t="str">
            <v>detailed</v>
          </cell>
          <cell r="D1120">
            <v>392550</v>
          </cell>
          <cell r="E1120">
            <v>0.7</v>
          </cell>
          <cell r="F1120">
            <v>64000</v>
          </cell>
          <cell r="G1120">
            <v>0.4</v>
          </cell>
          <cell r="H1120">
            <v>59550</v>
          </cell>
        </row>
        <row r="1121">
          <cell r="A1121" t="str">
            <v>23-2010</v>
          </cell>
          <cell r="B1121" t="str">
            <v>Paralegals and Legal Assistants</v>
          </cell>
          <cell r="C1121" t="str">
            <v>broad</v>
          </cell>
          <cell r="D1121">
            <v>392880</v>
          </cell>
          <cell r="E1121">
            <v>1.6</v>
          </cell>
          <cell r="F1121">
            <v>69700</v>
          </cell>
          <cell r="G1121">
            <v>1.3</v>
          </cell>
          <cell r="H1121">
            <v>62890</v>
          </cell>
        </row>
        <row r="1122">
          <cell r="A1122" t="str">
            <v>23-2011</v>
          </cell>
          <cell r="B1122" t="str">
            <v>Paralegals and Legal Assistants</v>
          </cell>
          <cell r="C1122" t="str">
            <v>detailed</v>
          </cell>
          <cell r="D1122">
            <v>392880</v>
          </cell>
          <cell r="E1122">
            <v>1.6</v>
          </cell>
          <cell r="F1122">
            <v>69700</v>
          </cell>
          <cell r="G1122">
            <v>1.3</v>
          </cell>
          <cell r="H1122">
            <v>62890</v>
          </cell>
        </row>
        <row r="1123">
          <cell r="A1123" t="str">
            <v>11-2021</v>
          </cell>
          <cell r="B1123" t="str">
            <v>Marketing Managers</v>
          </cell>
          <cell r="C1123" t="str">
            <v>detailed</v>
          </cell>
          <cell r="D1123">
            <v>395240</v>
          </cell>
          <cell r="E1123">
            <v>0.8</v>
          </cell>
          <cell r="F1123">
            <v>177770</v>
          </cell>
          <cell r="G1123">
            <v>0.3</v>
          </cell>
          <cell r="H1123">
            <v>166790</v>
          </cell>
        </row>
        <row r="1124">
          <cell r="A1124" t="str">
            <v>33-3010</v>
          </cell>
          <cell r="B1124" t="str">
            <v>Bailiffs, Correctional Officers, and Jailers</v>
          </cell>
          <cell r="C1124" t="str">
            <v>broad</v>
          </cell>
          <cell r="D1124">
            <v>397800</v>
          </cell>
          <cell r="E1124">
            <v>0.4</v>
          </cell>
          <cell r="F1124">
            <v>63540</v>
          </cell>
          <cell r="G1124">
            <v>0.2</v>
          </cell>
          <cell r="H1124">
            <v>58850</v>
          </cell>
        </row>
        <row r="1125">
          <cell r="A1125" t="str">
            <v>39-3091</v>
          </cell>
          <cell r="B1125" t="str">
            <v>Amusement and Recreation Attendants</v>
          </cell>
          <cell r="C1125" t="str">
            <v>detailed</v>
          </cell>
          <cell r="D1125">
            <v>397830</v>
          </cell>
          <cell r="E1125">
            <v>1</v>
          </cell>
          <cell r="F1125">
            <v>32640</v>
          </cell>
          <cell r="G1125">
            <v>0.5</v>
          </cell>
          <cell r="H1125">
            <v>32150</v>
          </cell>
        </row>
        <row r="1126">
          <cell r="A1126" t="str">
            <v>41-2021</v>
          </cell>
          <cell r="B1126" t="str">
            <v>Counter and Rental Clerks</v>
          </cell>
          <cell r="C1126" t="str">
            <v>detailed</v>
          </cell>
          <cell r="D1126">
            <v>400810</v>
          </cell>
          <cell r="E1126">
            <v>1.3</v>
          </cell>
          <cell r="F1126">
            <v>45700</v>
          </cell>
          <cell r="G1126">
            <v>0.4</v>
          </cell>
          <cell r="H1126">
            <v>41300</v>
          </cell>
        </row>
        <row r="1127">
          <cell r="A1127" t="str">
            <v>53-3051</v>
          </cell>
          <cell r="B1127" t="str">
            <v>Bus Drivers, School</v>
          </cell>
          <cell r="C1127" t="str">
            <v>detailed</v>
          </cell>
          <cell r="D1127">
            <v>402930</v>
          </cell>
          <cell r="E1127">
            <v>1</v>
          </cell>
          <cell r="F1127">
            <v>48430</v>
          </cell>
          <cell r="G1127">
            <v>0.3</v>
          </cell>
          <cell r="H1127">
            <v>47920</v>
          </cell>
        </row>
        <row r="1128">
          <cell r="A1128" t="str">
            <v>43-3020</v>
          </cell>
          <cell r="B1128" t="str">
            <v>Billing and Posting Clerks</v>
          </cell>
          <cell r="C1128" t="str">
            <v>broad</v>
          </cell>
          <cell r="D1128">
            <v>404060</v>
          </cell>
          <cell r="E1128">
            <v>0.9</v>
          </cell>
          <cell r="F1128">
            <v>51070</v>
          </cell>
          <cell r="G1128">
            <v>0.2</v>
          </cell>
          <cell r="H1128">
            <v>48500</v>
          </cell>
        </row>
        <row r="1129">
          <cell r="A1129" t="str">
            <v>43-3021</v>
          </cell>
          <cell r="B1129" t="str">
            <v>Billing and Posting Clerks</v>
          </cell>
          <cell r="C1129" t="str">
            <v>detailed</v>
          </cell>
          <cell r="D1129">
            <v>404060</v>
          </cell>
          <cell r="E1129">
            <v>0.9</v>
          </cell>
          <cell r="F1129">
            <v>51070</v>
          </cell>
          <cell r="G1129">
            <v>0.2</v>
          </cell>
          <cell r="H1129">
            <v>48500</v>
          </cell>
        </row>
        <row r="1130">
          <cell r="A1130" t="str">
            <v>53-3031</v>
          </cell>
          <cell r="B1130" t="str">
            <v>Driver/Sales Workers</v>
          </cell>
          <cell r="C1130" t="str">
            <v>detailed</v>
          </cell>
          <cell r="D1130">
            <v>409180</v>
          </cell>
          <cell r="E1130">
            <v>2.4</v>
          </cell>
          <cell r="F1130">
            <v>40730</v>
          </cell>
          <cell r="G1130">
            <v>0.8</v>
          </cell>
          <cell r="H1130">
            <v>38770</v>
          </cell>
        </row>
        <row r="1131">
          <cell r="A1131" t="str">
            <v>33-1000</v>
          </cell>
          <cell r="B1131" t="str">
            <v>Supervisors of Protective Service Workers</v>
          </cell>
          <cell r="C1131" t="str">
            <v>minor</v>
          </cell>
          <cell r="D1131">
            <v>409310</v>
          </cell>
          <cell r="E1131">
            <v>0.4</v>
          </cell>
          <cell r="F1131">
            <v>92550</v>
          </cell>
          <cell r="G1131">
            <v>0.3</v>
          </cell>
          <cell r="H1131">
            <v>86430</v>
          </cell>
        </row>
        <row r="1132">
          <cell r="A1132" t="str">
            <v>49-9020</v>
          </cell>
          <cell r="B1132" t="str">
            <v>Heating, Air Conditioning, and Refrigeration Mechanics and Installers</v>
          </cell>
          <cell r="C1132" t="str">
            <v>broad</v>
          </cell>
          <cell r="D1132">
            <v>409670</v>
          </cell>
          <cell r="E1132">
            <v>1.3</v>
          </cell>
          <cell r="F1132">
            <v>64780</v>
          </cell>
          <cell r="G1132">
            <v>0.5</v>
          </cell>
          <cell r="H1132">
            <v>61010</v>
          </cell>
        </row>
        <row r="1133">
          <cell r="A1133" t="str">
            <v>49-9021</v>
          </cell>
          <cell r="B1133" t="str">
            <v>Heating, Air Conditioning, and Refrigeration Mechanics and Installers</v>
          </cell>
          <cell r="C1133" t="str">
            <v>detailed</v>
          </cell>
          <cell r="D1133">
            <v>409670</v>
          </cell>
          <cell r="E1133">
            <v>1.3</v>
          </cell>
          <cell r="F1133">
            <v>64780</v>
          </cell>
          <cell r="G1133">
            <v>0.5</v>
          </cell>
          <cell r="H1133">
            <v>61010</v>
          </cell>
        </row>
        <row r="1134">
          <cell r="A1134" t="str">
            <v>51-4121</v>
          </cell>
          <cell r="B1134" t="str">
            <v>Welders, Cutters, Solderers, and Brazers</v>
          </cell>
          <cell r="C1134" t="str">
            <v>detailed</v>
          </cell>
          <cell r="D1134">
            <v>416210</v>
          </cell>
          <cell r="E1134">
            <v>0.8</v>
          </cell>
          <cell r="F1134">
            <v>56760</v>
          </cell>
          <cell r="G1134">
            <v>0.2</v>
          </cell>
          <cell r="H1134">
            <v>53750</v>
          </cell>
        </row>
        <row r="1135">
          <cell r="A1135" t="str">
            <v>13-1040</v>
          </cell>
          <cell r="B1135" t="str">
            <v>Compliance Officers</v>
          </cell>
          <cell r="C1135" t="str">
            <v>broad</v>
          </cell>
          <cell r="D1135">
            <v>417070</v>
          </cell>
          <cell r="E1135">
            <v>0.5</v>
          </cell>
          <cell r="F1135">
            <v>88400</v>
          </cell>
          <cell r="G1135">
            <v>0.3</v>
          </cell>
          <cell r="H1135">
            <v>80730</v>
          </cell>
        </row>
        <row r="1136">
          <cell r="A1136" t="str">
            <v>13-1041</v>
          </cell>
          <cell r="B1136" t="str">
            <v>Compliance Officers</v>
          </cell>
          <cell r="C1136" t="str">
            <v>detailed</v>
          </cell>
          <cell r="D1136">
            <v>417070</v>
          </cell>
          <cell r="E1136">
            <v>0.5</v>
          </cell>
          <cell r="F1136">
            <v>88400</v>
          </cell>
          <cell r="G1136">
            <v>0.3</v>
          </cell>
          <cell r="H1136">
            <v>80730</v>
          </cell>
        </row>
        <row r="1137">
          <cell r="A1137" t="str">
            <v>11-3010</v>
          </cell>
          <cell r="B1137" t="str">
            <v>Administrative Services and Facilities Managers</v>
          </cell>
          <cell r="C1137" t="str">
            <v>broad</v>
          </cell>
          <cell r="D1137">
            <v>420130</v>
          </cell>
          <cell r="E1137">
            <v>0.6</v>
          </cell>
          <cell r="F1137">
            <v>125040</v>
          </cell>
          <cell r="G1137">
            <v>0.4</v>
          </cell>
          <cell r="H1137">
            <v>110500</v>
          </cell>
        </row>
        <row r="1138">
          <cell r="A1138" t="str">
            <v>39-3090</v>
          </cell>
          <cell r="B1138" t="str">
            <v>Miscellaneous Entertainment Attendants and Related Workers</v>
          </cell>
          <cell r="C1138" t="str">
            <v>broad</v>
          </cell>
          <cell r="D1138">
            <v>426960</v>
          </cell>
          <cell r="E1138">
            <v>1</v>
          </cell>
          <cell r="F1138">
            <v>33360</v>
          </cell>
          <cell r="G1138">
            <v>0.5</v>
          </cell>
          <cell r="H1138">
            <v>32290</v>
          </cell>
        </row>
        <row r="1139">
          <cell r="A1139" t="str">
            <v>15-2000</v>
          </cell>
          <cell r="B1139" t="str">
            <v>Mathematical Science Occupations</v>
          </cell>
          <cell r="C1139" t="str">
            <v>minor</v>
          </cell>
          <cell r="D1139">
            <v>432400</v>
          </cell>
          <cell r="E1139">
            <v>0.8</v>
          </cell>
          <cell r="F1139">
            <v>119880</v>
          </cell>
          <cell r="G1139">
            <v>0.5</v>
          </cell>
          <cell r="H1139">
            <v>107570</v>
          </cell>
        </row>
        <row r="1140">
          <cell r="A1140" t="str">
            <v>35-9030</v>
          </cell>
          <cell r="B1140" t="str">
            <v>Hosts and Hostesses, Restaurant, Lounge, and Coffee Shop</v>
          </cell>
          <cell r="C1140" t="str">
            <v>broad</v>
          </cell>
          <cell r="D1140">
            <v>432690</v>
          </cell>
          <cell r="E1140">
            <v>1.7</v>
          </cell>
          <cell r="F1140">
            <v>32690</v>
          </cell>
          <cell r="G1140">
            <v>0.5</v>
          </cell>
          <cell r="H1140">
            <v>31200</v>
          </cell>
        </row>
        <row r="1141">
          <cell r="A1141" t="str">
            <v>35-9031</v>
          </cell>
          <cell r="B1141" t="str">
            <v>Hosts and Hostesses, Restaurant, Lounge, and Coffee Shop</v>
          </cell>
          <cell r="C1141" t="str">
            <v>detailed</v>
          </cell>
          <cell r="D1141">
            <v>432690</v>
          </cell>
          <cell r="E1141">
            <v>1.7</v>
          </cell>
          <cell r="F1141">
            <v>32690</v>
          </cell>
          <cell r="G1141">
            <v>0.5</v>
          </cell>
          <cell r="H1141">
            <v>31200</v>
          </cell>
        </row>
        <row r="1142">
          <cell r="A1142" t="str">
            <v>45-0000</v>
          </cell>
          <cell r="B1142" t="str">
            <v>Farming, Fishing, and Forestry Occupations</v>
          </cell>
          <cell r="C1142" t="str">
            <v>major</v>
          </cell>
          <cell r="D1142">
            <v>435200</v>
          </cell>
          <cell r="E1142">
            <v>0.7</v>
          </cell>
          <cell r="F1142">
            <v>41510</v>
          </cell>
          <cell r="G1142">
            <v>0.4</v>
          </cell>
          <cell r="H1142">
            <v>36630</v>
          </cell>
        </row>
        <row r="1143">
          <cell r="A1143" t="str">
            <v>15-1290</v>
          </cell>
          <cell r="B1143" t="str">
            <v>Miscellaneous Computer Occupations</v>
          </cell>
          <cell r="C1143" t="str">
            <v>broad</v>
          </cell>
          <cell r="D1143">
            <v>435370</v>
          </cell>
          <cell r="E1143">
            <v>1</v>
          </cell>
          <cell r="F1143">
            <v>122230</v>
          </cell>
          <cell r="G1143">
            <v>0.6</v>
          </cell>
          <cell r="H1143">
            <v>116580</v>
          </cell>
        </row>
        <row r="1144">
          <cell r="A1144" t="str">
            <v>15-1299</v>
          </cell>
          <cell r="B1144" t="str">
            <v>Computer Occupations, All Other</v>
          </cell>
          <cell r="C1144" t="str">
            <v>detailed</v>
          </cell>
          <cell r="D1144">
            <v>435370</v>
          </cell>
          <cell r="E1144">
            <v>1</v>
          </cell>
          <cell r="F1144">
            <v>122230</v>
          </cell>
          <cell r="G1144">
            <v>0.6</v>
          </cell>
          <cell r="H1144">
            <v>116580</v>
          </cell>
        </row>
        <row r="1145">
          <cell r="A1145" t="str">
            <v>21-1093</v>
          </cell>
          <cell r="B1145" t="str">
            <v>Social and Human Service Assistants</v>
          </cell>
          <cell r="C1145" t="str">
            <v>detailed</v>
          </cell>
          <cell r="D1145">
            <v>437860</v>
          </cell>
          <cell r="E1145">
            <v>0.9</v>
          </cell>
          <cell r="F1145">
            <v>47690</v>
          </cell>
          <cell r="G1145">
            <v>0.4</v>
          </cell>
          <cell r="H1145">
            <v>45930</v>
          </cell>
        </row>
        <row r="1146">
          <cell r="A1146" t="str">
            <v>49-9041</v>
          </cell>
          <cell r="B1146" t="str">
            <v>Industrial Machinery Mechanics</v>
          </cell>
          <cell r="C1146" t="str">
            <v>detailed</v>
          </cell>
          <cell r="D1146">
            <v>439640</v>
          </cell>
          <cell r="E1146">
            <v>0.7</v>
          </cell>
          <cell r="F1146">
            <v>68460</v>
          </cell>
          <cell r="G1146">
            <v>0.3</v>
          </cell>
          <cell r="H1146">
            <v>64520</v>
          </cell>
        </row>
        <row r="1147">
          <cell r="A1147" t="str">
            <v>35-2012</v>
          </cell>
          <cell r="B1147" t="str">
            <v>Cooks, Institution and Cafeteria</v>
          </cell>
          <cell r="C1147" t="str">
            <v>detailed</v>
          </cell>
          <cell r="D1147">
            <v>441050</v>
          </cell>
          <cell r="E1147">
            <v>0.7</v>
          </cell>
          <cell r="F1147">
            <v>38810</v>
          </cell>
          <cell r="G1147">
            <v>0.4</v>
          </cell>
          <cell r="H1147">
            <v>37450</v>
          </cell>
        </row>
        <row r="1148">
          <cell r="A1148" t="str">
            <v>29-2030</v>
          </cell>
          <cell r="B1148" t="str">
            <v>Diagnostic Related Technologists and Technicians</v>
          </cell>
          <cell r="C1148" t="str">
            <v>broad</v>
          </cell>
          <cell r="D1148">
            <v>447490</v>
          </cell>
          <cell r="E1148">
            <v>0.8</v>
          </cell>
          <cell r="F1148">
            <v>88070</v>
          </cell>
          <cell r="G1148">
            <v>0.2</v>
          </cell>
          <cell r="H1148">
            <v>83390</v>
          </cell>
        </row>
        <row r="1149">
          <cell r="A1149" t="str">
            <v>51-4120</v>
          </cell>
          <cell r="B1149" t="str">
            <v>Welding, Soldering, and Brazing Workers</v>
          </cell>
          <cell r="C1149" t="str">
            <v>broad</v>
          </cell>
          <cell r="D1149">
            <v>447810</v>
          </cell>
          <cell r="E1149">
            <v>0.8</v>
          </cell>
          <cell r="F1149">
            <v>56300</v>
          </cell>
          <cell r="G1149">
            <v>0.2</v>
          </cell>
          <cell r="H1149">
            <v>52760</v>
          </cell>
        </row>
        <row r="1150">
          <cell r="A1150" t="str">
            <v>51-6000</v>
          </cell>
          <cell r="B1150" t="str">
            <v>Textile, Apparel, and Furnishings Workers</v>
          </cell>
          <cell r="C1150" t="str">
            <v>minor</v>
          </cell>
          <cell r="D1150">
            <v>454710</v>
          </cell>
          <cell r="E1150">
            <v>0.9</v>
          </cell>
          <cell r="F1150">
            <v>37840</v>
          </cell>
          <cell r="G1150">
            <v>0.3</v>
          </cell>
          <cell r="H1150">
            <v>36390</v>
          </cell>
        </row>
        <row r="1151">
          <cell r="A1151" t="str">
            <v>49-2000</v>
          </cell>
          <cell r="B1151" t="str">
            <v>Electrical and Electronic Equipment Mechanics, Installers, and Repairers</v>
          </cell>
          <cell r="C1151" t="str">
            <v>minor</v>
          </cell>
          <cell r="D1151">
            <v>458290</v>
          </cell>
          <cell r="E1151">
            <v>1</v>
          </cell>
          <cell r="F1151">
            <v>66800</v>
          </cell>
          <cell r="G1151">
            <v>0.3</v>
          </cell>
          <cell r="H1151">
            <v>62010</v>
          </cell>
        </row>
        <row r="1152">
          <cell r="A1152" t="str">
            <v>13-1150</v>
          </cell>
          <cell r="B1152" t="str">
            <v>Training and Development Specialists</v>
          </cell>
          <cell r="C1152" t="str">
            <v>broad</v>
          </cell>
          <cell r="D1152">
            <v>458300</v>
          </cell>
          <cell r="E1152">
            <v>0.8</v>
          </cell>
          <cell r="F1152">
            <v>75550</v>
          </cell>
          <cell r="G1152">
            <v>0.4</v>
          </cell>
          <cell r="H1152">
            <v>69280</v>
          </cell>
        </row>
        <row r="1153">
          <cell r="A1153" t="str">
            <v>13-1151</v>
          </cell>
          <cell r="B1153" t="str">
            <v>Training and Development Specialists</v>
          </cell>
          <cell r="C1153" t="str">
            <v>detailed</v>
          </cell>
          <cell r="D1153">
            <v>458300</v>
          </cell>
          <cell r="E1153">
            <v>0.8</v>
          </cell>
          <cell r="F1153">
            <v>75550</v>
          </cell>
          <cell r="G1153">
            <v>0.4</v>
          </cell>
          <cell r="H1153">
            <v>69280</v>
          </cell>
        </row>
        <row r="1154">
          <cell r="A1154" t="str">
            <v>43-6011</v>
          </cell>
          <cell r="B1154" t="str">
            <v>Executive Secretaries and Executive Administrative Assistants</v>
          </cell>
          <cell r="C1154" t="str">
            <v>detailed</v>
          </cell>
          <cell r="D1154">
            <v>459910</v>
          </cell>
          <cell r="E1154">
            <v>0.7</v>
          </cell>
          <cell r="F1154">
            <v>79140</v>
          </cell>
          <cell r="G1154">
            <v>0.5</v>
          </cell>
          <cell r="H1154">
            <v>76590</v>
          </cell>
        </row>
        <row r="1155">
          <cell r="A1155" t="str">
            <v>33-9090</v>
          </cell>
          <cell r="B1155" t="str">
            <v>Miscellaneous Protective Service Workers</v>
          </cell>
          <cell r="C1155" t="str">
            <v>broad</v>
          </cell>
          <cell r="D1155">
            <v>462130</v>
          </cell>
          <cell r="E1155">
            <v>0.9</v>
          </cell>
          <cell r="F1155">
            <v>42050</v>
          </cell>
          <cell r="G1155">
            <v>0.4</v>
          </cell>
          <cell r="H1155">
            <v>36810</v>
          </cell>
        </row>
        <row r="1156">
          <cell r="A1156" t="str">
            <v>47-2152</v>
          </cell>
          <cell r="B1156" t="str">
            <v>Plumbers, Pipefitters, and Steamfitters</v>
          </cell>
          <cell r="C1156" t="str">
            <v>detailed</v>
          </cell>
          <cell r="D1156">
            <v>465840</v>
          </cell>
          <cell r="E1156">
            <v>1.3</v>
          </cell>
          <cell r="F1156">
            <v>72170</v>
          </cell>
          <cell r="G1156">
            <v>0.6</v>
          </cell>
          <cell r="H1156">
            <v>63800</v>
          </cell>
        </row>
        <row r="1157">
          <cell r="A1157" t="str">
            <v>29-2052</v>
          </cell>
          <cell r="B1157" t="str">
            <v>Pharmacy Technicians</v>
          </cell>
          <cell r="C1157" t="str">
            <v>detailed</v>
          </cell>
          <cell r="D1157">
            <v>471680</v>
          </cell>
          <cell r="E1157">
            <v>0.6</v>
          </cell>
          <cell r="F1157">
            <v>46620</v>
          </cell>
          <cell r="G1157">
            <v>0.2</v>
          </cell>
          <cell r="H1157">
            <v>45750</v>
          </cell>
        </row>
        <row r="1158">
          <cell r="A1158" t="str">
            <v>35-9020</v>
          </cell>
          <cell r="B1158" t="str">
            <v>Dishwashers</v>
          </cell>
          <cell r="C1158" t="str">
            <v>broad</v>
          </cell>
          <cell r="D1158">
            <v>477450</v>
          </cell>
          <cell r="E1158">
            <v>1.3</v>
          </cell>
          <cell r="F1158">
            <v>34310</v>
          </cell>
          <cell r="G1158">
            <v>0.4</v>
          </cell>
          <cell r="H1158">
            <v>34810</v>
          </cell>
        </row>
        <row r="1159">
          <cell r="A1159" t="str">
            <v>35-9021</v>
          </cell>
          <cell r="B1159" t="str">
            <v>Dishwashers</v>
          </cell>
          <cell r="C1159" t="str">
            <v>detailed</v>
          </cell>
          <cell r="D1159">
            <v>477450</v>
          </cell>
          <cell r="E1159">
            <v>1.3</v>
          </cell>
          <cell r="F1159">
            <v>34310</v>
          </cell>
          <cell r="G1159">
            <v>0.4</v>
          </cell>
          <cell r="H1159">
            <v>34810</v>
          </cell>
        </row>
        <row r="1160">
          <cell r="A1160" t="str">
            <v>47-2073</v>
          </cell>
          <cell r="B1160" t="str">
            <v>Operating Engineers and Other Construction Equipment Operators</v>
          </cell>
          <cell r="C1160" t="str">
            <v>detailed</v>
          </cell>
          <cell r="D1160">
            <v>478090</v>
          </cell>
          <cell r="E1160">
            <v>0.8</v>
          </cell>
          <cell r="F1160">
            <v>66290</v>
          </cell>
          <cell r="G1160">
            <v>0.4</v>
          </cell>
          <cell r="H1160">
            <v>59850</v>
          </cell>
        </row>
        <row r="1161">
          <cell r="A1161" t="str">
            <v>25-2011</v>
          </cell>
          <cell r="B1161" t="str">
            <v>Preschool Teachers, Except Special Education</v>
          </cell>
          <cell r="C1161" t="str">
            <v>detailed</v>
          </cell>
          <cell r="D1161">
            <v>478780</v>
          </cell>
          <cell r="E1161">
            <v>1.5</v>
          </cell>
          <cell r="F1161">
            <v>43030</v>
          </cell>
          <cell r="G1161">
            <v>0.5</v>
          </cell>
          <cell r="H1161">
            <v>38140</v>
          </cell>
        </row>
        <row r="1162">
          <cell r="A1162" t="str">
            <v>41-3020</v>
          </cell>
          <cell r="B1162" t="str">
            <v>Insurance Sales Agents</v>
          </cell>
          <cell r="C1162" t="str">
            <v>broad</v>
          </cell>
          <cell r="D1162">
            <v>479100</v>
          </cell>
          <cell r="E1162">
            <v>1.1000000000000001</v>
          </cell>
          <cell r="F1162">
            <v>81480</v>
          </cell>
          <cell r="G1162">
            <v>1.1000000000000001</v>
          </cell>
          <cell r="H1162">
            <v>62280</v>
          </cell>
        </row>
        <row r="1163">
          <cell r="A1163" t="str">
            <v>41-3021</v>
          </cell>
          <cell r="B1163" t="str">
            <v>Insurance Sales Agents</v>
          </cell>
          <cell r="C1163" t="str">
            <v>detailed</v>
          </cell>
          <cell r="D1163">
            <v>479100</v>
          </cell>
          <cell r="E1163">
            <v>1.1000000000000001</v>
          </cell>
          <cell r="F1163">
            <v>81480</v>
          </cell>
          <cell r="G1163">
            <v>1.1000000000000001</v>
          </cell>
          <cell r="H1163">
            <v>62280</v>
          </cell>
        </row>
        <row r="1164">
          <cell r="A1164" t="str">
            <v>47-4000</v>
          </cell>
          <cell r="B1164" t="str">
            <v>Other Construction and Related Workers</v>
          </cell>
          <cell r="C1164" t="str">
            <v>minor</v>
          </cell>
          <cell r="D1164">
            <v>480270</v>
          </cell>
          <cell r="E1164">
            <v>0.9</v>
          </cell>
          <cell r="F1164">
            <v>64440</v>
          </cell>
          <cell r="G1164">
            <v>0.5</v>
          </cell>
          <cell r="H1164">
            <v>58450</v>
          </cell>
        </row>
        <row r="1165">
          <cell r="A1165" t="str">
            <v>23-2000</v>
          </cell>
          <cell r="B1165" t="str">
            <v>Legal Support Workers</v>
          </cell>
          <cell r="C1165" t="str">
            <v>minor</v>
          </cell>
          <cell r="D1165">
            <v>488220</v>
          </cell>
          <cell r="E1165">
            <v>1.2</v>
          </cell>
          <cell r="F1165">
            <v>70880</v>
          </cell>
          <cell r="G1165">
            <v>1.1000000000000001</v>
          </cell>
          <cell r="H1165">
            <v>62870</v>
          </cell>
        </row>
        <row r="1166">
          <cell r="A1166" t="str">
            <v>41-3030</v>
          </cell>
          <cell r="B1166" t="str">
            <v>Securities, Commodities, and Financial Services Sales Agents</v>
          </cell>
          <cell r="C1166" t="str">
            <v>broad</v>
          </cell>
          <cell r="D1166">
            <v>489570</v>
          </cell>
          <cell r="E1166">
            <v>1.2</v>
          </cell>
          <cell r="F1166">
            <v>109150</v>
          </cell>
          <cell r="G1166">
            <v>0.9</v>
          </cell>
          <cell r="H1166">
            <v>78660</v>
          </cell>
        </row>
        <row r="1167">
          <cell r="A1167" t="str">
            <v>41-3031</v>
          </cell>
          <cell r="B1167" t="str">
            <v>Securities, Commodities, and Financial Services Sales Agents</v>
          </cell>
          <cell r="C1167" t="str">
            <v>detailed</v>
          </cell>
          <cell r="D1167">
            <v>489570</v>
          </cell>
          <cell r="E1167">
            <v>1.2</v>
          </cell>
          <cell r="F1167">
            <v>109150</v>
          </cell>
          <cell r="G1167">
            <v>0.9</v>
          </cell>
          <cell r="H1167">
            <v>78660</v>
          </cell>
        </row>
        <row r="1168">
          <cell r="A1168" t="str">
            <v>13-1020</v>
          </cell>
          <cell r="B1168" t="str">
            <v>Buyers and Purchasing Agents</v>
          </cell>
          <cell r="C1168" t="str">
            <v>broad</v>
          </cell>
          <cell r="D1168">
            <v>491430</v>
          </cell>
          <cell r="E1168">
            <v>0.7</v>
          </cell>
          <cell r="F1168">
            <v>83770</v>
          </cell>
          <cell r="G1168">
            <v>0.2</v>
          </cell>
          <cell r="H1168">
            <v>77710</v>
          </cell>
        </row>
        <row r="1169">
          <cell r="A1169" t="str">
            <v>13-1020</v>
          </cell>
          <cell r="B1169" t="str">
            <v>Buyers and Purchasing Agents</v>
          </cell>
          <cell r="C1169" t="str">
            <v>detailed</v>
          </cell>
          <cell r="D1169">
            <v>491430</v>
          </cell>
          <cell r="E1169">
            <v>0.7</v>
          </cell>
          <cell r="F1169">
            <v>83770</v>
          </cell>
          <cell r="G1169">
            <v>0.2</v>
          </cell>
          <cell r="H1169">
            <v>77710</v>
          </cell>
        </row>
        <row r="1170">
          <cell r="A1170" t="str">
            <v>21-1018</v>
          </cell>
          <cell r="B1170" t="str">
            <v>Substance Abuse, Behavioral Disorder, and Mental Health Counselors</v>
          </cell>
          <cell r="C1170" t="str">
            <v>detailed</v>
          </cell>
          <cell r="D1170">
            <v>491930</v>
          </cell>
          <cell r="E1170">
            <v>1</v>
          </cell>
          <cell r="F1170">
            <v>64440</v>
          </cell>
          <cell r="G1170">
            <v>0.6</v>
          </cell>
          <cell r="H1170">
            <v>59350</v>
          </cell>
        </row>
        <row r="1171">
          <cell r="A1171" t="str">
            <v>47-2150</v>
          </cell>
          <cell r="B1171" t="str">
            <v>Pipelayers, Plumbers, Pipefitters, and Steamfitters</v>
          </cell>
          <cell r="C1171" t="str">
            <v>broad</v>
          </cell>
          <cell r="D1171">
            <v>498890</v>
          </cell>
          <cell r="E1171">
            <v>1.2</v>
          </cell>
          <cell r="F1171">
            <v>71010</v>
          </cell>
          <cell r="G1171">
            <v>0.6</v>
          </cell>
          <cell r="H1171">
            <v>63010</v>
          </cell>
        </row>
        <row r="1172">
          <cell r="A1172" t="str">
            <v>43-5050</v>
          </cell>
          <cell r="B1172" t="str">
            <v>Postal Service Workers</v>
          </cell>
          <cell r="C1172" t="str">
            <v>broad</v>
          </cell>
          <cell r="D1172">
            <v>507730</v>
          </cell>
          <cell r="E1172">
            <v>0</v>
          </cell>
          <cell r="F1172">
            <v>61800</v>
          </cell>
          <cell r="G1172">
            <v>0</v>
          </cell>
          <cell r="H1172">
            <v>59880</v>
          </cell>
        </row>
        <row r="1173">
          <cell r="A1173" t="str">
            <v>41-9000</v>
          </cell>
          <cell r="B1173" t="str">
            <v>Other Sales and Related Workers</v>
          </cell>
          <cell r="C1173" t="str">
            <v>minor</v>
          </cell>
          <cell r="D1173">
            <v>513930</v>
          </cell>
          <cell r="E1173">
            <v>1.3</v>
          </cell>
          <cell r="F1173">
            <v>68150</v>
          </cell>
          <cell r="G1173">
            <v>0.9</v>
          </cell>
          <cell r="H1173">
            <v>50040</v>
          </cell>
        </row>
        <row r="1174">
          <cell r="A1174" t="str">
            <v>39-9010</v>
          </cell>
          <cell r="B1174" t="str">
            <v>Childcare Workers</v>
          </cell>
          <cell r="C1174" t="str">
            <v>broad</v>
          </cell>
          <cell r="D1174">
            <v>518910</v>
          </cell>
          <cell r="E1174">
            <v>1.4</v>
          </cell>
          <cell r="F1174">
            <v>35030</v>
          </cell>
          <cell r="G1174">
            <v>0.5</v>
          </cell>
          <cell r="H1174">
            <v>34980</v>
          </cell>
        </row>
        <row r="1175">
          <cell r="A1175" t="str">
            <v>39-9011</v>
          </cell>
          <cell r="B1175" t="str">
            <v>Childcare Workers</v>
          </cell>
          <cell r="C1175" t="str">
            <v>detailed</v>
          </cell>
          <cell r="D1175">
            <v>518910</v>
          </cell>
          <cell r="E1175">
            <v>1.4</v>
          </cell>
          <cell r="F1175">
            <v>35030</v>
          </cell>
          <cell r="G1175">
            <v>0.5</v>
          </cell>
          <cell r="H1175">
            <v>34980</v>
          </cell>
        </row>
        <row r="1176">
          <cell r="A1176" t="str">
            <v>15-1211</v>
          </cell>
          <cell r="B1176" t="str">
            <v>Computer Systems Analysts</v>
          </cell>
          <cell r="C1176" t="str">
            <v>detailed</v>
          </cell>
          <cell r="D1176">
            <v>519530</v>
          </cell>
          <cell r="E1176">
            <v>1</v>
          </cell>
          <cell r="F1176">
            <v>114610</v>
          </cell>
          <cell r="G1176">
            <v>0.4</v>
          </cell>
          <cell r="H1176">
            <v>105850</v>
          </cell>
        </row>
        <row r="1177">
          <cell r="A1177" t="str">
            <v>47-2070</v>
          </cell>
          <cell r="B1177" t="str">
            <v>Construction Equipment Operators</v>
          </cell>
          <cell r="C1177" t="str">
            <v>broad</v>
          </cell>
          <cell r="D1177">
            <v>522210</v>
          </cell>
          <cell r="E1177">
            <v>0.7</v>
          </cell>
          <cell r="F1177">
            <v>65770</v>
          </cell>
          <cell r="G1177">
            <v>0.4</v>
          </cell>
          <cell r="H1177">
            <v>59600</v>
          </cell>
        </row>
        <row r="1178">
          <cell r="A1178" t="str">
            <v>25-3030</v>
          </cell>
          <cell r="B1178" t="str">
            <v>Substitute Teachers, Short-Term</v>
          </cell>
          <cell r="C1178" t="str">
            <v>broad</v>
          </cell>
          <cell r="D1178">
            <v>524770</v>
          </cell>
          <cell r="E1178">
            <v>1.5</v>
          </cell>
          <cell r="F1178">
            <v>46420</v>
          </cell>
          <cell r="G1178">
            <v>0.8</v>
          </cell>
          <cell r="H1178">
            <v>41670</v>
          </cell>
        </row>
        <row r="1179">
          <cell r="A1179" t="str">
            <v>25-3031</v>
          </cell>
          <cell r="B1179" t="str">
            <v>Substitute Teachers, Short-Term</v>
          </cell>
          <cell r="C1179" t="str">
            <v>detailed</v>
          </cell>
          <cell r="D1179">
            <v>524770</v>
          </cell>
          <cell r="E1179">
            <v>1.5</v>
          </cell>
          <cell r="F1179">
            <v>46420</v>
          </cell>
          <cell r="G1179">
            <v>0.8</v>
          </cell>
          <cell r="H1179">
            <v>41670</v>
          </cell>
        </row>
        <row r="1180">
          <cell r="A1180" t="str">
            <v>49-9040</v>
          </cell>
          <cell r="B1180" t="str">
            <v>Industrial Machinery Installation, Repair, and Maintenance Workers</v>
          </cell>
          <cell r="C1180" t="str">
            <v>broad</v>
          </cell>
          <cell r="D1180">
            <v>541070</v>
          </cell>
          <cell r="E1180">
            <v>0.6</v>
          </cell>
          <cell r="F1180">
            <v>68120</v>
          </cell>
          <cell r="G1180">
            <v>0.3</v>
          </cell>
          <cell r="H1180">
            <v>64090</v>
          </cell>
        </row>
        <row r="1181">
          <cell r="A1181" t="str">
            <v>35-9010</v>
          </cell>
          <cell r="B1181" t="str">
            <v>Dining Room and Cafeteria Attendants and Bartender Helpers</v>
          </cell>
          <cell r="C1181" t="str">
            <v>broad</v>
          </cell>
          <cell r="D1181">
            <v>542750</v>
          </cell>
          <cell r="E1181">
            <v>1.6</v>
          </cell>
          <cell r="F1181">
            <v>34230</v>
          </cell>
          <cell r="G1181">
            <v>0.7</v>
          </cell>
          <cell r="H1181">
            <v>33980</v>
          </cell>
        </row>
        <row r="1182">
          <cell r="A1182" t="str">
            <v>35-9011</v>
          </cell>
          <cell r="B1182" t="str">
            <v>Dining Room and Cafeteria Attendants and Bartender Helpers</v>
          </cell>
          <cell r="C1182" t="str">
            <v>detailed</v>
          </cell>
          <cell r="D1182">
            <v>542750</v>
          </cell>
          <cell r="E1182">
            <v>1.6</v>
          </cell>
          <cell r="F1182">
            <v>34230</v>
          </cell>
          <cell r="G1182">
            <v>0.7</v>
          </cell>
          <cell r="H1182">
            <v>33980</v>
          </cell>
        </row>
        <row r="1183">
          <cell r="A1183" t="str">
            <v>27-1020</v>
          </cell>
          <cell r="B1183" t="str">
            <v>Designers</v>
          </cell>
          <cell r="C1183" t="str">
            <v>broad</v>
          </cell>
          <cell r="D1183">
            <v>550190</v>
          </cell>
          <cell r="E1183">
            <v>0.8</v>
          </cell>
          <cell r="F1183">
            <v>63040</v>
          </cell>
          <cell r="G1183">
            <v>1</v>
          </cell>
          <cell r="H1183">
            <v>53080</v>
          </cell>
        </row>
        <row r="1184">
          <cell r="A1184" t="str">
            <v>39-5000</v>
          </cell>
          <cell r="B1184" t="str">
            <v>Personal Appearance Workers</v>
          </cell>
          <cell r="C1184" t="str">
            <v>minor</v>
          </cell>
          <cell r="D1184">
            <v>556770</v>
          </cell>
          <cell r="E1184">
            <v>0.7</v>
          </cell>
          <cell r="F1184">
            <v>43670</v>
          </cell>
          <cell r="G1184">
            <v>0.7</v>
          </cell>
          <cell r="H1184">
            <v>36360</v>
          </cell>
        </row>
        <row r="1185">
          <cell r="A1185" t="str">
            <v>53-7064</v>
          </cell>
          <cell r="B1185" t="str">
            <v>Packers and Packagers, Hand</v>
          </cell>
          <cell r="C1185" t="str">
            <v>detailed</v>
          </cell>
          <cell r="D1185">
            <v>559820</v>
          </cell>
          <cell r="E1185">
            <v>0.9</v>
          </cell>
          <cell r="F1185">
            <v>37540</v>
          </cell>
          <cell r="G1185">
            <v>0.2</v>
          </cell>
          <cell r="H1185">
            <v>36280</v>
          </cell>
        </row>
        <row r="1186">
          <cell r="A1186" t="str">
            <v>27-2000</v>
          </cell>
          <cell r="B1186" t="str">
            <v>Entertainers and Performers, Sports and Related Workers</v>
          </cell>
          <cell r="C1186" t="str">
            <v>minor</v>
          </cell>
          <cell r="D1186">
            <v>562100</v>
          </cell>
          <cell r="E1186">
            <v>1.3</v>
          </cell>
          <cell r="F1186">
            <v>88620</v>
          </cell>
          <cell r="G1186">
            <v>2</v>
          </cell>
          <cell r="H1186">
            <v>59400</v>
          </cell>
        </row>
        <row r="1187">
          <cell r="A1187" t="str">
            <v>25-2050</v>
          </cell>
          <cell r="B1187" t="str">
            <v>Special Education Teachers</v>
          </cell>
          <cell r="C1187" t="str">
            <v>broad</v>
          </cell>
          <cell r="D1187">
            <v>583430</v>
          </cell>
          <cell r="E1187">
            <v>0.8</v>
          </cell>
          <cell r="F1187">
            <v>74730</v>
          </cell>
          <cell r="G1187">
            <v>0.4</v>
          </cell>
          <cell r="H1187">
            <v>67170</v>
          </cell>
        </row>
        <row r="1188">
          <cell r="A1188" t="str">
            <v>25-2010</v>
          </cell>
          <cell r="B1188" t="str">
            <v>Preschool and Kindergarten Teachers</v>
          </cell>
          <cell r="C1188" t="str">
            <v>broad</v>
          </cell>
          <cell r="D1188">
            <v>587650</v>
          </cell>
          <cell r="E1188">
            <v>1.2</v>
          </cell>
          <cell r="F1188">
            <v>47910</v>
          </cell>
          <cell r="G1188">
            <v>0.5</v>
          </cell>
          <cell r="H1188">
            <v>43780</v>
          </cell>
        </row>
        <row r="1189">
          <cell r="A1189" t="str">
            <v>11-9110</v>
          </cell>
          <cell r="B1189" t="str">
            <v>Medical and Health Services Managers</v>
          </cell>
          <cell r="C1189" t="str">
            <v>broad</v>
          </cell>
          <cell r="D1189">
            <v>597080</v>
          </cell>
          <cell r="E1189">
            <v>0.6</v>
          </cell>
          <cell r="F1189">
            <v>140970</v>
          </cell>
          <cell r="G1189">
            <v>0.3</v>
          </cell>
          <cell r="H1189">
            <v>123860</v>
          </cell>
        </row>
        <row r="1190">
          <cell r="A1190" t="str">
            <v>11-9111</v>
          </cell>
          <cell r="B1190" t="str">
            <v>Medical and Health Services Managers</v>
          </cell>
          <cell r="C1190" t="str">
            <v>detailed</v>
          </cell>
          <cell r="D1190">
            <v>597080</v>
          </cell>
          <cell r="E1190">
            <v>0.6</v>
          </cell>
          <cell r="F1190">
            <v>140970</v>
          </cell>
          <cell r="G1190">
            <v>0.3</v>
          </cell>
          <cell r="H1190">
            <v>123860</v>
          </cell>
        </row>
        <row r="1191">
          <cell r="A1191" t="str">
            <v>51-9060</v>
          </cell>
          <cell r="B1191" t="str">
            <v>Inspectors, Testers, Sorters, Samplers, and Weighers</v>
          </cell>
          <cell r="C1191" t="str">
            <v>broad</v>
          </cell>
          <cell r="D1191">
            <v>597370</v>
          </cell>
          <cell r="E1191">
            <v>0.7</v>
          </cell>
          <cell r="F1191">
            <v>53450</v>
          </cell>
          <cell r="G1191">
            <v>0.3</v>
          </cell>
          <cell r="H1191">
            <v>48570</v>
          </cell>
        </row>
        <row r="1192">
          <cell r="A1192" t="str">
            <v>51-9061</v>
          </cell>
          <cell r="B1192" t="str">
            <v>Inspectors, Testers, Sorters, Samplers, and Weighers</v>
          </cell>
          <cell r="C1192" t="str">
            <v>detailed</v>
          </cell>
          <cell r="D1192">
            <v>597370</v>
          </cell>
          <cell r="E1192">
            <v>0.7</v>
          </cell>
          <cell r="F1192">
            <v>53450</v>
          </cell>
          <cell r="G1192">
            <v>0.3</v>
          </cell>
          <cell r="H1192">
            <v>48570</v>
          </cell>
        </row>
        <row r="1193">
          <cell r="A1193" t="str">
            <v>51-9190</v>
          </cell>
          <cell r="B1193" t="str">
            <v>Miscellaneous Production Workers</v>
          </cell>
          <cell r="C1193" t="str">
            <v>broad</v>
          </cell>
          <cell r="D1193">
            <v>608390</v>
          </cell>
          <cell r="E1193">
            <v>0.8</v>
          </cell>
          <cell r="F1193">
            <v>45520</v>
          </cell>
          <cell r="G1193">
            <v>0.2</v>
          </cell>
          <cell r="H1193">
            <v>43160</v>
          </cell>
        </row>
        <row r="1194">
          <cell r="A1194" t="str">
            <v>27-3000</v>
          </cell>
          <cell r="B1194" t="str">
            <v>Media and Communication Workers</v>
          </cell>
          <cell r="C1194" t="str">
            <v>minor</v>
          </cell>
          <cell r="D1194">
            <v>613530</v>
          </cell>
          <cell r="E1194">
            <v>0.9</v>
          </cell>
          <cell r="F1194">
            <v>85470</v>
          </cell>
          <cell r="G1194">
            <v>1</v>
          </cell>
          <cell r="H1194">
            <v>74250</v>
          </cell>
        </row>
        <row r="1195">
          <cell r="A1195" t="str">
            <v>49-1000</v>
          </cell>
          <cell r="B1195" t="str">
            <v>Supervisors of Installation, Maintenance, and Repair Workers</v>
          </cell>
          <cell r="C1195" t="str">
            <v>minor</v>
          </cell>
          <cell r="D1195">
            <v>617500</v>
          </cell>
          <cell r="E1195">
            <v>0.6</v>
          </cell>
          <cell r="F1195">
            <v>85220</v>
          </cell>
          <cell r="G1195">
            <v>0.2</v>
          </cell>
          <cell r="H1195">
            <v>79860</v>
          </cell>
        </row>
        <row r="1196">
          <cell r="A1196" t="str">
            <v>49-1010</v>
          </cell>
          <cell r="B1196" t="str">
            <v>First-Line Supervisors of Mechanics, Installers, and Repairers</v>
          </cell>
          <cell r="C1196" t="str">
            <v>broad</v>
          </cell>
          <cell r="D1196">
            <v>617500</v>
          </cell>
          <cell r="E1196">
            <v>0.6</v>
          </cell>
          <cell r="F1196">
            <v>85220</v>
          </cell>
          <cell r="G1196">
            <v>0.2</v>
          </cell>
          <cell r="H1196">
            <v>79860</v>
          </cell>
        </row>
        <row r="1197">
          <cell r="A1197" t="str">
            <v>49-1011</v>
          </cell>
          <cell r="B1197" t="str">
            <v>First-Line Supervisors of Mechanics, Installers, and Repairers</v>
          </cell>
          <cell r="C1197" t="str">
            <v>detailed</v>
          </cell>
          <cell r="D1197">
            <v>617500</v>
          </cell>
          <cell r="E1197">
            <v>0.6</v>
          </cell>
          <cell r="F1197">
            <v>85220</v>
          </cell>
          <cell r="G1197">
            <v>0.2</v>
          </cell>
          <cell r="H1197">
            <v>79860</v>
          </cell>
        </row>
        <row r="1198">
          <cell r="A1198" t="str">
            <v>25-2022</v>
          </cell>
          <cell r="B1198" t="str">
            <v>Middle School Teachers, Except Special and Career/Technical Education</v>
          </cell>
          <cell r="C1198" t="str">
            <v>detailed</v>
          </cell>
          <cell r="D1198">
            <v>620090</v>
          </cell>
          <cell r="E1198">
            <v>1.7</v>
          </cell>
          <cell r="F1198">
            <v>72030</v>
          </cell>
          <cell r="G1198">
            <v>0.6</v>
          </cell>
          <cell r="H1198">
            <v>64370</v>
          </cell>
        </row>
        <row r="1199">
          <cell r="A1199" t="str">
            <v>11-9190</v>
          </cell>
          <cell r="B1199" t="str">
            <v>Miscellaneous Managers</v>
          </cell>
          <cell r="C1199" t="str">
            <v>broad</v>
          </cell>
          <cell r="D1199">
            <v>622190</v>
          </cell>
          <cell r="E1199">
            <v>0.5</v>
          </cell>
          <cell r="F1199">
            <v>153890</v>
          </cell>
          <cell r="G1199">
            <v>0.3</v>
          </cell>
          <cell r="H1199">
            <v>141900</v>
          </cell>
        </row>
        <row r="1200">
          <cell r="A1200" t="str">
            <v>11-9199</v>
          </cell>
          <cell r="B1200" t="str">
            <v>Managers, All Other</v>
          </cell>
          <cell r="C1200" t="str">
            <v>detailed</v>
          </cell>
          <cell r="D1200">
            <v>622190</v>
          </cell>
          <cell r="E1200">
            <v>0.5</v>
          </cell>
          <cell r="F1200">
            <v>153890</v>
          </cell>
          <cell r="G1200">
            <v>0.3</v>
          </cell>
          <cell r="H1200">
            <v>141900</v>
          </cell>
        </row>
        <row r="1201">
          <cell r="A1201" t="str">
            <v>53-1047</v>
          </cell>
          <cell r="B1201" t="str">
            <v>First-Line Supervisors of Transportation and Material Moving Workers, Except Aircraft Cargo Handling Supervisors</v>
          </cell>
          <cell r="C1201" t="str">
            <v>detailed</v>
          </cell>
          <cell r="D1201">
            <v>623640</v>
          </cell>
          <cell r="E1201">
            <v>0.5</v>
          </cell>
          <cell r="F1201">
            <v>66860</v>
          </cell>
          <cell r="G1201">
            <v>0.2</v>
          </cell>
          <cell r="H1201">
            <v>62890</v>
          </cell>
        </row>
        <row r="1202">
          <cell r="A1202" t="str">
            <v>17-3000</v>
          </cell>
          <cell r="B1202" t="str">
            <v>Drafters, Engineering Technicians, and Mapping Technicians</v>
          </cell>
          <cell r="C1202" t="str">
            <v>minor</v>
          </cell>
          <cell r="D1202">
            <v>624930</v>
          </cell>
          <cell r="E1202">
            <v>0.7</v>
          </cell>
          <cell r="F1202">
            <v>73190</v>
          </cell>
          <cell r="G1202">
            <v>0.3</v>
          </cell>
          <cell r="H1202">
            <v>69060</v>
          </cell>
        </row>
        <row r="1203">
          <cell r="A1203" t="str">
            <v>15-1240</v>
          </cell>
          <cell r="B1203" t="str">
            <v>Database and Network Administrators and Architects</v>
          </cell>
          <cell r="C1203" t="str">
            <v>broad</v>
          </cell>
          <cell r="D1203">
            <v>631200</v>
          </cell>
          <cell r="E1203">
            <v>0.7</v>
          </cell>
          <cell r="F1203">
            <v>118950</v>
          </cell>
          <cell r="G1203">
            <v>0.3</v>
          </cell>
          <cell r="H1203">
            <v>110770</v>
          </cell>
        </row>
        <row r="1204">
          <cell r="A1204" t="str">
            <v>53-1000</v>
          </cell>
          <cell r="B1204" t="str">
            <v>Supervisors of Transportation and Material Moving Workers</v>
          </cell>
          <cell r="C1204" t="str">
            <v>minor</v>
          </cell>
          <cell r="D1204">
            <v>633400</v>
          </cell>
          <cell r="E1204">
            <v>0.4</v>
          </cell>
          <cell r="F1204">
            <v>66830</v>
          </cell>
          <cell r="G1204">
            <v>0.2</v>
          </cell>
          <cell r="H1204">
            <v>62840</v>
          </cell>
        </row>
        <row r="1205">
          <cell r="A1205" t="str">
            <v>53-1040</v>
          </cell>
          <cell r="B1205" t="str">
            <v>First-Line Supervisors of Transportation and Material Moving Workers</v>
          </cell>
          <cell r="C1205" t="str">
            <v>broad</v>
          </cell>
          <cell r="D1205">
            <v>633400</v>
          </cell>
          <cell r="E1205">
            <v>0.4</v>
          </cell>
          <cell r="F1205">
            <v>66830</v>
          </cell>
          <cell r="G1205">
            <v>0.2</v>
          </cell>
          <cell r="H1205">
            <v>62840</v>
          </cell>
        </row>
        <row r="1206">
          <cell r="A1206" t="str">
            <v>11-2022</v>
          </cell>
          <cell r="B1206" t="str">
            <v>Sales Managers</v>
          </cell>
          <cell r="C1206" t="str">
            <v>detailed</v>
          </cell>
          <cell r="D1206">
            <v>637080</v>
          </cell>
          <cell r="E1206">
            <v>1.1000000000000001</v>
          </cell>
          <cell r="F1206">
            <v>164350</v>
          </cell>
          <cell r="G1206">
            <v>0.4</v>
          </cell>
          <cell r="H1206">
            <v>148270</v>
          </cell>
        </row>
        <row r="1207">
          <cell r="A1207" t="str">
            <v>11-9030</v>
          </cell>
          <cell r="B1207" t="str">
            <v>Education and Childcare Administrators</v>
          </cell>
          <cell r="C1207" t="str">
            <v>broad</v>
          </cell>
          <cell r="D1207">
            <v>637590</v>
          </cell>
          <cell r="E1207">
            <v>0.4</v>
          </cell>
          <cell r="F1207">
            <v>111900</v>
          </cell>
          <cell r="G1207">
            <v>0.3</v>
          </cell>
          <cell r="H1207">
            <v>102260</v>
          </cell>
        </row>
        <row r="1208">
          <cell r="A1208" t="str">
            <v>35-2011</v>
          </cell>
          <cell r="B1208" t="str">
            <v>Cooks, Fast Food</v>
          </cell>
          <cell r="C1208" t="str">
            <v>detailed</v>
          </cell>
          <cell r="D1208">
            <v>641070</v>
          </cell>
          <cell r="E1208">
            <v>2.7</v>
          </cell>
          <cell r="F1208">
            <v>32390</v>
          </cell>
          <cell r="G1208">
            <v>0.6</v>
          </cell>
          <cell r="H1208">
            <v>30890</v>
          </cell>
        </row>
        <row r="1209">
          <cell r="A1209" t="str">
            <v>27-1000</v>
          </cell>
          <cell r="B1209" t="str">
            <v>Art and Design Workers</v>
          </cell>
          <cell r="C1209" t="str">
            <v>minor</v>
          </cell>
          <cell r="D1209">
            <v>645970</v>
          </cell>
          <cell r="E1209">
            <v>0.8</v>
          </cell>
          <cell r="F1209">
            <v>70300</v>
          </cell>
          <cell r="G1209">
            <v>1</v>
          </cell>
          <cell r="H1209">
            <v>58240</v>
          </cell>
        </row>
        <row r="1210">
          <cell r="A1210" t="str">
            <v>29-2060</v>
          </cell>
          <cell r="B1210" t="str">
            <v>Licensed Practical and Licensed Vocational Nurses</v>
          </cell>
          <cell r="C1210" t="str">
            <v>broad</v>
          </cell>
          <cell r="D1210">
            <v>648410</v>
          </cell>
          <cell r="E1210">
            <v>0.6</v>
          </cell>
          <cell r="F1210">
            <v>67050</v>
          </cell>
          <cell r="G1210">
            <v>0.3</v>
          </cell>
          <cell r="H1210">
            <v>64400</v>
          </cell>
        </row>
        <row r="1211">
          <cell r="A1211" t="str">
            <v>29-2061</v>
          </cell>
          <cell r="B1211" t="str">
            <v>Licensed Practical and Licensed Vocational Nurses</v>
          </cell>
          <cell r="C1211" t="str">
            <v>detailed</v>
          </cell>
          <cell r="D1211">
            <v>648410</v>
          </cell>
          <cell r="E1211">
            <v>0.6</v>
          </cell>
          <cell r="F1211">
            <v>67050</v>
          </cell>
          <cell r="G1211">
            <v>0.3</v>
          </cell>
          <cell r="H1211">
            <v>64400</v>
          </cell>
        </row>
        <row r="1212">
          <cell r="A1212" t="str">
            <v>39-9030</v>
          </cell>
          <cell r="B1212" t="str">
            <v>Recreation and Fitness Workers</v>
          </cell>
          <cell r="C1212" t="str">
            <v>broad</v>
          </cell>
          <cell r="D1212">
            <v>654420</v>
          </cell>
          <cell r="E1212">
            <v>0.8</v>
          </cell>
          <cell r="F1212">
            <v>45380</v>
          </cell>
          <cell r="G1212">
            <v>0.7</v>
          </cell>
          <cell r="H1212">
            <v>38760</v>
          </cell>
        </row>
        <row r="1213">
          <cell r="A1213" t="str">
            <v>39-3000</v>
          </cell>
          <cell r="B1213" t="str">
            <v>Entertainment Attendants and Related Workers</v>
          </cell>
          <cell r="C1213" t="str">
            <v>minor</v>
          </cell>
          <cell r="D1213">
            <v>657210</v>
          </cell>
          <cell r="E1213">
            <v>0.8</v>
          </cell>
          <cell r="F1213">
            <v>34740</v>
          </cell>
          <cell r="G1213">
            <v>0.4</v>
          </cell>
          <cell r="H1213">
            <v>32910</v>
          </cell>
        </row>
        <row r="1214">
          <cell r="A1214" t="str">
            <v>47-2030</v>
          </cell>
          <cell r="B1214" t="str">
            <v>Carpenters</v>
          </cell>
          <cell r="C1214" t="str">
            <v>broad</v>
          </cell>
          <cell r="D1214">
            <v>670090</v>
          </cell>
          <cell r="E1214">
            <v>0.9</v>
          </cell>
          <cell r="F1214">
            <v>65630</v>
          </cell>
          <cell r="G1214">
            <v>0.4</v>
          </cell>
          <cell r="H1214">
            <v>60580</v>
          </cell>
        </row>
        <row r="1215">
          <cell r="A1215" t="str">
            <v>47-2031</v>
          </cell>
          <cell r="B1215" t="str">
            <v>Carpenters</v>
          </cell>
          <cell r="C1215" t="str">
            <v>detailed</v>
          </cell>
          <cell r="D1215">
            <v>670090</v>
          </cell>
          <cell r="E1215">
            <v>0.9</v>
          </cell>
          <cell r="F1215">
            <v>65630</v>
          </cell>
          <cell r="G1215">
            <v>0.4</v>
          </cell>
          <cell r="H1215">
            <v>60580</v>
          </cell>
        </row>
        <row r="1216">
          <cell r="A1216" t="str">
            <v>33-3051</v>
          </cell>
          <cell r="B1216" t="str">
            <v>Police and Sheriff's Patrol Officers</v>
          </cell>
          <cell r="C1216" t="str">
            <v>detailed</v>
          </cell>
          <cell r="D1216">
            <v>670520</v>
          </cell>
          <cell r="E1216">
            <v>0.3</v>
          </cell>
          <cell r="F1216">
            <v>79200</v>
          </cell>
          <cell r="G1216">
            <v>0.3</v>
          </cell>
          <cell r="H1216">
            <v>76210</v>
          </cell>
        </row>
        <row r="1217">
          <cell r="A1217" t="str">
            <v>11-3020</v>
          </cell>
          <cell r="B1217" t="str">
            <v>Computer and Information Systems Managers</v>
          </cell>
          <cell r="C1217" t="str">
            <v>broad</v>
          </cell>
          <cell r="D1217">
            <v>670570</v>
          </cell>
          <cell r="E1217">
            <v>0.5</v>
          </cell>
          <cell r="F1217">
            <v>192160</v>
          </cell>
          <cell r="G1217">
            <v>0.3</v>
          </cell>
          <cell r="H1217">
            <v>175140</v>
          </cell>
        </row>
        <row r="1218">
          <cell r="A1218" t="str">
            <v>11-3021</v>
          </cell>
          <cell r="B1218" t="str">
            <v>Computer and Information Systems Managers</v>
          </cell>
          <cell r="C1218" t="str">
            <v>detailed</v>
          </cell>
          <cell r="D1218">
            <v>670570</v>
          </cell>
          <cell r="E1218">
            <v>0.5</v>
          </cell>
          <cell r="F1218">
            <v>192160</v>
          </cell>
          <cell r="G1218">
            <v>0.3</v>
          </cell>
          <cell r="H1218">
            <v>175140</v>
          </cell>
        </row>
        <row r="1219">
          <cell r="A1219" t="str">
            <v>41-2020</v>
          </cell>
          <cell r="B1219" t="str">
            <v>Counter and Rental Clerks and Parts Salespersons</v>
          </cell>
          <cell r="C1219" t="str">
            <v>broad</v>
          </cell>
          <cell r="D1219">
            <v>670890</v>
          </cell>
          <cell r="E1219">
            <v>0.8</v>
          </cell>
          <cell r="F1219">
            <v>44950</v>
          </cell>
          <cell r="G1219">
            <v>0.3</v>
          </cell>
          <cell r="H1219">
            <v>40040</v>
          </cell>
        </row>
        <row r="1220">
          <cell r="A1220" t="str">
            <v>51-1000</v>
          </cell>
          <cell r="B1220" t="str">
            <v>Supervisors of Production Workers</v>
          </cell>
          <cell r="C1220" t="str">
            <v>minor</v>
          </cell>
          <cell r="D1220">
            <v>673430</v>
          </cell>
          <cell r="E1220">
            <v>0.3</v>
          </cell>
          <cell r="F1220">
            <v>76600</v>
          </cell>
          <cell r="G1220">
            <v>0.2</v>
          </cell>
          <cell r="H1220">
            <v>74450</v>
          </cell>
        </row>
        <row r="1221">
          <cell r="A1221" t="str">
            <v>51-1010</v>
          </cell>
          <cell r="B1221" t="str">
            <v>First-Line Supervisors of Production and Operating Workers</v>
          </cell>
          <cell r="C1221" t="str">
            <v>broad</v>
          </cell>
          <cell r="D1221">
            <v>673430</v>
          </cell>
          <cell r="E1221">
            <v>0.3</v>
          </cell>
          <cell r="F1221">
            <v>76600</v>
          </cell>
          <cell r="G1221">
            <v>0.2</v>
          </cell>
          <cell r="H1221">
            <v>74450</v>
          </cell>
        </row>
        <row r="1222">
          <cell r="A1222" t="str">
            <v>51-1011</v>
          </cell>
          <cell r="B1222" t="str">
            <v>First-Line Supervisors of Production and Operating Workers</v>
          </cell>
          <cell r="C1222" t="str">
            <v>detailed</v>
          </cell>
          <cell r="D1222">
            <v>673430</v>
          </cell>
          <cell r="E1222">
            <v>0.3</v>
          </cell>
          <cell r="F1222">
            <v>76600</v>
          </cell>
          <cell r="G1222">
            <v>0.2</v>
          </cell>
          <cell r="H1222">
            <v>74450</v>
          </cell>
        </row>
        <row r="1223">
          <cell r="A1223" t="str">
            <v>33-3050</v>
          </cell>
          <cell r="B1223" t="str">
            <v>Police Officers</v>
          </cell>
          <cell r="C1223" t="str">
            <v>broad</v>
          </cell>
          <cell r="D1223">
            <v>674910</v>
          </cell>
          <cell r="E1223">
            <v>0.3</v>
          </cell>
          <cell r="F1223">
            <v>79280</v>
          </cell>
          <cell r="G1223">
            <v>0.3</v>
          </cell>
          <cell r="H1223">
            <v>76250</v>
          </cell>
        </row>
        <row r="1224">
          <cell r="A1224" t="str">
            <v>49-3023</v>
          </cell>
          <cell r="B1224" t="str">
            <v>Automotive Service Technicians and Mechanics</v>
          </cell>
          <cell r="C1224" t="str">
            <v>detailed</v>
          </cell>
          <cell r="D1224">
            <v>704640</v>
          </cell>
          <cell r="E1224">
            <v>0.6</v>
          </cell>
          <cell r="F1224">
            <v>56420</v>
          </cell>
          <cell r="G1224">
            <v>0.3</v>
          </cell>
          <cell r="H1224">
            <v>50620</v>
          </cell>
        </row>
        <row r="1225">
          <cell r="A1225" t="str">
            <v>15-1210</v>
          </cell>
          <cell r="B1225" t="str">
            <v>Computer and Information Analysts</v>
          </cell>
          <cell r="C1225" t="str">
            <v>broad</v>
          </cell>
          <cell r="D1225">
            <v>710180</v>
          </cell>
          <cell r="E1225">
            <v>0.9</v>
          </cell>
          <cell r="F1225">
            <v>119420</v>
          </cell>
          <cell r="G1225">
            <v>0.4</v>
          </cell>
          <cell r="H1225">
            <v>109840</v>
          </cell>
        </row>
        <row r="1226">
          <cell r="A1226" t="str">
            <v>15-1232</v>
          </cell>
          <cell r="B1226" t="str">
            <v>Computer User Support Specialists</v>
          </cell>
          <cell r="C1226" t="str">
            <v>detailed</v>
          </cell>
          <cell r="D1226">
            <v>717190</v>
          </cell>
          <cell r="E1226">
            <v>0.8</v>
          </cell>
          <cell r="F1226">
            <v>67330</v>
          </cell>
          <cell r="G1226">
            <v>0.3</v>
          </cell>
          <cell r="H1226">
            <v>61860</v>
          </cell>
        </row>
        <row r="1227">
          <cell r="A1227" t="str">
            <v>23-1011</v>
          </cell>
          <cell r="B1227" t="str">
            <v>Lawyers</v>
          </cell>
          <cell r="C1227" t="str">
            <v>detailed</v>
          </cell>
          <cell r="D1227">
            <v>754500</v>
          </cell>
          <cell r="E1227">
            <v>1.1000000000000001</v>
          </cell>
          <cell r="F1227">
            <v>185840</v>
          </cell>
          <cell r="G1227">
            <v>1.6</v>
          </cell>
          <cell r="H1227">
            <v>159670</v>
          </cell>
        </row>
        <row r="1228">
          <cell r="A1228" t="str">
            <v>29-1210</v>
          </cell>
          <cell r="B1228" t="str">
            <v>Physicians</v>
          </cell>
          <cell r="C1228" t="str">
            <v>broad</v>
          </cell>
          <cell r="D1228">
            <v>754760</v>
          </cell>
          <cell r="E1228">
            <v>1</v>
          </cell>
          <cell r="F1228">
            <v>277260</v>
          </cell>
          <cell r="G1228">
            <v>0.9</v>
          </cell>
          <cell r="H1228">
            <v>271090</v>
          </cell>
        </row>
        <row r="1229">
          <cell r="A1229" t="str">
            <v>35-3010</v>
          </cell>
          <cell r="B1229" t="str">
            <v>Bartenders</v>
          </cell>
          <cell r="C1229" t="str">
            <v>broad</v>
          </cell>
          <cell r="D1229">
            <v>756390</v>
          </cell>
          <cell r="E1229">
            <v>1.3</v>
          </cell>
          <cell r="F1229">
            <v>40790</v>
          </cell>
          <cell r="G1229">
            <v>0.8</v>
          </cell>
          <cell r="H1229">
            <v>34340</v>
          </cell>
        </row>
        <row r="1230">
          <cell r="A1230" t="str">
            <v>35-3011</v>
          </cell>
          <cell r="B1230" t="str">
            <v>Bartenders</v>
          </cell>
          <cell r="C1230" t="str">
            <v>detailed</v>
          </cell>
          <cell r="D1230">
            <v>756390</v>
          </cell>
          <cell r="E1230">
            <v>1.3</v>
          </cell>
          <cell r="F1230">
            <v>40790</v>
          </cell>
          <cell r="G1230">
            <v>0.8</v>
          </cell>
          <cell r="H1230">
            <v>34340</v>
          </cell>
        </row>
        <row r="1231">
          <cell r="A1231" t="str">
            <v>47-2110</v>
          </cell>
          <cell r="B1231" t="str">
            <v>Electricians</v>
          </cell>
          <cell r="C1231" t="str">
            <v>broad</v>
          </cell>
          <cell r="D1231">
            <v>757220</v>
          </cell>
          <cell r="E1231">
            <v>0.8</v>
          </cell>
          <cell r="F1231">
            <v>71490</v>
          </cell>
          <cell r="G1231">
            <v>0.4</v>
          </cell>
          <cell r="H1231">
            <v>63190</v>
          </cell>
        </row>
        <row r="1232">
          <cell r="A1232" t="str">
            <v>47-2111</v>
          </cell>
          <cell r="B1232" t="str">
            <v>Electricians</v>
          </cell>
          <cell r="C1232" t="str">
            <v>detailed</v>
          </cell>
          <cell r="D1232">
            <v>757220</v>
          </cell>
          <cell r="E1232">
            <v>0.8</v>
          </cell>
          <cell r="F1232">
            <v>71490</v>
          </cell>
          <cell r="G1232">
            <v>0.4</v>
          </cell>
          <cell r="H1232">
            <v>63190</v>
          </cell>
        </row>
        <row r="1233">
          <cell r="A1233" t="str">
            <v>21-1090</v>
          </cell>
          <cell r="B1233" t="str">
            <v>Miscellaneous Community and Social Service Specialists</v>
          </cell>
          <cell r="C1233" t="str">
            <v>broad</v>
          </cell>
          <cell r="D1233">
            <v>762330</v>
          </cell>
          <cell r="E1233">
            <v>0.6</v>
          </cell>
          <cell r="F1233">
            <v>55250</v>
          </cell>
          <cell r="G1233">
            <v>0.4</v>
          </cell>
          <cell r="H1233">
            <v>49380</v>
          </cell>
        </row>
        <row r="1234">
          <cell r="A1234" t="str">
            <v>23-1010</v>
          </cell>
          <cell r="B1234" t="str">
            <v>Lawyers and Judicial Law Clerks</v>
          </cell>
          <cell r="C1234" t="str">
            <v>broad</v>
          </cell>
          <cell r="D1234">
            <v>767800</v>
          </cell>
          <cell r="E1234">
            <v>1</v>
          </cell>
          <cell r="F1234">
            <v>183890</v>
          </cell>
          <cell r="G1234">
            <v>1.6</v>
          </cell>
          <cell r="H1234">
            <v>157840</v>
          </cell>
        </row>
        <row r="1235">
          <cell r="A1235" t="str">
            <v>53-7050</v>
          </cell>
          <cell r="B1235" t="str">
            <v>Industrial Truck and Tractor Operators</v>
          </cell>
          <cell r="C1235" t="str">
            <v>broad</v>
          </cell>
          <cell r="D1235">
            <v>774420</v>
          </cell>
          <cell r="E1235">
            <v>0.7</v>
          </cell>
          <cell r="F1235">
            <v>48370</v>
          </cell>
          <cell r="G1235">
            <v>0.1</v>
          </cell>
          <cell r="H1235">
            <v>46420</v>
          </cell>
        </row>
        <row r="1236">
          <cell r="A1236" t="str">
            <v>53-7051</v>
          </cell>
          <cell r="B1236" t="str">
            <v>Industrial Truck and Tractor Operators</v>
          </cell>
          <cell r="C1236" t="str">
            <v>detailed</v>
          </cell>
          <cell r="D1236">
            <v>774420</v>
          </cell>
          <cell r="E1236">
            <v>0.7</v>
          </cell>
          <cell r="F1236">
            <v>48370</v>
          </cell>
          <cell r="G1236">
            <v>0.1</v>
          </cell>
          <cell r="H1236">
            <v>46420</v>
          </cell>
        </row>
        <row r="1237">
          <cell r="A1237" t="str">
            <v>21-1020</v>
          </cell>
          <cell r="B1237" t="str">
            <v>Social Workers</v>
          </cell>
          <cell r="C1237" t="str">
            <v>broad</v>
          </cell>
          <cell r="D1237">
            <v>775930</v>
          </cell>
          <cell r="E1237">
            <v>0.5</v>
          </cell>
          <cell r="F1237">
            <v>67540</v>
          </cell>
          <cell r="G1237">
            <v>0.4</v>
          </cell>
          <cell r="H1237">
            <v>61780</v>
          </cell>
        </row>
        <row r="1238">
          <cell r="A1238" t="str">
            <v>13-2050</v>
          </cell>
          <cell r="B1238" t="str">
            <v>Financial Analysts and Advisors</v>
          </cell>
          <cell r="C1238" t="str">
            <v>broad</v>
          </cell>
          <cell r="D1238">
            <v>798050</v>
          </cell>
          <cell r="E1238">
            <v>0.8</v>
          </cell>
          <cell r="F1238">
            <v>127690</v>
          </cell>
          <cell r="G1238">
            <v>0.9</v>
          </cell>
          <cell r="H1238">
            <v>102090</v>
          </cell>
        </row>
        <row r="1239">
          <cell r="A1239" t="str">
            <v>47-1000</v>
          </cell>
          <cell r="B1239" t="str">
            <v>Supervisors of Construction and Extraction Workers</v>
          </cell>
          <cell r="C1239" t="str">
            <v>minor</v>
          </cell>
          <cell r="D1239">
            <v>812210</v>
          </cell>
          <cell r="E1239">
            <v>0.6</v>
          </cell>
          <cell r="F1239">
            <v>86450</v>
          </cell>
          <cell r="G1239">
            <v>0.3</v>
          </cell>
          <cell r="H1239">
            <v>79920</v>
          </cell>
        </row>
        <row r="1240">
          <cell r="A1240" t="str">
            <v>47-1010</v>
          </cell>
          <cell r="B1240" t="str">
            <v>First-Line Supervisors of Construction Trades and Extraction Workers</v>
          </cell>
          <cell r="C1240" t="str">
            <v>broad</v>
          </cell>
          <cell r="D1240">
            <v>812210</v>
          </cell>
          <cell r="E1240">
            <v>0.6</v>
          </cell>
          <cell r="F1240">
            <v>86450</v>
          </cell>
          <cell r="G1240">
            <v>0.3</v>
          </cell>
          <cell r="H1240">
            <v>79920</v>
          </cell>
        </row>
        <row r="1241">
          <cell r="A1241" t="str">
            <v>47-1011</v>
          </cell>
          <cell r="B1241" t="str">
            <v>First-Line Supervisors of Construction Trades and Extraction Workers</v>
          </cell>
          <cell r="C1241" t="str">
            <v>detailed</v>
          </cell>
          <cell r="D1241">
            <v>812210</v>
          </cell>
          <cell r="E1241">
            <v>0.6</v>
          </cell>
          <cell r="F1241">
            <v>86450</v>
          </cell>
          <cell r="G1241">
            <v>0.3</v>
          </cell>
          <cell r="H1241">
            <v>79920</v>
          </cell>
        </row>
        <row r="1242">
          <cell r="A1242" t="str">
            <v>29-1120</v>
          </cell>
          <cell r="B1242" t="str">
            <v>Therapists</v>
          </cell>
          <cell r="C1242" t="str">
            <v>broad</v>
          </cell>
          <cell r="D1242">
            <v>816170</v>
          </cell>
          <cell r="E1242">
            <v>0.5</v>
          </cell>
          <cell r="F1242">
            <v>98440</v>
          </cell>
          <cell r="G1242">
            <v>0.3</v>
          </cell>
          <cell r="H1242">
            <v>98040</v>
          </cell>
        </row>
        <row r="1243">
          <cell r="A1243" t="str">
            <v>43-5070</v>
          </cell>
          <cell r="B1243" t="str">
            <v>Shipping, Receiving, and Inventory Clerks</v>
          </cell>
          <cell r="C1243" t="str">
            <v>broad</v>
          </cell>
          <cell r="D1243">
            <v>816870</v>
          </cell>
          <cell r="E1243">
            <v>0.6</v>
          </cell>
          <cell r="F1243">
            <v>46810</v>
          </cell>
          <cell r="G1243">
            <v>0.2</v>
          </cell>
          <cell r="H1243">
            <v>45260</v>
          </cell>
        </row>
        <row r="1244">
          <cell r="A1244" t="str">
            <v>43-5071</v>
          </cell>
          <cell r="B1244" t="str">
            <v>Shipping, Receiving, and Inventory Clerks</v>
          </cell>
          <cell r="C1244" t="str">
            <v>detailed</v>
          </cell>
          <cell r="D1244">
            <v>816870</v>
          </cell>
          <cell r="E1244">
            <v>0.6</v>
          </cell>
          <cell r="F1244">
            <v>46810</v>
          </cell>
          <cell r="G1244">
            <v>0.2</v>
          </cell>
          <cell r="H1244">
            <v>45260</v>
          </cell>
        </row>
        <row r="1245">
          <cell r="A1245" t="str">
            <v>23-1000</v>
          </cell>
          <cell r="B1245" t="str">
            <v>Lawyers, Judges, and Related Workers</v>
          </cell>
          <cell r="C1245" t="str">
            <v>minor</v>
          </cell>
          <cell r="D1245">
            <v>817400</v>
          </cell>
          <cell r="E1245">
            <v>0.9</v>
          </cell>
          <cell r="F1245">
            <v>180510</v>
          </cell>
          <cell r="G1245">
            <v>1.5</v>
          </cell>
          <cell r="H1245">
            <v>155120</v>
          </cell>
        </row>
        <row r="1246">
          <cell r="A1246" t="str">
            <v>31-9092</v>
          </cell>
          <cell r="B1246" t="str">
            <v>Medical Assistants</v>
          </cell>
          <cell r="C1246" t="str">
            <v>detailed</v>
          </cell>
          <cell r="D1246">
            <v>817870</v>
          </cell>
          <cell r="E1246">
            <v>1.2</v>
          </cell>
          <cell r="F1246">
            <v>46120</v>
          </cell>
          <cell r="G1246">
            <v>0.3</v>
          </cell>
          <cell r="H1246">
            <v>45690</v>
          </cell>
        </row>
        <row r="1247">
          <cell r="A1247" t="str">
            <v>11-3030</v>
          </cell>
          <cell r="B1247" t="str">
            <v>Financial Managers</v>
          </cell>
          <cell r="C1247" t="str">
            <v>broad</v>
          </cell>
          <cell r="D1247">
            <v>841710</v>
          </cell>
          <cell r="E1247">
            <v>0.5</v>
          </cell>
          <cell r="F1247">
            <v>186910</v>
          </cell>
          <cell r="G1247">
            <v>0.4</v>
          </cell>
          <cell r="H1247">
            <v>166570</v>
          </cell>
        </row>
        <row r="1248">
          <cell r="A1248" t="str">
            <v>11-3031</v>
          </cell>
          <cell r="B1248" t="str">
            <v>Financial Managers</v>
          </cell>
          <cell r="C1248" t="str">
            <v>detailed</v>
          </cell>
          <cell r="D1248">
            <v>841710</v>
          </cell>
          <cell r="E1248">
            <v>0.5</v>
          </cell>
          <cell r="F1248">
            <v>186910</v>
          </cell>
          <cell r="G1248">
            <v>0.4</v>
          </cell>
          <cell r="H1248">
            <v>166570</v>
          </cell>
        </row>
        <row r="1249">
          <cell r="A1249" t="str">
            <v>53-3050</v>
          </cell>
          <cell r="B1249" t="str">
            <v>Passenger Vehicle Drivers</v>
          </cell>
          <cell r="C1249" t="str">
            <v>broad</v>
          </cell>
          <cell r="D1249">
            <v>851750</v>
          </cell>
          <cell r="E1249">
            <v>0.8</v>
          </cell>
          <cell r="F1249">
            <v>48220</v>
          </cell>
          <cell r="G1249">
            <v>0.3</v>
          </cell>
          <cell r="H1249">
            <v>46740</v>
          </cell>
        </row>
        <row r="1250">
          <cell r="A1250" t="str">
            <v>37-2012</v>
          </cell>
          <cell r="B1250" t="str">
            <v>Maids and Housekeeping Cleaners</v>
          </cell>
          <cell r="C1250" t="str">
            <v>detailed</v>
          </cell>
          <cell r="D1250">
            <v>860670</v>
          </cell>
          <cell r="E1250">
            <v>0.7</v>
          </cell>
          <cell r="F1250">
            <v>37080</v>
          </cell>
          <cell r="G1250">
            <v>0.3</v>
          </cell>
          <cell r="H1250">
            <v>35510</v>
          </cell>
        </row>
        <row r="1251">
          <cell r="A1251" t="str">
            <v>15-1230</v>
          </cell>
          <cell r="B1251" t="str">
            <v>Computer Support Specialists</v>
          </cell>
          <cell r="C1251" t="str">
            <v>broad</v>
          </cell>
          <cell r="D1251">
            <v>863380</v>
          </cell>
          <cell r="E1251">
            <v>0.8</v>
          </cell>
          <cell r="F1251">
            <v>69790</v>
          </cell>
          <cell r="G1251">
            <v>0.3</v>
          </cell>
          <cell r="H1251">
            <v>62890</v>
          </cell>
        </row>
        <row r="1252">
          <cell r="A1252" t="str">
            <v>49-3020</v>
          </cell>
          <cell r="B1252" t="str">
            <v>Automotive Technicians and Repairers</v>
          </cell>
          <cell r="C1252" t="str">
            <v>broad</v>
          </cell>
          <cell r="D1252">
            <v>874260</v>
          </cell>
          <cell r="E1252">
            <v>0.5</v>
          </cell>
          <cell r="F1252">
            <v>56840</v>
          </cell>
          <cell r="G1252">
            <v>0.3</v>
          </cell>
          <cell r="H1252">
            <v>51100</v>
          </cell>
        </row>
        <row r="1253">
          <cell r="A1253" t="str">
            <v>51-3000</v>
          </cell>
          <cell r="B1253" t="str">
            <v>Food Processing Workers</v>
          </cell>
          <cell r="C1253" t="str">
            <v>minor</v>
          </cell>
          <cell r="D1253">
            <v>879430</v>
          </cell>
          <cell r="E1253">
            <v>0.6</v>
          </cell>
          <cell r="F1253">
            <v>40980</v>
          </cell>
          <cell r="G1253">
            <v>0.2</v>
          </cell>
          <cell r="H1253">
            <v>38990</v>
          </cell>
        </row>
        <row r="1254">
          <cell r="A1254" t="str">
            <v>35-2020</v>
          </cell>
          <cell r="B1254" t="str">
            <v>Food Preparation Workers</v>
          </cell>
          <cell r="C1254" t="str">
            <v>broad</v>
          </cell>
          <cell r="D1254">
            <v>893600</v>
          </cell>
          <cell r="E1254">
            <v>1.7</v>
          </cell>
          <cell r="F1254">
            <v>35290</v>
          </cell>
          <cell r="G1254">
            <v>0.4</v>
          </cell>
          <cell r="H1254">
            <v>35320</v>
          </cell>
        </row>
        <row r="1255">
          <cell r="A1255" t="str">
            <v>35-2021</v>
          </cell>
          <cell r="B1255" t="str">
            <v>Food Preparation Workers</v>
          </cell>
          <cell r="C1255" t="str">
            <v>detailed</v>
          </cell>
          <cell r="D1255">
            <v>893600</v>
          </cell>
          <cell r="E1255">
            <v>1.7</v>
          </cell>
          <cell r="F1255">
            <v>35290</v>
          </cell>
          <cell r="G1255">
            <v>0.4</v>
          </cell>
          <cell r="H1255">
            <v>35320</v>
          </cell>
        </row>
        <row r="1256">
          <cell r="A1256" t="str">
            <v>13-1110</v>
          </cell>
          <cell r="B1256" t="str">
            <v>Management Analysts</v>
          </cell>
          <cell r="C1256" t="str">
            <v>broad</v>
          </cell>
          <cell r="D1256">
            <v>898280</v>
          </cell>
          <cell r="E1256">
            <v>0.7</v>
          </cell>
          <cell r="F1256">
            <v>113790</v>
          </cell>
          <cell r="G1256">
            <v>1.1000000000000001</v>
          </cell>
          <cell r="H1256">
            <v>101860</v>
          </cell>
        </row>
        <row r="1257">
          <cell r="A1257" t="str">
            <v>13-1111</v>
          </cell>
          <cell r="B1257" t="str">
            <v>Management Analysts</v>
          </cell>
          <cell r="C1257" t="str">
            <v>detailed</v>
          </cell>
          <cell r="D1257">
            <v>898280</v>
          </cell>
          <cell r="E1257">
            <v>0.7</v>
          </cell>
          <cell r="F1257">
            <v>113790</v>
          </cell>
          <cell r="G1257">
            <v>1.1000000000000001</v>
          </cell>
          <cell r="H1257">
            <v>101860</v>
          </cell>
        </row>
        <row r="1258">
          <cell r="A1258" t="str">
            <v>13-1160</v>
          </cell>
          <cell r="B1258" t="str">
            <v>Market Research Analysts and Marketing Specialists</v>
          </cell>
          <cell r="C1258" t="str">
            <v>broad</v>
          </cell>
          <cell r="D1258">
            <v>899580</v>
          </cell>
          <cell r="E1258">
            <v>0.8</v>
          </cell>
          <cell r="F1258">
            <v>89490</v>
          </cell>
          <cell r="G1258">
            <v>0.5</v>
          </cell>
          <cell r="H1258">
            <v>78760</v>
          </cell>
        </row>
        <row r="1259">
          <cell r="A1259" t="str">
            <v>13-1161</v>
          </cell>
          <cell r="B1259" t="str">
            <v>Market Research Analysts and Marketing Specialists</v>
          </cell>
          <cell r="C1259" t="str">
            <v>detailed</v>
          </cell>
          <cell r="D1259">
            <v>899580</v>
          </cell>
          <cell r="E1259">
            <v>0.8</v>
          </cell>
          <cell r="F1259">
            <v>89490</v>
          </cell>
          <cell r="G1259">
            <v>0.5</v>
          </cell>
          <cell r="H1259">
            <v>78760</v>
          </cell>
        </row>
        <row r="1260">
          <cell r="A1260" t="str">
            <v>43-4170</v>
          </cell>
          <cell r="B1260" t="str">
            <v>Receptionists and Information Clerks</v>
          </cell>
          <cell r="C1260" t="str">
            <v>broad</v>
          </cell>
          <cell r="D1260">
            <v>910180</v>
          </cell>
          <cell r="E1260">
            <v>0.9</v>
          </cell>
          <cell r="F1260">
            <v>39460</v>
          </cell>
          <cell r="G1260">
            <v>0.2</v>
          </cell>
          <cell r="H1260">
            <v>38010</v>
          </cell>
        </row>
        <row r="1261">
          <cell r="A1261" t="str">
            <v>43-4171</v>
          </cell>
          <cell r="B1261" t="str">
            <v>Receptionists and Information Clerks</v>
          </cell>
          <cell r="C1261" t="str">
            <v>detailed</v>
          </cell>
          <cell r="D1261">
            <v>910180</v>
          </cell>
          <cell r="E1261">
            <v>0.9</v>
          </cell>
          <cell r="F1261">
            <v>39460</v>
          </cell>
          <cell r="G1261">
            <v>0.2</v>
          </cell>
          <cell r="H1261">
            <v>38010</v>
          </cell>
        </row>
        <row r="1262">
          <cell r="A1262" t="str">
            <v>13-1071</v>
          </cell>
          <cell r="B1262" t="str">
            <v>Human Resources Specialists</v>
          </cell>
          <cell r="C1262" t="str">
            <v>detailed</v>
          </cell>
          <cell r="D1262">
            <v>912430</v>
          </cell>
          <cell r="E1262">
            <v>0.6</v>
          </cell>
          <cell r="F1262">
            <v>81990</v>
          </cell>
          <cell r="G1262">
            <v>0.2</v>
          </cell>
          <cell r="H1262">
            <v>75940</v>
          </cell>
        </row>
        <row r="1263">
          <cell r="A1263" t="str">
            <v>37-3011</v>
          </cell>
          <cell r="B1263" t="str">
            <v>Landscaping and Groundskeeping Workers</v>
          </cell>
          <cell r="C1263" t="str">
            <v>detailed</v>
          </cell>
          <cell r="D1263">
            <v>952640</v>
          </cell>
          <cell r="E1263">
            <v>0.7</v>
          </cell>
          <cell r="F1263">
            <v>42290</v>
          </cell>
          <cell r="G1263">
            <v>0.3</v>
          </cell>
          <cell r="H1263">
            <v>39150</v>
          </cell>
        </row>
        <row r="1264">
          <cell r="A1264" t="str">
            <v>43-6013</v>
          </cell>
          <cell r="B1264" t="str">
            <v>Medical Secretaries and Administrative Assistants</v>
          </cell>
          <cell r="C1264" t="str">
            <v>detailed</v>
          </cell>
          <cell r="D1264">
            <v>961610</v>
          </cell>
          <cell r="E1264">
            <v>0.8</v>
          </cell>
          <cell r="F1264">
            <v>46800</v>
          </cell>
          <cell r="G1264">
            <v>0.3</v>
          </cell>
          <cell r="H1264">
            <v>45930</v>
          </cell>
        </row>
        <row r="1265">
          <cell r="A1265" t="str">
            <v>13-1070</v>
          </cell>
          <cell r="B1265" t="str">
            <v>Human Resources Workers</v>
          </cell>
          <cell r="C1265" t="str">
            <v>broad</v>
          </cell>
          <cell r="D1265">
            <v>977550</v>
          </cell>
          <cell r="E1265">
            <v>0.6</v>
          </cell>
          <cell r="F1265">
            <v>83090</v>
          </cell>
          <cell r="G1265">
            <v>0.2</v>
          </cell>
          <cell r="H1265">
            <v>76700</v>
          </cell>
        </row>
        <row r="1266">
          <cell r="A1266" t="str">
            <v>29-2050</v>
          </cell>
          <cell r="B1266" t="str">
            <v>Health Practitioner Support Technologists and Technicians</v>
          </cell>
          <cell r="C1266" t="str">
            <v>broad</v>
          </cell>
          <cell r="D1266">
            <v>977800</v>
          </cell>
          <cell r="E1266">
            <v>0.5</v>
          </cell>
          <cell r="F1266">
            <v>49440</v>
          </cell>
          <cell r="G1266">
            <v>0.2</v>
          </cell>
          <cell r="H1266">
            <v>46580</v>
          </cell>
        </row>
        <row r="1267">
          <cell r="A1267" t="str">
            <v>53-3033</v>
          </cell>
          <cell r="B1267" t="str">
            <v>Light Truck Drivers</v>
          </cell>
          <cell r="C1267" t="str">
            <v>detailed</v>
          </cell>
          <cell r="D1267">
            <v>983300</v>
          </cell>
          <cell r="E1267">
            <v>0.7</v>
          </cell>
          <cell r="F1267">
            <v>48770</v>
          </cell>
          <cell r="G1267">
            <v>0.3</v>
          </cell>
          <cell r="H1267">
            <v>44860</v>
          </cell>
        </row>
        <row r="1268">
          <cell r="A1268" t="str">
            <v>11-2020</v>
          </cell>
          <cell r="B1268" t="str">
            <v>Marketing and Sales Managers</v>
          </cell>
          <cell r="C1268" t="str">
            <v>broad</v>
          </cell>
          <cell r="D1268">
            <v>1032320</v>
          </cell>
          <cell r="E1268">
            <v>0.7</v>
          </cell>
          <cell r="F1268">
            <v>169490</v>
          </cell>
          <cell r="G1268">
            <v>0.3</v>
          </cell>
          <cell r="H1268">
            <v>158040</v>
          </cell>
        </row>
        <row r="1269">
          <cell r="A1269" t="str">
            <v>21-1010</v>
          </cell>
          <cell r="B1269" t="str">
            <v>Counselors</v>
          </cell>
          <cell r="C1269" t="str">
            <v>broad</v>
          </cell>
          <cell r="D1269">
            <v>1035300</v>
          </cell>
          <cell r="E1269">
            <v>0.7</v>
          </cell>
          <cell r="F1269">
            <v>66300</v>
          </cell>
          <cell r="G1269">
            <v>0.5</v>
          </cell>
          <cell r="H1269">
            <v>60320</v>
          </cell>
        </row>
        <row r="1270">
          <cell r="A1270" t="str">
            <v>37-3000</v>
          </cell>
          <cell r="B1270" t="str">
            <v>Grounds Maintenance Workers</v>
          </cell>
          <cell r="C1270" t="str">
            <v>minor</v>
          </cell>
          <cell r="D1270">
            <v>1048490</v>
          </cell>
          <cell r="E1270">
            <v>0.5</v>
          </cell>
          <cell r="F1270">
            <v>43220</v>
          </cell>
          <cell r="G1270">
            <v>0.3</v>
          </cell>
          <cell r="H1270">
            <v>40080</v>
          </cell>
        </row>
        <row r="1271">
          <cell r="A1271" t="str">
            <v>37-3010</v>
          </cell>
          <cell r="B1271" t="str">
            <v>Grounds Maintenance Workers</v>
          </cell>
          <cell r="C1271" t="str">
            <v>broad</v>
          </cell>
          <cell r="D1271">
            <v>1048490</v>
          </cell>
          <cell r="E1271">
            <v>0.5</v>
          </cell>
          <cell r="F1271">
            <v>43220</v>
          </cell>
          <cell r="G1271">
            <v>0.3</v>
          </cell>
          <cell r="H1271">
            <v>40080</v>
          </cell>
        </row>
        <row r="1272">
          <cell r="A1272" t="str">
            <v>25-2031</v>
          </cell>
          <cell r="B1272" t="str">
            <v>Secondary School Teachers, Except Special and Career/Technical Education</v>
          </cell>
          <cell r="C1272" t="str">
            <v>detailed</v>
          </cell>
          <cell r="D1272">
            <v>1065210</v>
          </cell>
          <cell r="E1272">
            <v>1</v>
          </cell>
          <cell r="F1272">
            <v>76320</v>
          </cell>
          <cell r="G1272">
            <v>0.4</v>
          </cell>
          <cell r="H1272">
            <v>72040</v>
          </cell>
        </row>
        <row r="1273">
          <cell r="A1273" t="str">
            <v>13-1082</v>
          </cell>
          <cell r="B1273" t="str">
            <v>Project Management Specialists</v>
          </cell>
          <cell r="C1273" t="str">
            <v>detailed</v>
          </cell>
          <cell r="D1273">
            <v>1066670</v>
          </cell>
          <cell r="E1273">
            <v>0.6</v>
          </cell>
          <cell r="F1273">
            <v>110740</v>
          </cell>
          <cell r="G1273">
            <v>0.2</v>
          </cell>
          <cell r="H1273">
            <v>102320</v>
          </cell>
        </row>
        <row r="1274">
          <cell r="A1274" t="str">
            <v>13-1190</v>
          </cell>
          <cell r="B1274" t="str">
            <v>Miscellaneous Business Operations Specialists</v>
          </cell>
          <cell r="C1274" t="str">
            <v>broad</v>
          </cell>
          <cell r="D1274">
            <v>1087090</v>
          </cell>
          <cell r="E1274">
            <v>0.6</v>
          </cell>
          <cell r="F1274">
            <v>93970</v>
          </cell>
          <cell r="G1274">
            <v>0.3</v>
          </cell>
          <cell r="H1274">
            <v>83050</v>
          </cell>
        </row>
        <row r="1275">
          <cell r="A1275" t="str">
            <v>13-1199</v>
          </cell>
          <cell r="B1275" t="str">
            <v>Business Operations Specialists, All Other</v>
          </cell>
          <cell r="C1275" t="str">
            <v>detailed</v>
          </cell>
          <cell r="D1275">
            <v>1087090</v>
          </cell>
          <cell r="E1275">
            <v>0.6</v>
          </cell>
          <cell r="F1275">
            <v>93970</v>
          </cell>
          <cell r="G1275">
            <v>0.3</v>
          </cell>
          <cell r="H1275">
            <v>83050</v>
          </cell>
        </row>
        <row r="1276">
          <cell r="A1276" t="str">
            <v>47-2060</v>
          </cell>
          <cell r="B1276" t="str">
            <v>Construction Laborers</v>
          </cell>
          <cell r="C1276" t="str">
            <v>broad</v>
          </cell>
          <cell r="D1276">
            <v>1096780</v>
          </cell>
          <cell r="E1276">
            <v>0.8</v>
          </cell>
          <cell r="F1276">
            <v>52030</v>
          </cell>
          <cell r="G1276">
            <v>0.3</v>
          </cell>
          <cell r="H1276">
            <v>47120</v>
          </cell>
        </row>
        <row r="1277">
          <cell r="A1277" t="str">
            <v>47-2061</v>
          </cell>
          <cell r="B1277" t="str">
            <v>Construction Laborers</v>
          </cell>
          <cell r="C1277" t="str">
            <v>detailed</v>
          </cell>
          <cell r="D1277">
            <v>1096780</v>
          </cell>
          <cell r="E1277">
            <v>0.8</v>
          </cell>
          <cell r="F1277">
            <v>52030</v>
          </cell>
          <cell r="G1277">
            <v>0.3</v>
          </cell>
          <cell r="H1277">
            <v>47120</v>
          </cell>
        </row>
        <row r="1278">
          <cell r="A1278" t="str">
            <v>41-1011</v>
          </cell>
          <cell r="B1278" t="str">
            <v>First-Line Supervisors of Retail Sales Workers</v>
          </cell>
          <cell r="C1278" t="str">
            <v>detailed</v>
          </cell>
          <cell r="D1278">
            <v>1121800</v>
          </cell>
          <cell r="E1278">
            <v>0.6</v>
          </cell>
          <cell r="F1278">
            <v>53380</v>
          </cell>
          <cell r="G1278">
            <v>0.2</v>
          </cell>
          <cell r="H1278">
            <v>48520</v>
          </cell>
        </row>
        <row r="1279">
          <cell r="A1279" t="str">
            <v>11-2000</v>
          </cell>
          <cell r="B1279" t="str">
            <v>Advertising, Marketing, Promotions, Public Relations, and Sales Managers</v>
          </cell>
          <cell r="C1279" t="str">
            <v>minor</v>
          </cell>
          <cell r="D1279">
            <v>1167460</v>
          </cell>
          <cell r="E1279">
            <v>0.6</v>
          </cell>
          <cell r="F1279">
            <v>167930</v>
          </cell>
          <cell r="G1279">
            <v>0.3</v>
          </cell>
          <cell r="H1279">
            <v>155780</v>
          </cell>
        </row>
        <row r="1280">
          <cell r="A1280" t="str">
            <v>25-2030</v>
          </cell>
          <cell r="B1280" t="str">
            <v>Secondary School Teachers</v>
          </cell>
          <cell r="C1280" t="str">
            <v>broad</v>
          </cell>
          <cell r="D1280">
            <v>1176620</v>
          </cell>
          <cell r="E1280">
            <v>0.9</v>
          </cell>
          <cell r="F1280">
            <v>75970</v>
          </cell>
          <cell r="G1280">
            <v>0.4</v>
          </cell>
          <cell r="H1280">
            <v>70930</v>
          </cell>
        </row>
        <row r="1281">
          <cell r="A1281" t="str">
            <v>25-3000</v>
          </cell>
          <cell r="B1281" t="str">
            <v>Other Teachers and Instructors</v>
          </cell>
          <cell r="C1281" t="str">
            <v>minor</v>
          </cell>
          <cell r="D1281">
            <v>1183050</v>
          </cell>
          <cell r="E1281">
            <v>0.8</v>
          </cell>
          <cell r="F1281">
            <v>52250</v>
          </cell>
          <cell r="G1281">
            <v>0.5</v>
          </cell>
          <cell r="H1281">
            <v>45730</v>
          </cell>
        </row>
        <row r="1282">
          <cell r="A1282" t="str">
            <v>33-3000</v>
          </cell>
          <cell r="B1282" t="str">
            <v>Law Enforcement Workers</v>
          </cell>
          <cell r="C1282" t="str">
            <v>minor</v>
          </cell>
          <cell r="D1282">
            <v>1201970</v>
          </cell>
          <cell r="E1282">
            <v>0.2</v>
          </cell>
          <cell r="F1282">
            <v>75760</v>
          </cell>
          <cell r="G1282">
            <v>0.2</v>
          </cell>
          <cell r="H1282">
            <v>72020</v>
          </cell>
        </row>
        <row r="1283">
          <cell r="A1283" t="str">
            <v>35-1012</v>
          </cell>
          <cell r="B1283" t="str">
            <v>First-Line Supervisors of Food Preparation and Serving Workers</v>
          </cell>
          <cell r="C1283" t="str">
            <v>detailed</v>
          </cell>
          <cell r="D1283">
            <v>1223240</v>
          </cell>
          <cell r="E1283">
            <v>0.9</v>
          </cell>
          <cell r="F1283">
            <v>46180</v>
          </cell>
          <cell r="G1283">
            <v>0.4</v>
          </cell>
          <cell r="H1283">
            <v>44080</v>
          </cell>
        </row>
        <row r="1284">
          <cell r="A1284" t="str">
            <v>41-4012</v>
          </cell>
          <cell r="B1284" t="str">
            <v>Sales Representatives, Wholesale and Manufacturing, Except Technical and Scientific Products</v>
          </cell>
          <cell r="C1284" t="str">
            <v>detailed</v>
          </cell>
          <cell r="D1284">
            <v>1238190</v>
          </cell>
          <cell r="E1284">
            <v>0.6</v>
          </cell>
          <cell r="F1284">
            <v>82530</v>
          </cell>
          <cell r="G1284">
            <v>0.4</v>
          </cell>
          <cell r="H1284">
            <v>72080</v>
          </cell>
        </row>
        <row r="1285">
          <cell r="A1285" t="str">
            <v>41-3090</v>
          </cell>
          <cell r="B1285" t="str">
            <v>Miscellaneous Sales Representatives, Services</v>
          </cell>
          <cell r="C1285" t="str">
            <v>broad</v>
          </cell>
          <cell r="D1285">
            <v>1256010</v>
          </cell>
          <cell r="E1285">
            <v>0.7</v>
          </cell>
          <cell r="F1285">
            <v>82430</v>
          </cell>
          <cell r="G1285">
            <v>0.4</v>
          </cell>
          <cell r="H1285">
            <v>69990</v>
          </cell>
        </row>
        <row r="1286">
          <cell r="A1286" t="str">
            <v>41-3091</v>
          </cell>
          <cell r="B1286" t="str">
            <v>Sales Representatives of Services, Except Advertising, Insurance, Financial Services, and Travel</v>
          </cell>
          <cell r="C1286" t="str">
            <v>detailed</v>
          </cell>
          <cell r="D1286">
            <v>1256010</v>
          </cell>
          <cell r="E1286">
            <v>0.7</v>
          </cell>
          <cell r="F1286">
            <v>82430</v>
          </cell>
          <cell r="G1286">
            <v>0.4</v>
          </cell>
          <cell r="H1286">
            <v>69990</v>
          </cell>
        </row>
        <row r="1287">
          <cell r="A1287" t="str">
            <v>33-9032</v>
          </cell>
          <cell r="B1287" t="str">
            <v>Security Guards</v>
          </cell>
          <cell r="C1287" t="str">
            <v>detailed</v>
          </cell>
          <cell r="D1287">
            <v>1283470</v>
          </cell>
          <cell r="E1287">
            <v>0.4</v>
          </cell>
          <cell r="F1287">
            <v>42470</v>
          </cell>
          <cell r="G1287">
            <v>0.4</v>
          </cell>
          <cell r="H1287">
            <v>38020</v>
          </cell>
        </row>
        <row r="1288">
          <cell r="A1288" t="str">
            <v>33-9030</v>
          </cell>
          <cell r="B1288" t="str">
            <v>Security Guards and Gambling Surveillance Officers</v>
          </cell>
          <cell r="C1288" t="str">
            <v>broad</v>
          </cell>
          <cell r="D1288">
            <v>1292990</v>
          </cell>
          <cell r="E1288">
            <v>0.4</v>
          </cell>
          <cell r="F1288">
            <v>42490</v>
          </cell>
          <cell r="G1288">
            <v>0.4</v>
          </cell>
          <cell r="H1288">
            <v>38050</v>
          </cell>
        </row>
        <row r="1289">
          <cell r="A1289" t="str">
            <v>23-0000</v>
          </cell>
          <cell r="B1289" t="str">
            <v>Legal Occupations</v>
          </cell>
          <cell r="C1289" t="str">
            <v>major</v>
          </cell>
          <cell r="D1289">
            <v>1305620</v>
          </cell>
          <cell r="E1289">
            <v>0.8</v>
          </cell>
          <cell r="F1289">
            <v>139510</v>
          </cell>
          <cell r="G1289">
            <v>1.4</v>
          </cell>
          <cell r="H1289">
            <v>102500</v>
          </cell>
        </row>
        <row r="1290">
          <cell r="A1290" t="str">
            <v>13-1080</v>
          </cell>
          <cell r="B1290" t="str">
            <v>Logisticians and Project Management Specialists</v>
          </cell>
          <cell r="C1290" t="str">
            <v>broad</v>
          </cell>
          <cell r="D1290">
            <v>1317720</v>
          </cell>
          <cell r="E1290">
            <v>0.6</v>
          </cell>
          <cell r="F1290">
            <v>106740</v>
          </cell>
          <cell r="G1290">
            <v>0.2</v>
          </cell>
          <cell r="H1290">
            <v>99830</v>
          </cell>
        </row>
        <row r="1291">
          <cell r="A1291" t="str">
            <v>39-9000</v>
          </cell>
          <cell r="B1291" t="str">
            <v>Other Personal Care and Service Workers</v>
          </cell>
          <cell r="C1291" t="str">
            <v>minor</v>
          </cell>
          <cell r="D1291">
            <v>1318510</v>
          </cell>
          <cell r="E1291">
            <v>0.7</v>
          </cell>
          <cell r="F1291">
            <v>40980</v>
          </cell>
          <cell r="G1291">
            <v>0.5</v>
          </cell>
          <cell r="H1291">
            <v>36940</v>
          </cell>
        </row>
        <row r="1292">
          <cell r="A1292" t="str">
            <v>41-1000</v>
          </cell>
          <cell r="B1292" t="str">
            <v>Supervisors of Sales Workers</v>
          </cell>
          <cell r="C1292" t="str">
            <v>minor</v>
          </cell>
          <cell r="D1292">
            <v>1336190</v>
          </cell>
          <cell r="E1292">
            <v>0.5</v>
          </cell>
          <cell r="F1292">
            <v>60750</v>
          </cell>
          <cell r="G1292">
            <v>0.3</v>
          </cell>
          <cell r="H1292">
            <v>51570</v>
          </cell>
        </row>
        <row r="1293">
          <cell r="A1293" t="str">
            <v>41-1010</v>
          </cell>
          <cell r="B1293" t="str">
            <v>First-Line Supervisors of Sales Workers</v>
          </cell>
          <cell r="C1293" t="str">
            <v>broad</v>
          </cell>
          <cell r="D1293">
            <v>1336190</v>
          </cell>
          <cell r="E1293">
            <v>0.5</v>
          </cell>
          <cell r="F1293">
            <v>60750</v>
          </cell>
          <cell r="G1293">
            <v>0.3</v>
          </cell>
          <cell r="H1293">
            <v>51570</v>
          </cell>
        </row>
        <row r="1294">
          <cell r="A1294" t="str">
            <v>25-1000</v>
          </cell>
          <cell r="B1294" t="str">
            <v>Postsecondary Teachers</v>
          </cell>
          <cell r="C1294" t="str">
            <v>minor</v>
          </cell>
          <cell r="D1294">
            <v>1370560</v>
          </cell>
          <cell r="E1294">
            <v>0.2</v>
          </cell>
          <cell r="F1294">
            <v>103470</v>
          </cell>
          <cell r="G1294">
            <v>0.3</v>
          </cell>
          <cell r="H1294">
            <v>82250</v>
          </cell>
        </row>
        <row r="1295">
          <cell r="A1295" t="str">
            <v>43-3030</v>
          </cell>
          <cell r="B1295" t="str">
            <v>Bookkeeping, Accounting, and Auditing Clerks</v>
          </cell>
          <cell r="C1295" t="str">
            <v>broad</v>
          </cell>
          <cell r="D1295">
            <v>1373680</v>
          </cell>
          <cell r="E1295">
            <v>0.8</v>
          </cell>
          <cell r="F1295">
            <v>53560</v>
          </cell>
          <cell r="G1295">
            <v>0.2</v>
          </cell>
          <cell r="H1295">
            <v>50670</v>
          </cell>
        </row>
        <row r="1296">
          <cell r="A1296" t="str">
            <v>43-3031</v>
          </cell>
          <cell r="B1296" t="str">
            <v>Bookkeeping, Accounting, and Auditing Clerks</v>
          </cell>
          <cell r="C1296" t="str">
            <v>detailed</v>
          </cell>
          <cell r="D1296">
            <v>1373680</v>
          </cell>
          <cell r="E1296">
            <v>0.8</v>
          </cell>
          <cell r="F1296">
            <v>53560</v>
          </cell>
          <cell r="G1296">
            <v>0.2</v>
          </cell>
          <cell r="H1296">
            <v>50670</v>
          </cell>
        </row>
        <row r="1297">
          <cell r="A1297" t="str">
            <v>25-2021</v>
          </cell>
          <cell r="B1297" t="str">
            <v>Elementary School Teachers, Except Special Education</v>
          </cell>
          <cell r="C1297" t="str">
            <v>detailed</v>
          </cell>
          <cell r="D1297">
            <v>1388390</v>
          </cell>
          <cell r="E1297">
            <v>0.8</v>
          </cell>
          <cell r="F1297">
            <v>72650</v>
          </cell>
          <cell r="G1297">
            <v>0.4</v>
          </cell>
          <cell r="H1297">
            <v>63970</v>
          </cell>
        </row>
        <row r="1298">
          <cell r="A1298" t="str">
            <v>51-2090</v>
          </cell>
          <cell r="B1298" t="str">
            <v>Miscellaneous Assemblers and Fabricators</v>
          </cell>
          <cell r="C1298" t="str">
            <v>broad</v>
          </cell>
          <cell r="D1298">
            <v>1405030</v>
          </cell>
          <cell r="E1298">
            <v>0.5</v>
          </cell>
          <cell r="F1298">
            <v>46660</v>
          </cell>
          <cell r="G1298">
            <v>0.2</v>
          </cell>
          <cell r="H1298">
            <v>44650</v>
          </cell>
        </row>
        <row r="1299">
          <cell r="A1299" t="str">
            <v>51-2090</v>
          </cell>
          <cell r="B1299" t="str">
            <v>Miscellaneous Assemblers and Fabricators</v>
          </cell>
          <cell r="C1299" t="str">
            <v>detailed</v>
          </cell>
          <cell r="D1299">
            <v>1405030</v>
          </cell>
          <cell r="E1299">
            <v>0.5</v>
          </cell>
          <cell r="F1299">
            <v>46660</v>
          </cell>
          <cell r="G1299">
            <v>0.2</v>
          </cell>
          <cell r="H1299">
            <v>44650</v>
          </cell>
        </row>
        <row r="1300">
          <cell r="A1300" t="str">
            <v>35-2014</v>
          </cell>
          <cell r="B1300" t="str">
            <v>Cooks, Restaurant</v>
          </cell>
          <cell r="C1300" t="str">
            <v>detailed</v>
          </cell>
          <cell r="D1300">
            <v>1409890</v>
          </cell>
          <cell r="E1300">
            <v>1</v>
          </cell>
          <cell r="F1300">
            <v>38730</v>
          </cell>
          <cell r="G1300">
            <v>0.4</v>
          </cell>
          <cell r="H1300">
            <v>37390</v>
          </cell>
        </row>
        <row r="1301">
          <cell r="A1301" t="str">
            <v>25-9045</v>
          </cell>
          <cell r="B1301" t="str">
            <v>Teaching Assistants, Except Postsecondary</v>
          </cell>
          <cell r="C1301" t="str">
            <v>detailed</v>
          </cell>
          <cell r="D1301">
            <v>1420350</v>
          </cell>
          <cell r="E1301">
            <v>0.6</v>
          </cell>
          <cell r="F1301">
            <v>38290</v>
          </cell>
          <cell r="G1301">
            <v>0.3</v>
          </cell>
          <cell r="H1301">
            <v>36780</v>
          </cell>
        </row>
        <row r="1302">
          <cell r="A1302" t="str">
            <v>35-1000</v>
          </cell>
          <cell r="B1302" t="str">
            <v>Supervisors of Food Preparation and Serving Workers</v>
          </cell>
          <cell r="C1302" t="str">
            <v>minor</v>
          </cell>
          <cell r="D1302">
            <v>1423280</v>
          </cell>
          <cell r="E1302">
            <v>1</v>
          </cell>
          <cell r="F1302">
            <v>49070</v>
          </cell>
          <cell r="G1302">
            <v>0.4</v>
          </cell>
          <cell r="H1302">
            <v>45370</v>
          </cell>
        </row>
        <row r="1303">
          <cell r="A1303" t="str">
            <v>35-1010</v>
          </cell>
          <cell r="B1303" t="str">
            <v>Supervisors of Food Preparation and Serving Workers</v>
          </cell>
          <cell r="C1303" t="str">
            <v>broad</v>
          </cell>
          <cell r="D1303">
            <v>1423280</v>
          </cell>
          <cell r="E1303">
            <v>1</v>
          </cell>
          <cell r="F1303">
            <v>49070</v>
          </cell>
          <cell r="G1303">
            <v>0.4</v>
          </cell>
          <cell r="H1303">
            <v>45370</v>
          </cell>
        </row>
        <row r="1304">
          <cell r="A1304" t="str">
            <v>43-1000</v>
          </cell>
          <cell r="B1304" t="str">
            <v>Supervisors of Office and Administrative Support Workers</v>
          </cell>
          <cell r="C1304" t="str">
            <v>minor</v>
          </cell>
          <cell r="D1304">
            <v>1436680</v>
          </cell>
          <cell r="E1304">
            <v>0.5</v>
          </cell>
          <cell r="F1304">
            <v>73490</v>
          </cell>
          <cell r="G1304">
            <v>0.1</v>
          </cell>
          <cell r="H1304">
            <v>69500</v>
          </cell>
        </row>
        <row r="1305">
          <cell r="A1305" t="str">
            <v>43-1010</v>
          </cell>
          <cell r="B1305" t="str">
            <v>First-Line Supervisors of Office and Administrative Support Workers</v>
          </cell>
          <cell r="C1305" t="str">
            <v>broad</v>
          </cell>
          <cell r="D1305">
            <v>1436680</v>
          </cell>
          <cell r="E1305">
            <v>0.5</v>
          </cell>
          <cell r="F1305">
            <v>73490</v>
          </cell>
          <cell r="G1305">
            <v>0.1</v>
          </cell>
          <cell r="H1305">
            <v>69500</v>
          </cell>
        </row>
        <row r="1306">
          <cell r="A1306" t="str">
            <v>43-1011</v>
          </cell>
          <cell r="B1306" t="str">
            <v>First-Line Supervisors of Office and Administrative Support Workers</v>
          </cell>
          <cell r="C1306" t="str">
            <v>detailed</v>
          </cell>
          <cell r="D1306">
            <v>1436680</v>
          </cell>
          <cell r="E1306">
            <v>0.5</v>
          </cell>
          <cell r="F1306">
            <v>73490</v>
          </cell>
          <cell r="G1306">
            <v>0.1</v>
          </cell>
          <cell r="H1306">
            <v>69500</v>
          </cell>
        </row>
        <row r="1307">
          <cell r="A1307" t="str">
            <v>31-1131</v>
          </cell>
          <cell r="B1307" t="str">
            <v>Nursing Assistants</v>
          </cell>
          <cell r="C1307" t="str">
            <v>detailed</v>
          </cell>
          <cell r="D1307">
            <v>1448910</v>
          </cell>
          <cell r="E1307">
            <v>0.4</v>
          </cell>
          <cell r="F1307">
            <v>42700</v>
          </cell>
          <cell r="G1307">
            <v>0.2</v>
          </cell>
          <cell r="H1307">
            <v>42260</v>
          </cell>
        </row>
        <row r="1308">
          <cell r="A1308" t="str">
            <v>13-2010</v>
          </cell>
          <cell r="B1308" t="str">
            <v>Accountants and Auditors</v>
          </cell>
          <cell r="C1308" t="str">
            <v>broad</v>
          </cell>
          <cell r="D1308">
            <v>1449500</v>
          </cell>
          <cell r="E1308">
            <v>0.5</v>
          </cell>
          <cell r="F1308">
            <v>94750</v>
          </cell>
          <cell r="G1308">
            <v>0.3</v>
          </cell>
          <cell r="H1308">
            <v>83680</v>
          </cell>
        </row>
        <row r="1309">
          <cell r="A1309" t="str">
            <v>13-2011</v>
          </cell>
          <cell r="B1309" t="str">
            <v>Accountants and Auditors</v>
          </cell>
          <cell r="C1309" t="str">
            <v>detailed</v>
          </cell>
          <cell r="D1309">
            <v>1449500</v>
          </cell>
          <cell r="E1309">
            <v>0.5</v>
          </cell>
          <cell r="F1309">
            <v>94750</v>
          </cell>
          <cell r="G1309">
            <v>0.3</v>
          </cell>
          <cell r="H1309">
            <v>83680</v>
          </cell>
        </row>
        <row r="1310">
          <cell r="A1310" t="str">
            <v>19-0000</v>
          </cell>
          <cell r="B1310" t="str">
            <v>Life, Physical, and Social Science Occupations</v>
          </cell>
          <cell r="C1310" t="str">
            <v>major</v>
          </cell>
          <cell r="D1310">
            <v>1473260</v>
          </cell>
          <cell r="E1310">
            <v>0.4</v>
          </cell>
          <cell r="F1310">
            <v>94600</v>
          </cell>
          <cell r="G1310">
            <v>0.5</v>
          </cell>
          <cell r="H1310">
            <v>82530</v>
          </cell>
        </row>
        <row r="1311">
          <cell r="A1311" t="str">
            <v>41-4000</v>
          </cell>
          <cell r="B1311" t="str">
            <v>Sales Representatives, Wholesale and Manufacturing</v>
          </cell>
          <cell r="C1311" t="str">
            <v>minor</v>
          </cell>
          <cell r="D1311">
            <v>1522990</v>
          </cell>
          <cell r="E1311">
            <v>0.6</v>
          </cell>
          <cell r="F1311">
            <v>89490</v>
          </cell>
          <cell r="G1311">
            <v>0.4</v>
          </cell>
          <cell r="H1311">
            <v>76460</v>
          </cell>
        </row>
        <row r="1312">
          <cell r="A1312" t="str">
            <v>41-4010</v>
          </cell>
          <cell r="B1312" t="str">
            <v>Sales Representatives, Wholesale and Manufacturing</v>
          </cell>
          <cell r="C1312" t="str">
            <v>broad</v>
          </cell>
          <cell r="D1312">
            <v>1522990</v>
          </cell>
          <cell r="E1312">
            <v>0.6</v>
          </cell>
          <cell r="F1312">
            <v>89490</v>
          </cell>
          <cell r="G1312">
            <v>0.4</v>
          </cell>
          <cell r="H1312">
            <v>76460</v>
          </cell>
        </row>
        <row r="1313">
          <cell r="A1313" t="str">
            <v>49-9070</v>
          </cell>
          <cell r="B1313" t="str">
            <v>Maintenance and Repair Workers, General</v>
          </cell>
          <cell r="C1313" t="str">
            <v>broad</v>
          </cell>
          <cell r="D1313">
            <v>1529700</v>
          </cell>
          <cell r="E1313">
            <v>0.5</v>
          </cell>
          <cell r="F1313">
            <v>53780</v>
          </cell>
          <cell r="G1313">
            <v>0.2</v>
          </cell>
          <cell r="H1313">
            <v>49590</v>
          </cell>
        </row>
        <row r="1314">
          <cell r="A1314" t="str">
            <v>49-9071</v>
          </cell>
          <cell r="B1314" t="str">
            <v>Maintenance and Repair Workers, General</v>
          </cell>
          <cell r="C1314" t="str">
            <v>detailed</v>
          </cell>
          <cell r="D1314">
            <v>1529700</v>
          </cell>
          <cell r="E1314">
            <v>0.5</v>
          </cell>
          <cell r="F1314">
            <v>53780</v>
          </cell>
          <cell r="G1314">
            <v>0.2</v>
          </cell>
          <cell r="H1314">
            <v>49590</v>
          </cell>
        </row>
        <row r="1315">
          <cell r="A1315" t="str">
            <v>31-1130</v>
          </cell>
          <cell r="B1315" t="str">
            <v>Nursing Assistants, Orderlies, and Psychiatric Aides</v>
          </cell>
          <cell r="C1315" t="str">
            <v>broad</v>
          </cell>
          <cell r="D1315">
            <v>1536870</v>
          </cell>
          <cell r="E1315">
            <v>0.4</v>
          </cell>
          <cell r="F1315">
            <v>42700</v>
          </cell>
          <cell r="G1315">
            <v>0.2</v>
          </cell>
          <cell r="H1315">
            <v>41970</v>
          </cell>
        </row>
        <row r="1316">
          <cell r="A1316" t="str">
            <v>35-9000</v>
          </cell>
          <cell r="B1316" t="str">
            <v>Other Food Preparation and Serving Related Workers</v>
          </cell>
          <cell r="C1316" t="str">
            <v>minor</v>
          </cell>
          <cell r="D1316">
            <v>1537520</v>
          </cell>
          <cell r="E1316">
            <v>0.8</v>
          </cell>
          <cell r="F1316">
            <v>33960</v>
          </cell>
          <cell r="G1316">
            <v>0.4</v>
          </cell>
          <cell r="H1316">
            <v>34080</v>
          </cell>
        </row>
        <row r="1317">
          <cell r="A1317" t="str">
            <v>51-4000</v>
          </cell>
          <cell r="B1317" t="str">
            <v>Metal Workers and Plastic Workers</v>
          </cell>
          <cell r="C1317" t="str">
            <v>minor</v>
          </cell>
          <cell r="D1317">
            <v>1545990</v>
          </cell>
          <cell r="E1317">
            <v>0.4</v>
          </cell>
          <cell r="F1317">
            <v>53730</v>
          </cell>
          <cell r="G1317">
            <v>0.2</v>
          </cell>
          <cell r="H1317">
            <v>49800</v>
          </cell>
        </row>
        <row r="1318">
          <cell r="A1318" t="str">
            <v>25-9040</v>
          </cell>
          <cell r="B1318" t="str">
            <v>Teaching Assistants</v>
          </cell>
          <cell r="C1318" t="str">
            <v>broad</v>
          </cell>
          <cell r="D1318">
            <v>1584440</v>
          </cell>
          <cell r="E1318">
            <v>0.5</v>
          </cell>
          <cell r="F1318">
            <v>39260</v>
          </cell>
          <cell r="G1318">
            <v>0.3</v>
          </cell>
          <cell r="H1318">
            <v>37010</v>
          </cell>
        </row>
        <row r="1319">
          <cell r="A1319" t="str">
            <v>15-1252</v>
          </cell>
          <cell r="B1319" t="str">
            <v>Software Developers</v>
          </cell>
          <cell r="C1319" t="str">
            <v>detailed</v>
          </cell>
          <cell r="D1319">
            <v>1687890</v>
          </cell>
          <cell r="E1319">
            <v>0.6</v>
          </cell>
          <cell r="F1319">
            <v>148100</v>
          </cell>
          <cell r="G1319">
            <v>0.4</v>
          </cell>
          <cell r="H1319">
            <v>135980</v>
          </cell>
        </row>
        <row r="1320">
          <cell r="A1320" t="str">
            <v>43-6014</v>
          </cell>
          <cell r="B1320" t="str">
            <v>Secretaries and Administrative Assistants, Except Legal, Medical, and Executive</v>
          </cell>
          <cell r="C1320" t="str">
            <v>detailed</v>
          </cell>
          <cell r="D1320">
            <v>1706790</v>
          </cell>
          <cell r="E1320">
            <v>0.4</v>
          </cell>
          <cell r="F1320">
            <v>49350</v>
          </cell>
          <cell r="G1320">
            <v>0.3</v>
          </cell>
          <cell r="H1320">
            <v>47540</v>
          </cell>
        </row>
        <row r="1321">
          <cell r="A1321" t="str">
            <v>31-9090</v>
          </cell>
          <cell r="B1321" t="str">
            <v>Miscellaneous Healthcare Support Occupations</v>
          </cell>
          <cell r="C1321" t="str">
            <v>broad</v>
          </cell>
          <cell r="D1321">
            <v>1744020</v>
          </cell>
          <cell r="E1321">
            <v>0.6</v>
          </cell>
          <cell r="F1321">
            <v>46810</v>
          </cell>
          <cell r="G1321">
            <v>0.2</v>
          </cell>
          <cell r="H1321">
            <v>46020</v>
          </cell>
        </row>
        <row r="1322">
          <cell r="A1322" t="str">
            <v>49-3000</v>
          </cell>
          <cell r="B1322" t="str">
            <v>Vehicle and Mobile Equipment Mechanics, Installers, and Repairers</v>
          </cell>
          <cell r="C1322" t="str">
            <v>minor</v>
          </cell>
          <cell r="D1322">
            <v>1748920</v>
          </cell>
          <cell r="E1322">
            <v>0.3</v>
          </cell>
          <cell r="F1322">
            <v>60420</v>
          </cell>
          <cell r="G1322">
            <v>0.2</v>
          </cell>
          <cell r="H1322">
            <v>58240</v>
          </cell>
        </row>
        <row r="1323">
          <cell r="A1323" t="str">
            <v>17-2000</v>
          </cell>
          <cell r="B1323" t="str">
            <v>Engineers</v>
          </cell>
          <cell r="C1323" t="str">
            <v>minor</v>
          </cell>
          <cell r="D1323">
            <v>1800740</v>
          </cell>
          <cell r="E1323">
            <v>0.4</v>
          </cell>
          <cell r="F1323">
            <v>119640</v>
          </cell>
          <cell r="G1323">
            <v>0.3</v>
          </cell>
          <cell r="H1323">
            <v>108620</v>
          </cell>
        </row>
        <row r="1324">
          <cell r="A1324" t="str">
            <v>51-2000</v>
          </cell>
          <cell r="B1324" t="str">
            <v>Assemblers and Fabricators</v>
          </cell>
          <cell r="C1324" t="str">
            <v>minor</v>
          </cell>
          <cell r="D1324">
            <v>1801640</v>
          </cell>
          <cell r="E1324">
            <v>0.4</v>
          </cell>
          <cell r="F1324">
            <v>47740</v>
          </cell>
          <cell r="G1324">
            <v>0.2</v>
          </cell>
          <cell r="H1324">
            <v>45450</v>
          </cell>
        </row>
        <row r="1325">
          <cell r="A1325" t="str">
            <v>33-9000</v>
          </cell>
          <cell r="B1325" t="str">
            <v>Other Protective Service Workers</v>
          </cell>
          <cell r="C1325" t="str">
            <v>minor</v>
          </cell>
          <cell r="D1325">
            <v>1802770</v>
          </cell>
          <cell r="E1325">
            <v>0.4</v>
          </cell>
          <cell r="F1325">
            <v>42770</v>
          </cell>
          <cell r="G1325">
            <v>0.3</v>
          </cell>
          <cell r="H1325">
            <v>37890</v>
          </cell>
        </row>
        <row r="1326">
          <cell r="A1326" t="str">
            <v>31-9000</v>
          </cell>
          <cell r="B1326" t="str">
            <v>Other Healthcare Support Occupations</v>
          </cell>
          <cell r="C1326" t="str">
            <v>minor</v>
          </cell>
          <cell r="D1326">
            <v>1842810</v>
          </cell>
          <cell r="E1326">
            <v>0.6</v>
          </cell>
          <cell r="F1326">
            <v>47730</v>
          </cell>
          <cell r="G1326">
            <v>0.2</v>
          </cell>
          <cell r="H1326">
            <v>46180</v>
          </cell>
        </row>
        <row r="1327">
          <cell r="A1327" t="str">
            <v>25-9000</v>
          </cell>
          <cell r="B1327" t="str">
            <v>Other Educational Instruction and Library Occupations</v>
          </cell>
          <cell r="C1327" t="str">
            <v>minor</v>
          </cell>
          <cell r="D1327">
            <v>1939010</v>
          </cell>
          <cell r="E1327">
            <v>0.4</v>
          </cell>
          <cell r="F1327">
            <v>45460</v>
          </cell>
          <cell r="G1327">
            <v>0.3</v>
          </cell>
          <cell r="H1327">
            <v>38230</v>
          </cell>
        </row>
        <row r="1328">
          <cell r="A1328" t="str">
            <v>25-2020</v>
          </cell>
          <cell r="B1328" t="str">
            <v>Elementary and Middle School Teachers</v>
          </cell>
          <cell r="C1328" t="str">
            <v>broad</v>
          </cell>
          <cell r="D1328">
            <v>2025340</v>
          </cell>
          <cell r="E1328">
            <v>0.6</v>
          </cell>
          <cell r="F1328">
            <v>72450</v>
          </cell>
          <cell r="G1328">
            <v>0.3</v>
          </cell>
          <cell r="H1328">
            <v>64170</v>
          </cell>
        </row>
        <row r="1329">
          <cell r="A1329" t="str">
            <v>27-0000</v>
          </cell>
          <cell r="B1329" t="str">
            <v>Arts, Design, Entertainment, Sports, and Media Occupations</v>
          </cell>
          <cell r="C1329" t="str">
            <v>major</v>
          </cell>
          <cell r="D1329">
            <v>2046290</v>
          </cell>
          <cell r="E1329">
            <v>0.5</v>
          </cell>
          <cell r="F1329">
            <v>79790</v>
          </cell>
          <cell r="G1329">
            <v>1.2</v>
          </cell>
          <cell r="H1329">
            <v>62750</v>
          </cell>
        </row>
        <row r="1330">
          <cell r="A1330" t="str">
            <v>53-3032</v>
          </cell>
          <cell r="B1330" t="str">
            <v>Heavy and Tractor-Trailer Truck Drivers</v>
          </cell>
          <cell r="C1330" t="str">
            <v>detailed</v>
          </cell>
          <cell r="D1330">
            <v>2062040</v>
          </cell>
          <cell r="E1330">
            <v>0.5</v>
          </cell>
          <cell r="F1330">
            <v>59710</v>
          </cell>
          <cell r="G1330">
            <v>0.2</v>
          </cell>
          <cell r="H1330">
            <v>58640</v>
          </cell>
        </row>
        <row r="1331">
          <cell r="A1331" t="str">
            <v>15-1250</v>
          </cell>
          <cell r="B1331" t="str">
            <v>Software and Web Developers, Programmers, and Testers</v>
          </cell>
          <cell r="C1331" t="str">
            <v>broad</v>
          </cell>
          <cell r="D1331">
            <v>2150380</v>
          </cell>
          <cell r="E1331">
            <v>0.5</v>
          </cell>
          <cell r="F1331">
            <v>139850</v>
          </cell>
          <cell r="G1331">
            <v>0.4</v>
          </cell>
          <cell r="H1331">
            <v>132150</v>
          </cell>
        </row>
        <row r="1332">
          <cell r="A1332" t="str">
            <v>37-2011</v>
          </cell>
          <cell r="B1332" t="str">
            <v>Janitors and Cleaners, Except Maids and Housekeeping Cleaners</v>
          </cell>
          <cell r="C1332" t="str">
            <v>detailed</v>
          </cell>
          <cell r="D1332">
            <v>2209760</v>
          </cell>
          <cell r="E1332">
            <v>0.5</v>
          </cell>
          <cell r="F1332">
            <v>38760</v>
          </cell>
          <cell r="G1332">
            <v>0.2</v>
          </cell>
          <cell r="H1332">
            <v>36840</v>
          </cell>
        </row>
        <row r="1333">
          <cell r="A1333" t="str">
            <v>43-5000</v>
          </cell>
          <cell r="B1333" t="str">
            <v>Material Recording, Scheduling, Dispatching, and Distributing Workers</v>
          </cell>
          <cell r="C1333" t="str">
            <v>minor</v>
          </cell>
          <cell r="D1333">
            <v>2259120</v>
          </cell>
          <cell r="E1333">
            <v>0.6</v>
          </cell>
          <cell r="F1333">
            <v>54360</v>
          </cell>
          <cell r="G1333">
            <v>0.2</v>
          </cell>
          <cell r="H1333">
            <v>49970</v>
          </cell>
        </row>
        <row r="1334">
          <cell r="A1334" t="str">
            <v>35-3030</v>
          </cell>
          <cell r="B1334" t="str">
            <v>Waiters and Waitresses</v>
          </cell>
          <cell r="C1334" t="str">
            <v>broad</v>
          </cell>
          <cell r="D1334">
            <v>2270910</v>
          </cell>
          <cell r="E1334">
            <v>0.7</v>
          </cell>
          <cell r="F1334">
            <v>40060</v>
          </cell>
          <cell r="G1334">
            <v>0.6</v>
          </cell>
          <cell r="H1334">
            <v>35230</v>
          </cell>
        </row>
        <row r="1335">
          <cell r="A1335" t="str">
            <v>35-3031</v>
          </cell>
          <cell r="B1335" t="str">
            <v>Waiters and Waitresses</v>
          </cell>
          <cell r="C1335" t="str">
            <v>detailed</v>
          </cell>
          <cell r="D1335">
            <v>2270910</v>
          </cell>
          <cell r="E1335">
            <v>0.7</v>
          </cell>
          <cell r="F1335">
            <v>40060</v>
          </cell>
          <cell r="G1335">
            <v>0.6</v>
          </cell>
          <cell r="H1335">
            <v>35230</v>
          </cell>
        </row>
        <row r="1336">
          <cell r="A1336" t="str">
            <v>41-3000</v>
          </cell>
          <cell r="B1336" t="str">
            <v>Sales Representatives, Services</v>
          </cell>
          <cell r="C1336" t="str">
            <v>minor</v>
          </cell>
          <cell r="D1336">
            <v>2371490</v>
          </cell>
          <cell r="E1336">
            <v>0.6</v>
          </cell>
          <cell r="F1336">
            <v>87040</v>
          </cell>
          <cell r="G1336">
            <v>0.4</v>
          </cell>
          <cell r="H1336">
            <v>68190</v>
          </cell>
        </row>
        <row r="1337">
          <cell r="A1337" t="str">
            <v>43-9060</v>
          </cell>
          <cell r="B1337" t="str">
            <v>Office Clerks, General</v>
          </cell>
          <cell r="C1337" t="str">
            <v>broad</v>
          </cell>
          <cell r="D1337">
            <v>2464940</v>
          </cell>
          <cell r="E1337">
            <v>0.4</v>
          </cell>
          <cell r="F1337">
            <v>46420</v>
          </cell>
          <cell r="G1337">
            <v>0.2</v>
          </cell>
          <cell r="H1337">
            <v>45010</v>
          </cell>
        </row>
        <row r="1338">
          <cell r="A1338" t="str">
            <v>43-9061</v>
          </cell>
          <cell r="B1338" t="str">
            <v>Office Clerks, General</v>
          </cell>
          <cell r="C1338" t="str">
            <v>detailed</v>
          </cell>
          <cell r="D1338">
            <v>2464940</v>
          </cell>
          <cell r="E1338">
            <v>0.4</v>
          </cell>
          <cell r="F1338">
            <v>46420</v>
          </cell>
          <cell r="G1338">
            <v>0.2</v>
          </cell>
          <cell r="H1338">
            <v>45010</v>
          </cell>
        </row>
        <row r="1339">
          <cell r="A1339" t="str">
            <v>43-3000</v>
          </cell>
          <cell r="B1339" t="str">
            <v>Financial Clerks</v>
          </cell>
          <cell r="C1339" t="str">
            <v>minor</v>
          </cell>
          <cell r="D1339">
            <v>2525690</v>
          </cell>
          <cell r="E1339">
            <v>0.6</v>
          </cell>
          <cell r="F1339">
            <v>51720</v>
          </cell>
          <cell r="G1339">
            <v>0.1</v>
          </cell>
          <cell r="H1339">
            <v>48620</v>
          </cell>
        </row>
        <row r="1340">
          <cell r="A1340" t="str">
            <v>51-9000</v>
          </cell>
          <cell r="B1340" t="str">
            <v>Other Production Occupations</v>
          </cell>
          <cell r="C1340" t="str">
            <v>minor</v>
          </cell>
          <cell r="D1340">
            <v>2527750</v>
          </cell>
          <cell r="E1340">
            <v>0.3</v>
          </cell>
          <cell r="F1340">
            <v>50510</v>
          </cell>
          <cell r="G1340">
            <v>0.2</v>
          </cell>
          <cell r="H1340">
            <v>47040</v>
          </cell>
        </row>
        <row r="1341">
          <cell r="A1341" t="str">
            <v>21-1000</v>
          </cell>
          <cell r="B1341" t="str">
            <v>Counselors, Social Workers, and Other Community and Social Service Specialists</v>
          </cell>
          <cell r="C1341" t="str">
            <v>minor</v>
          </cell>
          <cell r="D1341">
            <v>2573560</v>
          </cell>
          <cell r="E1341">
            <v>0.3</v>
          </cell>
          <cell r="F1341">
            <v>63400</v>
          </cell>
          <cell r="G1341">
            <v>0.4</v>
          </cell>
          <cell r="H1341">
            <v>58300</v>
          </cell>
        </row>
        <row r="1342">
          <cell r="A1342" t="str">
            <v>43-4050</v>
          </cell>
          <cell r="B1342" t="str">
            <v>Customer Service Representatives</v>
          </cell>
          <cell r="C1342" t="str">
            <v>broad</v>
          </cell>
          <cell r="D1342">
            <v>2595750</v>
          </cell>
          <cell r="E1342">
            <v>0.4</v>
          </cell>
          <cell r="F1342">
            <v>46590</v>
          </cell>
          <cell r="G1342">
            <v>0.2</v>
          </cell>
          <cell r="H1342">
            <v>44770</v>
          </cell>
        </row>
        <row r="1343">
          <cell r="A1343" t="str">
            <v>43-4051</v>
          </cell>
          <cell r="B1343" t="str">
            <v>Customer Service Representatives</v>
          </cell>
          <cell r="C1343" t="str">
            <v>detailed</v>
          </cell>
          <cell r="D1343">
            <v>2595750</v>
          </cell>
          <cell r="E1343">
            <v>0.4</v>
          </cell>
          <cell r="F1343">
            <v>46590</v>
          </cell>
          <cell r="G1343">
            <v>0.2</v>
          </cell>
          <cell r="H1343">
            <v>44770</v>
          </cell>
        </row>
        <row r="1344">
          <cell r="A1344" t="str">
            <v>17-0000</v>
          </cell>
          <cell r="B1344" t="str">
            <v>Architecture and Engineering Occupations</v>
          </cell>
          <cell r="C1344" t="str">
            <v>major</v>
          </cell>
          <cell r="D1344">
            <v>2617130</v>
          </cell>
          <cell r="E1344">
            <v>0.3</v>
          </cell>
          <cell r="F1344">
            <v>106830</v>
          </cell>
          <cell r="G1344">
            <v>0.3</v>
          </cell>
          <cell r="H1344">
            <v>99520</v>
          </cell>
        </row>
        <row r="1345">
          <cell r="A1345" t="str">
            <v>35-2010</v>
          </cell>
          <cell r="B1345" t="str">
            <v>Cooks</v>
          </cell>
          <cell r="C1345" t="str">
            <v>broad</v>
          </cell>
          <cell r="D1345">
            <v>2651090</v>
          </cell>
          <cell r="E1345">
            <v>0.8</v>
          </cell>
          <cell r="F1345">
            <v>37080</v>
          </cell>
          <cell r="G1345">
            <v>0.4</v>
          </cell>
          <cell r="H1345">
            <v>36640</v>
          </cell>
        </row>
        <row r="1346">
          <cell r="A1346" t="str">
            <v>21-0000</v>
          </cell>
          <cell r="B1346" t="str">
            <v>Community and Social Service Occupations</v>
          </cell>
          <cell r="C1346" t="str">
            <v>major</v>
          </cell>
          <cell r="D1346">
            <v>2668680</v>
          </cell>
          <cell r="E1346">
            <v>0.3</v>
          </cell>
          <cell r="F1346">
            <v>63410</v>
          </cell>
          <cell r="G1346">
            <v>0.4</v>
          </cell>
          <cell r="H1346">
            <v>58300</v>
          </cell>
        </row>
        <row r="1347">
          <cell r="A1347" t="str">
            <v>11-3000</v>
          </cell>
          <cell r="B1347" t="str">
            <v>Operations Specialties Managers</v>
          </cell>
          <cell r="C1347" t="str">
            <v>minor</v>
          </cell>
          <cell r="D1347">
            <v>2775810</v>
          </cell>
          <cell r="E1347">
            <v>0.3</v>
          </cell>
          <cell r="F1347">
            <v>165330</v>
          </cell>
          <cell r="G1347">
            <v>0.3</v>
          </cell>
          <cell r="H1347">
            <v>150690</v>
          </cell>
        </row>
        <row r="1348">
          <cell r="A1348" t="str">
            <v>53-7065</v>
          </cell>
          <cell r="B1348" t="str">
            <v>Stockers and Order Fillers</v>
          </cell>
          <cell r="C1348" t="str">
            <v>detailed</v>
          </cell>
          <cell r="D1348">
            <v>2833810</v>
          </cell>
          <cell r="E1348">
            <v>0.4</v>
          </cell>
          <cell r="F1348">
            <v>39540</v>
          </cell>
          <cell r="G1348">
            <v>0.1</v>
          </cell>
          <cell r="H1348">
            <v>37330</v>
          </cell>
        </row>
        <row r="1349">
          <cell r="A1349" t="str">
            <v>53-7062</v>
          </cell>
          <cell r="B1349" t="str">
            <v>Laborers and Freight, Stock, and Material Movers, Hand</v>
          </cell>
          <cell r="C1349" t="str">
            <v>detailed</v>
          </cell>
          <cell r="D1349">
            <v>2950280</v>
          </cell>
          <cell r="E1349">
            <v>0.4</v>
          </cell>
          <cell r="F1349">
            <v>42260</v>
          </cell>
          <cell r="G1349">
            <v>0.1</v>
          </cell>
          <cell r="H1349">
            <v>40240</v>
          </cell>
        </row>
        <row r="1350">
          <cell r="A1350" t="str">
            <v>13-2000</v>
          </cell>
          <cell r="B1350" t="str">
            <v>Financial Specialists</v>
          </cell>
          <cell r="C1350" t="str">
            <v>minor</v>
          </cell>
          <cell r="D1350">
            <v>3051310</v>
          </cell>
          <cell r="E1350">
            <v>0.3</v>
          </cell>
          <cell r="F1350">
            <v>101120</v>
          </cell>
          <cell r="G1350">
            <v>0.3</v>
          </cell>
          <cell r="H1350">
            <v>84680</v>
          </cell>
        </row>
        <row r="1351">
          <cell r="A1351" t="str">
            <v>37-2010</v>
          </cell>
          <cell r="B1351" t="str">
            <v>Building Cleaning Workers</v>
          </cell>
          <cell r="C1351" t="str">
            <v>broad</v>
          </cell>
          <cell r="D1351">
            <v>3087640</v>
          </cell>
          <cell r="E1351">
            <v>0.4</v>
          </cell>
          <cell r="F1351">
            <v>38340</v>
          </cell>
          <cell r="G1351">
            <v>0.2</v>
          </cell>
          <cell r="H1351">
            <v>36510</v>
          </cell>
        </row>
        <row r="1352">
          <cell r="A1352" t="str">
            <v>41-2011</v>
          </cell>
          <cell r="B1352" t="str">
            <v>Cashiers</v>
          </cell>
          <cell r="C1352" t="str">
            <v>detailed</v>
          </cell>
          <cell r="D1352">
            <v>3089410</v>
          </cell>
          <cell r="E1352">
            <v>0.6</v>
          </cell>
          <cell r="F1352">
            <v>33180</v>
          </cell>
          <cell r="G1352">
            <v>0.2</v>
          </cell>
          <cell r="H1352">
            <v>32880</v>
          </cell>
        </row>
        <row r="1353">
          <cell r="A1353" t="str">
            <v>41-2010</v>
          </cell>
          <cell r="B1353" t="str">
            <v>Cashiers</v>
          </cell>
          <cell r="C1353" t="str">
            <v>broad</v>
          </cell>
          <cell r="D1353">
            <v>3110940</v>
          </cell>
          <cell r="E1353">
            <v>0.6</v>
          </cell>
          <cell r="F1353">
            <v>33220</v>
          </cell>
          <cell r="G1353">
            <v>0.2</v>
          </cell>
          <cell r="H1353">
            <v>32930</v>
          </cell>
        </row>
        <row r="1354">
          <cell r="A1354" t="str">
            <v>43-9000</v>
          </cell>
          <cell r="B1354" t="str">
            <v>Other Office and Administrative Support Workers</v>
          </cell>
          <cell r="C1354" t="str">
            <v>minor</v>
          </cell>
          <cell r="D1354">
            <v>3126550</v>
          </cell>
          <cell r="E1354">
            <v>0.4</v>
          </cell>
          <cell r="F1354">
            <v>46860</v>
          </cell>
          <cell r="G1354">
            <v>0.2</v>
          </cell>
          <cell r="H1354">
            <v>45300</v>
          </cell>
        </row>
        <row r="1355">
          <cell r="A1355" t="str">
            <v>29-2000</v>
          </cell>
          <cell r="B1355" t="str">
            <v>Health Technologists and Technicians</v>
          </cell>
          <cell r="C1355" t="str">
            <v>minor</v>
          </cell>
          <cell r="D1355">
            <v>3159280</v>
          </cell>
          <cell r="E1355">
            <v>0.3</v>
          </cell>
          <cell r="F1355">
            <v>61910</v>
          </cell>
          <cell r="G1355">
            <v>0.2</v>
          </cell>
          <cell r="H1355">
            <v>58180</v>
          </cell>
        </row>
        <row r="1356">
          <cell r="A1356" t="str">
            <v>37-2000</v>
          </cell>
          <cell r="B1356" t="str">
            <v>Building Cleaning and Pest Control Workers</v>
          </cell>
          <cell r="C1356" t="str">
            <v>minor</v>
          </cell>
          <cell r="D1356">
            <v>3190260</v>
          </cell>
          <cell r="E1356">
            <v>0.4</v>
          </cell>
          <cell r="F1356">
            <v>38600</v>
          </cell>
          <cell r="G1356">
            <v>0.2</v>
          </cell>
          <cell r="H1356">
            <v>36640</v>
          </cell>
        </row>
        <row r="1357">
          <cell r="A1357" t="str">
            <v>39-0000</v>
          </cell>
          <cell r="B1357" t="str">
            <v>Personal Care and Service Occupations</v>
          </cell>
          <cell r="C1357" t="str">
            <v>major</v>
          </cell>
          <cell r="D1357">
            <v>3255790</v>
          </cell>
          <cell r="E1357">
            <v>0.4</v>
          </cell>
          <cell r="F1357">
            <v>41070</v>
          </cell>
          <cell r="G1357">
            <v>0.4</v>
          </cell>
          <cell r="H1357">
            <v>36410</v>
          </cell>
        </row>
        <row r="1358">
          <cell r="A1358" t="str">
            <v>49-9000</v>
          </cell>
          <cell r="B1358" t="str">
            <v>Other Installation, Maintenance, and Repair Occupations</v>
          </cell>
          <cell r="C1358" t="str">
            <v>minor</v>
          </cell>
          <cell r="D1358">
            <v>3261490</v>
          </cell>
          <cell r="E1358">
            <v>0.4</v>
          </cell>
          <cell r="F1358">
            <v>60250</v>
          </cell>
          <cell r="G1358">
            <v>0.2</v>
          </cell>
          <cell r="H1358">
            <v>57440</v>
          </cell>
        </row>
        <row r="1359">
          <cell r="A1359" t="str">
            <v>43-6000</v>
          </cell>
          <cell r="B1359" t="str">
            <v>Secretaries and Administrative Assistants</v>
          </cell>
          <cell r="C1359" t="str">
            <v>minor</v>
          </cell>
          <cell r="D1359">
            <v>3284600</v>
          </cell>
          <cell r="E1359">
            <v>0.3</v>
          </cell>
          <cell r="F1359">
            <v>53310</v>
          </cell>
          <cell r="G1359">
            <v>0.2</v>
          </cell>
          <cell r="H1359">
            <v>48310</v>
          </cell>
        </row>
        <row r="1360">
          <cell r="A1360" t="str">
            <v>43-6010</v>
          </cell>
          <cell r="B1360" t="str">
            <v>Secretaries and Administrative Assistants</v>
          </cell>
          <cell r="C1360" t="str">
            <v>broad</v>
          </cell>
          <cell r="D1360">
            <v>3284600</v>
          </cell>
          <cell r="E1360">
            <v>0.3</v>
          </cell>
          <cell r="F1360">
            <v>53310</v>
          </cell>
          <cell r="G1360">
            <v>0.2</v>
          </cell>
          <cell r="H1360">
            <v>48310</v>
          </cell>
        </row>
        <row r="1361">
          <cell r="A1361" t="str">
            <v>29-1140</v>
          </cell>
          <cell r="B1361" t="str">
            <v>Registered Nurses</v>
          </cell>
          <cell r="C1361" t="str">
            <v>broad</v>
          </cell>
          <cell r="D1361">
            <v>3379720</v>
          </cell>
          <cell r="E1361">
            <v>0.3</v>
          </cell>
          <cell r="F1361">
            <v>101420</v>
          </cell>
          <cell r="G1361">
            <v>0.2</v>
          </cell>
          <cell r="H1361">
            <v>97550</v>
          </cell>
        </row>
        <row r="1362">
          <cell r="A1362" t="str">
            <v>29-1141</v>
          </cell>
          <cell r="B1362" t="str">
            <v>Registered Nurses</v>
          </cell>
          <cell r="C1362" t="str">
            <v>detailed</v>
          </cell>
          <cell r="D1362">
            <v>3379720</v>
          </cell>
          <cell r="E1362">
            <v>0.3</v>
          </cell>
          <cell r="F1362">
            <v>101420</v>
          </cell>
          <cell r="G1362">
            <v>0.2</v>
          </cell>
          <cell r="H1362">
            <v>97550</v>
          </cell>
        </row>
        <row r="1363">
          <cell r="A1363" t="str">
            <v>53-3030</v>
          </cell>
          <cell r="B1363" t="str">
            <v>Driver/Sales Workers and Truck Drivers</v>
          </cell>
          <cell r="C1363" t="str">
            <v>broad</v>
          </cell>
          <cell r="D1363">
            <v>3454520</v>
          </cell>
          <cell r="E1363">
            <v>0.5</v>
          </cell>
          <cell r="F1363">
            <v>54350</v>
          </cell>
          <cell r="G1363">
            <v>0.2</v>
          </cell>
          <cell r="H1363">
            <v>50390</v>
          </cell>
        </row>
        <row r="1364">
          <cell r="A1364" t="str">
            <v>11-9000</v>
          </cell>
          <cell r="B1364" t="str">
            <v>Other Management Occupations</v>
          </cell>
          <cell r="C1364" t="str">
            <v>minor</v>
          </cell>
          <cell r="D1364">
            <v>3468900</v>
          </cell>
          <cell r="E1364">
            <v>0.3</v>
          </cell>
          <cell r="F1364">
            <v>124950</v>
          </cell>
          <cell r="G1364">
            <v>0.3</v>
          </cell>
          <cell r="H1364">
            <v>106770</v>
          </cell>
        </row>
        <row r="1365">
          <cell r="A1365" t="str">
            <v>11-1020</v>
          </cell>
          <cell r="B1365" t="str">
            <v>General and Operations Managers</v>
          </cell>
          <cell r="C1365" t="str">
            <v>broad</v>
          </cell>
          <cell r="D1365">
            <v>3503020</v>
          </cell>
          <cell r="E1365">
            <v>0.3</v>
          </cell>
          <cell r="F1365">
            <v>134940</v>
          </cell>
          <cell r="G1365">
            <v>0.3</v>
          </cell>
          <cell r="H1365">
            <v>105770</v>
          </cell>
        </row>
        <row r="1366">
          <cell r="A1366" t="str">
            <v>11-1021</v>
          </cell>
          <cell r="B1366" t="str">
            <v>General and Operations Managers</v>
          </cell>
          <cell r="C1366" t="str">
            <v>detailed</v>
          </cell>
          <cell r="D1366">
            <v>3503020</v>
          </cell>
          <cell r="E1366">
            <v>0.3</v>
          </cell>
          <cell r="F1366">
            <v>134940</v>
          </cell>
          <cell r="G1366">
            <v>0.3</v>
          </cell>
          <cell r="H1366">
            <v>105770</v>
          </cell>
        </row>
        <row r="1367">
          <cell r="A1367" t="str">
            <v>35-2000</v>
          </cell>
          <cell r="B1367" t="str">
            <v>Cooks and Food Preparation Workers</v>
          </cell>
          <cell r="C1367" t="str">
            <v>minor</v>
          </cell>
          <cell r="D1367">
            <v>3544690</v>
          </cell>
          <cell r="E1367">
            <v>0.6</v>
          </cell>
          <cell r="F1367">
            <v>36630</v>
          </cell>
          <cell r="G1367">
            <v>0.4</v>
          </cell>
          <cell r="H1367">
            <v>36310</v>
          </cell>
        </row>
        <row r="1368">
          <cell r="A1368" t="str">
            <v>11-1000</v>
          </cell>
          <cell r="B1368" t="str">
            <v>Top Executives</v>
          </cell>
          <cell r="C1368" t="str">
            <v>minor</v>
          </cell>
          <cell r="D1368">
            <v>3720520</v>
          </cell>
          <cell r="E1368">
            <v>0.3</v>
          </cell>
          <cell r="F1368">
            <v>142120</v>
          </cell>
          <cell r="G1368">
            <v>0.3</v>
          </cell>
          <cell r="H1368">
            <v>108510</v>
          </cell>
        </row>
        <row r="1369">
          <cell r="A1369" t="str">
            <v>33-0000</v>
          </cell>
          <cell r="B1369" t="str">
            <v>Protective Service Occupations</v>
          </cell>
          <cell r="C1369" t="str">
            <v>major</v>
          </cell>
          <cell r="D1369">
            <v>3776610</v>
          </cell>
          <cell r="E1369">
            <v>0.2</v>
          </cell>
          <cell r="F1369">
            <v>60720</v>
          </cell>
          <cell r="G1369">
            <v>0.3</v>
          </cell>
          <cell r="H1369">
            <v>50080</v>
          </cell>
        </row>
        <row r="1370">
          <cell r="A1370" t="str">
            <v>35-3020</v>
          </cell>
          <cell r="B1370" t="str">
            <v>Fast Food and Counter Workers</v>
          </cell>
          <cell r="C1370" t="str">
            <v>broad</v>
          </cell>
          <cell r="D1370">
            <v>3854050</v>
          </cell>
          <cell r="E1370">
            <v>0.7</v>
          </cell>
          <cell r="F1370">
            <v>32150</v>
          </cell>
          <cell r="G1370">
            <v>0.4</v>
          </cell>
          <cell r="H1370">
            <v>31200</v>
          </cell>
        </row>
        <row r="1371">
          <cell r="A1371" t="str">
            <v>35-3023</v>
          </cell>
          <cell r="B1371" t="str">
            <v>Fast Food and Counter Workers</v>
          </cell>
          <cell r="C1371" t="str">
            <v>detailed</v>
          </cell>
          <cell r="D1371">
            <v>3854050</v>
          </cell>
          <cell r="E1371">
            <v>0.7</v>
          </cell>
          <cell r="F1371">
            <v>32150</v>
          </cell>
          <cell r="G1371">
            <v>0.4</v>
          </cell>
          <cell r="H1371">
            <v>31200</v>
          </cell>
        </row>
        <row r="1372">
          <cell r="A1372" t="str">
            <v>41-2030</v>
          </cell>
          <cell r="B1372" t="str">
            <v>Retail Salespersons</v>
          </cell>
          <cell r="C1372" t="str">
            <v>broad</v>
          </cell>
          <cell r="D1372">
            <v>3897860</v>
          </cell>
          <cell r="E1372">
            <v>0.3</v>
          </cell>
          <cell r="F1372">
            <v>37310</v>
          </cell>
          <cell r="G1372">
            <v>0.2</v>
          </cell>
          <cell r="H1372">
            <v>35410</v>
          </cell>
        </row>
        <row r="1373">
          <cell r="A1373" t="str">
            <v>41-2031</v>
          </cell>
          <cell r="B1373" t="str">
            <v>Retail Salespersons</v>
          </cell>
          <cell r="C1373" t="str">
            <v>detailed</v>
          </cell>
          <cell r="D1373">
            <v>3897860</v>
          </cell>
          <cell r="E1373">
            <v>0.3</v>
          </cell>
          <cell r="F1373">
            <v>37310</v>
          </cell>
          <cell r="G1373">
            <v>0.2</v>
          </cell>
          <cell r="H1373">
            <v>35410</v>
          </cell>
        </row>
        <row r="1374">
          <cell r="A1374" t="str">
            <v>31-1120</v>
          </cell>
          <cell r="B1374" t="str">
            <v>Home Health and Personal Care Aides</v>
          </cell>
          <cell r="C1374" t="str">
            <v>broad</v>
          </cell>
          <cell r="D1374">
            <v>4305810</v>
          </cell>
          <cell r="E1374">
            <v>0.3</v>
          </cell>
          <cell r="F1374">
            <v>36120</v>
          </cell>
          <cell r="G1374">
            <v>0.3</v>
          </cell>
          <cell r="H1374">
            <v>35800</v>
          </cell>
        </row>
        <row r="1375">
          <cell r="A1375" t="str">
            <v>31-1120</v>
          </cell>
          <cell r="B1375" t="str">
            <v>Home Health and Personal Care Aides</v>
          </cell>
          <cell r="C1375" t="str">
            <v>detailed</v>
          </cell>
          <cell r="D1375">
            <v>4305810</v>
          </cell>
          <cell r="E1375">
            <v>0.3</v>
          </cell>
          <cell r="F1375">
            <v>36120</v>
          </cell>
          <cell r="G1375">
            <v>0.3</v>
          </cell>
          <cell r="H1375">
            <v>35800</v>
          </cell>
        </row>
        <row r="1376">
          <cell r="A1376" t="str">
            <v>53-3000</v>
          </cell>
          <cell r="B1376" t="str">
            <v>Motor Vehicle Operators</v>
          </cell>
          <cell r="C1376" t="str">
            <v>minor</v>
          </cell>
          <cell r="D1376">
            <v>4365780</v>
          </cell>
          <cell r="E1376">
            <v>0.4</v>
          </cell>
          <cell r="F1376">
            <v>52980</v>
          </cell>
          <cell r="G1376">
            <v>0.2</v>
          </cell>
          <cell r="H1376">
            <v>49370</v>
          </cell>
        </row>
        <row r="1377">
          <cell r="A1377" t="str">
            <v>25-2000</v>
          </cell>
          <cell r="B1377" t="str">
            <v>Preschool, Elementary, Middle, Secondary, and Special Education Teachers</v>
          </cell>
          <cell r="C1377" t="str">
            <v>minor</v>
          </cell>
          <cell r="D1377">
            <v>4373040</v>
          </cell>
          <cell r="E1377">
            <v>0.3</v>
          </cell>
          <cell r="F1377">
            <v>70410</v>
          </cell>
          <cell r="G1377">
            <v>0.3</v>
          </cell>
          <cell r="H1377">
            <v>63250</v>
          </cell>
        </row>
        <row r="1378">
          <cell r="A1378" t="str">
            <v>37-0000</v>
          </cell>
          <cell r="B1378" t="str">
            <v>Building and Grounds Cleaning and Maintenance Occupations</v>
          </cell>
          <cell r="C1378" t="str">
            <v>major</v>
          </cell>
          <cell r="D1378">
            <v>4548260</v>
          </cell>
          <cell r="E1378">
            <v>0.3</v>
          </cell>
          <cell r="F1378">
            <v>40880</v>
          </cell>
          <cell r="G1378">
            <v>0.2</v>
          </cell>
          <cell r="H1378">
            <v>37680</v>
          </cell>
        </row>
        <row r="1379">
          <cell r="A1379" t="str">
            <v>47-2000</v>
          </cell>
          <cell r="B1379" t="str">
            <v>Construction Trades Workers</v>
          </cell>
          <cell r="C1379" t="str">
            <v>minor</v>
          </cell>
          <cell r="D1379">
            <v>4739450</v>
          </cell>
          <cell r="E1379">
            <v>0.3</v>
          </cell>
          <cell r="F1379">
            <v>62880</v>
          </cell>
          <cell r="G1379">
            <v>0.3</v>
          </cell>
          <cell r="H1379">
            <v>58150</v>
          </cell>
        </row>
        <row r="1380">
          <cell r="A1380" t="str">
            <v>15-1200</v>
          </cell>
          <cell r="B1380" t="str">
            <v>Computer Occupations</v>
          </cell>
          <cell r="C1380" t="str">
            <v>minor</v>
          </cell>
          <cell r="D1380">
            <v>4827720</v>
          </cell>
          <cell r="E1380">
            <v>0.3</v>
          </cell>
          <cell r="F1380">
            <v>120100</v>
          </cell>
          <cell r="G1380">
            <v>0.3</v>
          </cell>
          <cell r="H1380">
            <v>109470</v>
          </cell>
        </row>
        <row r="1381">
          <cell r="A1381" t="str">
            <v>43-4000</v>
          </cell>
          <cell r="B1381" t="str">
            <v>Information and Record Clerks</v>
          </cell>
          <cell r="C1381" t="str">
            <v>minor</v>
          </cell>
          <cell r="D1381">
            <v>5081880</v>
          </cell>
          <cell r="E1381">
            <v>0.4</v>
          </cell>
          <cell r="F1381">
            <v>45860</v>
          </cell>
          <cell r="G1381">
            <v>0.1</v>
          </cell>
          <cell r="H1381">
            <v>43870</v>
          </cell>
        </row>
        <row r="1382">
          <cell r="A1382" t="str">
            <v>15-0000</v>
          </cell>
          <cell r="B1382" t="str">
            <v>Computer and Mathematical Occupations</v>
          </cell>
          <cell r="C1382" t="str">
            <v>major</v>
          </cell>
          <cell r="D1382">
            <v>5260110</v>
          </cell>
          <cell r="E1382">
            <v>0.3</v>
          </cell>
          <cell r="F1382">
            <v>120080</v>
          </cell>
          <cell r="G1382">
            <v>0.3</v>
          </cell>
          <cell r="H1382">
            <v>109280</v>
          </cell>
        </row>
        <row r="1383">
          <cell r="A1383" t="str">
            <v>31-1100</v>
          </cell>
          <cell r="B1383" t="str">
            <v>Home Health and Personal Care Aides; and Nursing Assistants, Orderlies, and Psychiatric Aides</v>
          </cell>
          <cell r="C1383" t="str">
            <v>minor</v>
          </cell>
          <cell r="D1383">
            <v>5842680</v>
          </cell>
          <cell r="E1383">
            <v>0.2</v>
          </cell>
          <cell r="F1383">
            <v>37850</v>
          </cell>
          <cell r="G1383">
            <v>0.2</v>
          </cell>
          <cell r="H1383">
            <v>37070</v>
          </cell>
        </row>
        <row r="1384">
          <cell r="A1384" t="str">
            <v>49-0000</v>
          </cell>
          <cell r="B1384" t="str">
            <v>Installation, Maintenance, and Repair Occupations</v>
          </cell>
          <cell r="C1384" t="str">
            <v>major</v>
          </cell>
          <cell r="D1384">
            <v>6086190</v>
          </cell>
          <cell r="E1384">
            <v>0.2</v>
          </cell>
          <cell r="F1384">
            <v>63320</v>
          </cell>
          <cell r="G1384">
            <v>0.2</v>
          </cell>
          <cell r="H1384">
            <v>59620</v>
          </cell>
        </row>
        <row r="1385">
          <cell r="A1385" t="str">
            <v>47-0000</v>
          </cell>
          <cell r="B1385" t="str">
            <v>Construction and Extraction Occupations</v>
          </cell>
          <cell r="C1385" t="str">
            <v>major</v>
          </cell>
          <cell r="D1385">
            <v>6425160</v>
          </cell>
          <cell r="E1385">
            <v>0.2</v>
          </cell>
          <cell r="F1385">
            <v>65360</v>
          </cell>
          <cell r="G1385">
            <v>0.2</v>
          </cell>
          <cell r="H1385">
            <v>59540</v>
          </cell>
        </row>
        <row r="1386">
          <cell r="A1386" t="str">
            <v>29-1000</v>
          </cell>
          <cell r="B1386" t="str">
            <v>Healthcare Diagnosing or Treating Practitioners</v>
          </cell>
          <cell r="C1386" t="str">
            <v>minor</v>
          </cell>
          <cell r="D1386">
            <v>6534980</v>
          </cell>
          <cell r="E1386">
            <v>0.2</v>
          </cell>
          <cell r="F1386">
            <v>132000</v>
          </cell>
          <cell r="G1386">
            <v>0.3</v>
          </cell>
          <cell r="H1386">
            <v>103500</v>
          </cell>
        </row>
        <row r="1387">
          <cell r="A1387" t="str">
            <v>53-7060</v>
          </cell>
          <cell r="B1387" t="str">
            <v>Laborers and Material Movers</v>
          </cell>
          <cell r="C1387" t="str">
            <v>broad</v>
          </cell>
          <cell r="D1387">
            <v>6766670</v>
          </cell>
          <cell r="E1387">
            <v>0.3</v>
          </cell>
          <cell r="F1387">
            <v>40440</v>
          </cell>
          <cell r="G1387">
            <v>0.1</v>
          </cell>
          <cell r="H1387">
            <v>38130</v>
          </cell>
        </row>
        <row r="1388">
          <cell r="A1388" t="str">
            <v>35-3000</v>
          </cell>
          <cell r="B1388" t="str">
            <v>Food and Beverage Serving Workers</v>
          </cell>
          <cell r="C1388" t="str">
            <v>minor</v>
          </cell>
          <cell r="D1388">
            <v>7175250</v>
          </cell>
          <cell r="E1388">
            <v>0.4</v>
          </cell>
          <cell r="F1388">
            <v>35730</v>
          </cell>
          <cell r="G1388">
            <v>0.4</v>
          </cell>
          <cell r="H1388">
            <v>33400</v>
          </cell>
        </row>
        <row r="1389">
          <cell r="A1389" t="str">
            <v>13-1000</v>
          </cell>
          <cell r="B1389" t="str">
            <v>Business Operations Specialists</v>
          </cell>
          <cell r="C1389" t="str">
            <v>minor</v>
          </cell>
          <cell r="D1389">
            <v>7485920</v>
          </cell>
          <cell r="E1389">
            <v>0.3</v>
          </cell>
          <cell r="F1389">
            <v>92830</v>
          </cell>
          <cell r="G1389">
            <v>0.2</v>
          </cell>
          <cell r="H1389">
            <v>82060</v>
          </cell>
        </row>
        <row r="1390">
          <cell r="A1390" t="str">
            <v>41-2000</v>
          </cell>
          <cell r="B1390" t="str">
            <v>Retail Sales Workers</v>
          </cell>
          <cell r="C1390" t="str">
            <v>minor</v>
          </cell>
          <cell r="D1390">
            <v>7679690</v>
          </cell>
          <cell r="E1390">
            <v>0.3</v>
          </cell>
          <cell r="F1390">
            <v>36320</v>
          </cell>
          <cell r="G1390">
            <v>0.2</v>
          </cell>
          <cell r="H1390">
            <v>34810</v>
          </cell>
        </row>
        <row r="1391">
          <cell r="A1391" t="str">
            <v>53-7000</v>
          </cell>
          <cell r="B1391" t="str">
            <v>Material Moving Workers</v>
          </cell>
          <cell r="C1391" t="str">
            <v>minor</v>
          </cell>
          <cell r="D1391">
            <v>7823240</v>
          </cell>
          <cell r="E1391">
            <v>0.3</v>
          </cell>
          <cell r="F1391">
            <v>41810</v>
          </cell>
          <cell r="G1391">
            <v>0.1</v>
          </cell>
          <cell r="H1391">
            <v>39000</v>
          </cell>
        </row>
        <row r="1392">
          <cell r="A1392" t="str">
            <v>31-0000</v>
          </cell>
          <cell r="B1392" t="str">
            <v>Healthcare Support Occupations</v>
          </cell>
          <cell r="C1392" t="str">
            <v>major</v>
          </cell>
          <cell r="D1392">
            <v>7901670</v>
          </cell>
          <cell r="E1392">
            <v>0.2</v>
          </cell>
          <cell r="F1392">
            <v>40800</v>
          </cell>
          <cell r="G1392">
            <v>0.2</v>
          </cell>
          <cell r="H1392">
            <v>38340</v>
          </cell>
        </row>
        <row r="1393">
          <cell r="A1393" t="str">
            <v>51-0000</v>
          </cell>
          <cell r="B1393" t="str">
            <v>Production Occupations</v>
          </cell>
          <cell r="C1393" t="str">
            <v>major</v>
          </cell>
          <cell r="D1393">
            <v>8565760</v>
          </cell>
          <cell r="E1393">
            <v>0.2</v>
          </cell>
          <cell r="F1393">
            <v>51600</v>
          </cell>
          <cell r="G1393">
            <v>0.1</v>
          </cell>
          <cell r="H1393">
            <v>46990</v>
          </cell>
        </row>
        <row r="1394">
          <cell r="A1394" t="str">
            <v>25-0000</v>
          </cell>
          <cell r="B1394" t="str">
            <v>Educational Instruction and Library Occupations</v>
          </cell>
          <cell r="C1394" t="str">
            <v>major</v>
          </cell>
          <cell r="D1394">
            <v>9100570</v>
          </cell>
          <cell r="E1394">
            <v>0.2</v>
          </cell>
          <cell r="F1394">
            <v>67540</v>
          </cell>
          <cell r="G1394">
            <v>0.3</v>
          </cell>
          <cell r="H1394">
            <v>60570</v>
          </cell>
        </row>
        <row r="1395">
          <cell r="A1395" t="str">
            <v>29-0000</v>
          </cell>
          <cell r="B1395" t="str">
            <v>Healthcare Practitioners and Technical Occupations</v>
          </cell>
          <cell r="C1395" t="str">
            <v>major</v>
          </cell>
          <cell r="D1395">
            <v>9823860</v>
          </cell>
          <cell r="E1395">
            <v>0.2</v>
          </cell>
          <cell r="F1395">
            <v>108700</v>
          </cell>
          <cell r="G1395">
            <v>0.3</v>
          </cell>
          <cell r="H1395">
            <v>86530</v>
          </cell>
        </row>
        <row r="1396">
          <cell r="A1396" t="str">
            <v>13-0000</v>
          </cell>
          <cell r="B1396" t="str">
            <v>Business and Financial Operations Occupations</v>
          </cell>
          <cell r="C1396" t="str">
            <v>major</v>
          </cell>
          <cell r="D1396">
            <v>10537240</v>
          </cell>
          <cell r="E1396">
            <v>0.2</v>
          </cell>
          <cell r="F1396">
            <v>95230</v>
          </cell>
          <cell r="G1396">
            <v>0.2</v>
          </cell>
          <cell r="H1396">
            <v>82660</v>
          </cell>
        </row>
        <row r="1397">
          <cell r="A1397" t="str">
            <v>11-0000</v>
          </cell>
          <cell r="B1397" t="str">
            <v>Management Occupations</v>
          </cell>
          <cell r="C1397" t="str">
            <v>major</v>
          </cell>
          <cell r="D1397">
            <v>11132700</v>
          </cell>
          <cell r="E1397">
            <v>0.2</v>
          </cell>
          <cell r="F1397">
            <v>145260</v>
          </cell>
          <cell r="G1397">
            <v>0.2</v>
          </cell>
          <cell r="H1397">
            <v>126520</v>
          </cell>
        </row>
        <row r="1398">
          <cell r="A1398" t="str">
            <v>41-0000</v>
          </cell>
          <cell r="B1398" t="str">
            <v>Sales and Related Occupations</v>
          </cell>
          <cell r="C1398" t="str">
            <v>major</v>
          </cell>
          <cell r="D1398">
            <v>13424300</v>
          </cell>
          <cell r="E1398">
            <v>0.3</v>
          </cell>
          <cell r="F1398">
            <v>54960</v>
          </cell>
          <cell r="G1398">
            <v>0.2</v>
          </cell>
          <cell r="H1398">
            <v>38530</v>
          </cell>
        </row>
        <row r="1399">
          <cell r="A1399" t="str">
            <v>53-0000</v>
          </cell>
          <cell r="B1399" t="str">
            <v>Transportation and Material Moving Occupations</v>
          </cell>
          <cell r="C1399" t="str">
            <v>major</v>
          </cell>
          <cell r="D1399">
            <v>13677150</v>
          </cell>
          <cell r="E1399">
            <v>0.2</v>
          </cell>
          <cell r="F1399">
            <v>49850</v>
          </cell>
          <cell r="G1399">
            <v>0.2</v>
          </cell>
          <cell r="H1399">
            <v>44350</v>
          </cell>
        </row>
        <row r="1400">
          <cell r="A1400" t="str">
            <v>35-0000</v>
          </cell>
          <cell r="B1400" t="str">
            <v>Food Preparation and Serving Related Occupations</v>
          </cell>
          <cell r="C1400" t="str">
            <v>major</v>
          </cell>
          <cell r="D1400">
            <v>13680750</v>
          </cell>
          <cell r="E1400">
            <v>0.2</v>
          </cell>
          <cell r="F1400">
            <v>37150</v>
          </cell>
          <cell r="G1400">
            <v>0.4</v>
          </cell>
          <cell r="H1400">
            <v>35050</v>
          </cell>
        </row>
        <row r="1401">
          <cell r="A1401" t="str">
            <v>43-0000</v>
          </cell>
          <cell r="B1401" t="str">
            <v>Office and Administrative Support Occupations</v>
          </cell>
          <cell r="C1401" t="str">
            <v>major</v>
          </cell>
          <cell r="D1401">
            <v>17753430</v>
          </cell>
          <cell r="E1401">
            <v>0.1</v>
          </cell>
          <cell r="F1401">
            <v>51560</v>
          </cell>
          <cell r="G1401">
            <v>0.1</v>
          </cell>
          <cell r="H1401">
            <v>47450</v>
          </cell>
        </row>
        <row r="1402">
          <cell r="A1402" t="str">
            <v>00-0000</v>
          </cell>
          <cell r="B1402" t="str">
            <v>All Occupations</v>
          </cell>
          <cell r="C1402" t="str">
            <v>total</v>
          </cell>
          <cell r="D1402">
            <v>155495730</v>
          </cell>
          <cell r="E1402">
            <v>0</v>
          </cell>
          <cell r="F1402">
            <v>69770</v>
          </cell>
          <cell r="G1402">
            <v>0.1</v>
          </cell>
          <cell r="H1402">
            <v>50980</v>
          </cell>
        </row>
      </sheetData>
      <sheetData sheetId="5">
        <row r="1">
          <cell r="A1" t="str">
            <v>SOC Code</v>
          </cell>
          <cell r="B1" t="str">
            <v>Occupation Title</v>
          </cell>
          <cell r="C1" t="str">
            <v>AIOE</v>
          </cell>
          <cell r="D1" t="str">
            <v>median wage (annual) 2024</v>
          </cell>
          <cell r="E1" t="str">
            <v>E_2025</v>
          </cell>
          <cell r="F1" t="str">
            <v>Mwage_2025</v>
          </cell>
          <cell r="G1" t="str">
            <v>E_2024</v>
          </cell>
        </row>
        <row r="2">
          <cell r="A2" t="str">
            <v>11-1011</v>
          </cell>
          <cell r="B2" t="str">
            <v>Chief Executives</v>
          </cell>
          <cell r="C2">
            <v>1.334246</v>
          </cell>
          <cell r="D2">
            <v>206420</v>
          </cell>
          <cell r="E2">
            <v>204350</v>
          </cell>
          <cell r="F2">
            <v>213990</v>
          </cell>
          <cell r="G2">
            <v>211850</v>
          </cell>
        </row>
        <row r="3">
          <cell r="A3" t="str">
            <v>11-1021</v>
          </cell>
          <cell r="B3" t="str">
            <v>General and Operations Managers</v>
          </cell>
          <cell r="C3">
            <v>0.57487730000000004</v>
          </cell>
          <cell r="D3">
            <v>102950</v>
          </cell>
          <cell r="E3">
            <v>3503020</v>
          </cell>
          <cell r="F3">
            <v>105770</v>
          </cell>
          <cell r="G3">
            <v>3584420</v>
          </cell>
        </row>
        <row r="4">
          <cell r="A4" t="str">
            <v>11-2011</v>
          </cell>
          <cell r="B4" t="str">
            <v>Advertising and Promotions Managers</v>
          </cell>
          <cell r="C4">
            <v>1.294387</v>
          </cell>
          <cell r="D4">
            <v>126960</v>
          </cell>
          <cell r="E4">
            <v>21470</v>
          </cell>
          <cell r="F4">
            <v>133660</v>
          </cell>
          <cell r="G4">
            <v>21100</v>
          </cell>
        </row>
        <row r="5">
          <cell r="A5" t="str">
            <v>11-2021</v>
          </cell>
          <cell r="B5" t="str">
            <v>Marketing Managers</v>
          </cell>
          <cell r="C5">
            <v>1.315032</v>
          </cell>
          <cell r="D5">
            <v>161030</v>
          </cell>
          <cell r="E5">
            <v>395240</v>
          </cell>
          <cell r="F5">
            <v>166790</v>
          </cell>
          <cell r="G5">
            <v>384980</v>
          </cell>
        </row>
        <row r="6">
          <cell r="A6" t="str">
            <v>11-2022</v>
          </cell>
          <cell r="B6" t="str">
            <v>Sales Managers</v>
          </cell>
          <cell r="C6">
            <v>1.2662800000000001</v>
          </cell>
          <cell r="D6">
            <v>49210</v>
          </cell>
          <cell r="E6">
            <v>637080</v>
          </cell>
          <cell r="F6">
            <v>148270</v>
          </cell>
          <cell r="G6">
            <v>603710</v>
          </cell>
        </row>
        <row r="7">
          <cell r="A7" t="str">
            <v>11-2032</v>
          </cell>
          <cell r="B7" t="str">
            <v>Public Relations Managers</v>
          </cell>
          <cell r="C7">
            <v>1.2936890000000001</v>
          </cell>
          <cell r="D7">
            <v>138520</v>
          </cell>
          <cell r="E7">
            <v>74850</v>
          </cell>
          <cell r="F7">
            <v>146910</v>
          </cell>
          <cell r="G7">
            <v>76060</v>
          </cell>
        </row>
        <row r="8">
          <cell r="A8" t="str">
            <v>11-3012</v>
          </cell>
          <cell r="B8" t="str">
            <v>Administrative Services Managers</v>
          </cell>
          <cell r="C8">
            <v>0.73982780000000004</v>
          </cell>
          <cell r="D8">
            <v>108390</v>
          </cell>
          <cell r="E8">
            <v>263960</v>
          </cell>
          <cell r="F8">
            <v>114130</v>
          </cell>
          <cell r="G8">
            <v>254140</v>
          </cell>
        </row>
        <row r="9">
          <cell r="A9" t="str">
            <v>11-3021</v>
          </cell>
          <cell r="B9" t="str">
            <v>Computer and Information Systems Managers</v>
          </cell>
          <cell r="C9">
            <v>1.0598529999999999</v>
          </cell>
          <cell r="D9">
            <v>171200</v>
          </cell>
          <cell r="E9">
            <v>670570</v>
          </cell>
          <cell r="F9">
            <v>175140</v>
          </cell>
          <cell r="G9">
            <v>645970</v>
          </cell>
        </row>
        <row r="10">
          <cell r="A10" t="str">
            <v>11-3031</v>
          </cell>
          <cell r="B10" t="str">
            <v>Financial Managers</v>
          </cell>
          <cell r="C10">
            <v>1.446232</v>
          </cell>
          <cell r="D10">
            <v>161700</v>
          </cell>
          <cell r="E10">
            <v>841710</v>
          </cell>
          <cell r="F10">
            <v>166570</v>
          </cell>
          <cell r="G10">
            <v>818620</v>
          </cell>
        </row>
        <row r="11">
          <cell r="A11" t="str">
            <v>11-3051</v>
          </cell>
          <cell r="B11" t="str">
            <v>Industrial Production Managers</v>
          </cell>
          <cell r="C11">
            <v>0.50868780000000002</v>
          </cell>
          <cell r="D11">
            <v>121440</v>
          </cell>
          <cell r="E11">
            <v>246250</v>
          </cell>
          <cell r="F11">
            <v>126060</v>
          </cell>
          <cell r="G11">
            <v>234380</v>
          </cell>
        </row>
        <row r="12">
          <cell r="A12" t="str">
            <v>11-3061</v>
          </cell>
          <cell r="B12" t="str">
            <v>Purchasing Managers</v>
          </cell>
          <cell r="C12">
            <v>1.4234260000000001</v>
          </cell>
          <cell r="D12">
            <v>139510</v>
          </cell>
          <cell r="E12">
            <v>84320</v>
          </cell>
          <cell r="F12">
            <v>148080</v>
          </cell>
          <cell r="G12">
            <v>81240</v>
          </cell>
        </row>
        <row r="13">
          <cell r="A13" t="str">
            <v>11-3071</v>
          </cell>
          <cell r="B13" t="str">
            <v>Transportation, Storage, and Distribution Managers</v>
          </cell>
          <cell r="C13">
            <v>0.89079229999999998</v>
          </cell>
          <cell r="D13">
            <v>102010</v>
          </cell>
          <cell r="E13">
            <v>221180</v>
          </cell>
          <cell r="F13">
            <v>107230</v>
          </cell>
          <cell r="G13">
            <v>213000</v>
          </cell>
        </row>
        <row r="14">
          <cell r="A14" t="str">
            <v>11-3111</v>
          </cell>
          <cell r="B14" t="str">
            <v>Compensation and Benefits Managers</v>
          </cell>
          <cell r="C14">
            <v>1.298235</v>
          </cell>
          <cell r="D14">
            <v>140360</v>
          </cell>
          <cell r="E14">
            <v>22940</v>
          </cell>
          <cell r="F14">
            <v>149230</v>
          </cell>
          <cell r="G14">
            <v>20070</v>
          </cell>
        </row>
        <row r="15">
          <cell r="A15" t="str">
            <v>11-3121</v>
          </cell>
          <cell r="B15" t="str">
            <v>Human Resources Managers</v>
          </cell>
          <cell r="C15">
            <v>1.320417</v>
          </cell>
          <cell r="D15">
            <v>140030</v>
          </cell>
          <cell r="E15">
            <v>220660</v>
          </cell>
          <cell r="F15">
            <v>149280</v>
          </cell>
          <cell r="G15">
            <v>215520</v>
          </cell>
        </row>
        <row r="16">
          <cell r="A16" t="str">
            <v>11-3131</v>
          </cell>
          <cell r="B16" t="str">
            <v>Training and Development Managers</v>
          </cell>
          <cell r="C16">
            <v>1.2844230000000001</v>
          </cell>
          <cell r="D16">
            <v>127090</v>
          </cell>
          <cell r="E16">
            <v>48050</v>
          </cell>
          <cell r="F16">
            <v>133000</v>
          </cell>
          <cell r="G16">
            <v>44960</v>
          </cell>
        </row>
        <row r="17">
          <cell r="A17" t="str">
            <v>11-9013</v>
          </cell>
          <cell r="B17" t="str">
            <v>Farmers, Ranchers, and Other Agricultural Managers</v>
          </cell>
          <cell r="C17">
            <v>-0.14436840000000001</v>
          </cell>
          <cell r="D17">
            <v>87980</v>
          </cell>
          <cell r="E17">
            <v>6500</v>
          </cell>
          <cell r="F17">
            <v>89900</v>
          </cell>
          <cell r="G17">
            <v>5910</v>
          </cell>
        </row>
        <row r="18">
          <cell r="A18" t="str">
            <v>11-9021</v>
          </cell>
          <cell r="B18" t="str">
            <v>Construction Managers</v>
          </cell>
          <cell r="C18">
            <v>1.029139</v>
          </cell>
          <cell r="D18">
            <v>106980</v>
          </cell>
          <cell r="E18">
            <v>380360</v>
          </cell>
          <cell r="F18">
            <v>114990</v>
          </cell>
          <cell r="G18">
            <v>348330</v>
          </cell>
        </row>
        <row r="19">
          <cell r="A19" t="str">
            <v>11-9031</v>
          </cell>
          <cell r="B19" t="str">
            <v>Education Administrators, Preschool and Child Care Center/Program</v>
          </cell>
          <cell r="C19">
            <v>0.83800699999999995</v>
          </cell>
          <cell r="D19">
            <v>56270</v>
          </cell>
          <cell r="E19">
            <v>73660</v>
          </cell>
          <cell r="F19">
            <v>59300</v>
          </cell>
          <cell r="G19">
            <v>71620</v>
          </cell>
        </row>
        <row r="20">
          <cell r="A20" t="str">
            <v>11-9032</v>
          </cell>
          <cell r="B20" t="str">
            <v>Education Administrators, Elementary and Secondary School</v>
          </cell>
          <cell r="C20">
            <v>1.0488109999999999</v>
          </cell>
          <cell r="D20">
            <v>104070</v>
          </cell>
          <cell r="E20">
            <v>328330</v>
          </cell>
          <cell r="F20">
            <v>105870</v>
          </cell>
          <cell r="G20">
            <v>319630</v>
          </cell>
        </row>
        <row r="21">
          <cell r="A21" t="str">
            <v>11-9033</v>
          </cell>
          <cell r="B21" t="str">
            <v>Education Administrators, Postsecondary</v>
          </cell>
          <cell r="C21">
            <v>1.461149</v>
          </cell>
          <cell r="D21">
            <v>103960</v>
          </cell>
          <cell r="E21">
            <v>180470</v>
          </cell>
          <cell r="F21">
            <v>104590</v>
          </cell>
          <cell r="G21">
            <v>176420</v>
          </cell>
        </row>
        <row r="22">
          <cell r="A22" t="str">
            <v>11-9039</v>
          </cell>
          <cell r="B22" t="str">
            <v>Education Administrators, All Other</v>
          </cell>
          <cell r="C22">
            <v>0.35412650000000001</v>
          </cell>
          <cell r="D22">
            <v>89040</v>
          </cell>
          <cell r="E22">
            <v>55130</v>
          </cell>
          <cell r="F22">
            <v>95200</v>
          </cell>
          <cell r="G22">
            <v>53330</v>
          </cell>
        </row>
        <row r="23">
          <cell r="A23" t="str">
            <v>11-9041</v>
          </cell>
          <cell r="B23" t="str">
            <v>Engineering Managers</v>
          </cell>
          <cell r="C23">
            <v>0.83701049999999999</v>
          </cell>
          <cell r="D23">
            <v>167740</v>
          </cell>
          <cell r="E23">
            <v>220260</v>
          </cell>
          <cell r="F23">
            <v>171270</v>
          </cell>
          <cell r="G23">
            <v>210340</v>
          </cell>
        </row>
        <row r="24">
          <cell r="A24" t="str">
            <v>11-9051</v>
          </cell>
          <cell r="B24" t="str">
            <v>Food Service Managers</v>
          </cell>
          <cell r="C24">
            <v>-0.12131119999999999</v>
          </cell>
          <cell r="D24">
            <v>65310</v>
          </cell>
          <cell r="E24">
            <v>238430</v>
          </cell>
          <cell r="F24">
            <v>69390</v>
          </cell>
          <cell r="G24">
            <v>244230</v>
          </cell>
        </row>
        <row r="25">
          <cell r="A25" t="str">
            <v>11-9071</v>
          </cell>
          <cell r="B25" t="str">
            <v>Gaming Managers</v>
          </cell>
          <cell r="C25">
            <v>0.82992069999999996</v>
          </cell>
          <cell r="D25">
            <v>68130</v>
          </cell>
          <cell r="E25">
            <v>5030</v>
          </cell>
          <cell r="F25">
            <v>93220</v>
          </cell>
          <cell r="G25">
            <v>4620</v>
          </cell>
        </row>
        <row r="26">
          <cell r="A26" t="str">
            <v>11-9081</v>
          </cell>
          <cell r="B26" t="str">
            <v>Lodging Managers</v>
          </cell>
          <cell r="C26">
            <v>0.40217259999999999</v>
          </cell>
          <cell r="D26">
            <v>117960</v>
          </cell>
          <cell r="E26">
            <v>42620</v>
          </cell>
          <cell r="F26">
            <v>69250</v>
          </cell>
          <cell r="G26">
            <v>41350</v>
          </cell>
        </row>
        <row r="27">
          <cell r="A27" t="str">
            <v>11-9111</v>
          </cell>
          <cell r="B27" t="str">
            <v>Medical and Health Services Managers</v>
          </cell>
          <cell r="C27">
            <v>1.260259</v>
          </cell>
          <cell r="D27">
            <v>161180</v>
          </cell>
          <cell r="E27">
            <v>597080</v>
          </cell>
          <cell r="F27">
            <v>123860</v>
          </cell>
          <cell r="G27">
            <v>565840</v>
          </cell>
        </row>
        <row r="28">
          <cell r="A28" t="str">
            <v>11-9121</v>
          </cell>
          <cell r="B28" t="str">
            <v>Natural Sciences Managers</v>
          </cell>
          <cell r="C28">
            <v>1.327906</v>
          </cell>
          <cell r="D28">
            <v>92730</v>
          </cell>
          <cell r="E28">
            <v>108690</v>
          </cell>
          <cell r="F28">
            <v>167220</v>
          </cell>
          <cell r="G28">
            <v>100870</v>
          </cell>
        </row>
        <row r="29">
          <cell r="A29" t="str">
            <v>11-9131</v>
          </cell>
          <cell r="B29" t="str">
            <v>Postmasters and Mail Superintendents</v>
          </cell>
          <cell r="C29">
            <v>0.82337570000000004</v>
          </cell>
          <cell r="D29">
            <v>66700</v>
          </cell>
          <cell r="E29">
            <v>13810</v>
          </cell>
          <cell r="F29">
            <v>96660</v>
          </cell>
          <cell r="G29">
            <v>13810</v>
          </cell>
        </row>
        <row r="30">
          <cell r="A30" t="str">
            <v>11-9141</v>
          </cell>
          <cell r="B30" t="str">
            <v>Property, Real Estate, and Community Association Managers</v>
          </cell>
          <cell r="C30">
            <v>1.2153959999999999</v>
          </cell>
          <cell r="D30">
            <v>78240</v>
          </cell>
          <cell r="E30">
            <v>311180</v>
          </cell>
          <cell r="F30">
            <v>69990</v>
          </cell>
          <cell r="G30">
            <v>296640</v>
          </cell>
        </row>
        <row r="31">
          <cell r="A31" t="str">
            <v>11-9151</v>
          </cell>
          <cell r="B31" t="str">
            <v>Social and Community Service Managers</v>
          </cell>
          <cell r="C31">
            <v>1.156153</v>
          </cell>
          <cell r="D31">
            <v>86130</v>
          </cell>
          <cell r="E31">
            <v>209330</v>
          </cell>
          <cell r="F31">
            <v>80390</v>
          </cell>
          <cell r="G31">
            <v>195490</v>
          </cell>
        </row>
        <row r="32">
          <cell r="A32" t="str">
            <v>11-9161</v>
          </cell>
          <cell r="B32" t="str">
            <v>Emergency Management Directors</v>
          </cell>
          <cell r="C32">
            <v>1.0307679999999999</v>
          </cell>
          <cell r="D32">
            <v>76830</v>
          </cell>
          <cell r="E32">
            <v>13500</v>
          </cell>
          <cell r="F32">
            <v>93330</v>
          </cell>
          <cell r="G32">
            <v>12570</v>
          </cell>
        </row>
        <row r="33">
          <cell r="A33" t="str">
            <v>11-9171</v>
          </cell>
          <cell r="B33" t="str">
            <v>Funeral Home Managers</v>
          </cell>
          <cell r="C33">
            <v>0.3719018</v>
          </cell>
          <cell r="D33">
            <v>85580</v>
          </cell>
          <cell r="E33">
            <v>13910</v>
          </cell>
          <cell r="F33">
            <v>78790</v>
          </cell>
          <cell r="G33">
            <v>13120</v>
          </cell>
        </row>
        <row r="34">
          <cell r="A34" t="str">
            <v>11-9199</v>
          </cell>
          <cell r="B34" t="str">
            <v>Managers, All Other</v>
          </cell>
          <cell r="C34">
            <v>0.96468719999999997</v>
          </cell>
          <cell r="D34">
            <v>136550</v>
          </cell>
          <cell r="E34">
            <v>622190</v>
          </cell>
          <cell r="F34">
            <v>141900</v>
          </cell>
          <cell r="G34">
            <v>630980</v>
          </cell>
        </row>
        <row r="35">
          <cell r="A35" t="str">
            <v>13-1011</v>
          </cell>
          <cell r="B35" t="str">
            <v>Agents and Business Managers of Artists, Performers, and Athletes</v>
          </cell>
          <cell r="C35">
            <v>1.068559</v>
          </cell>
          <cell r="D35">
            <v>96310</v>
          </cell>
          <cell r="E35">
            <v>12620</v>
          </cell>
          <cell r="F35">
            <v>82890</v>
          </cell>
          <cell r="G35">
            <v>14220</v>
          </cell>
        </row>
        <row r="36">
          <cell r="A36" t="str">
            <v>13-1020</v>
          </cell>
          <cell r="B36" t="str">
            <v>Purchasing Agents and Buyers, Farm Products</v>
          </cell>
          <cell r="C36">
            <v>0.76870539999999998</v>
          </cell>
          <cell r="D36">
            <v>75650</v>
          </cell>
          <cell r="E36">
            <v>491430</v>
          </cell>
          <cell r="F36">
            <v>77710</v>
          </cell>
          <cell r="G36">
            <v>486900</v>
          </cell>
        </row>
        <row r="37">
          <cell r="A37" t="str">
            <v>13-1031</v>
          </cell>
          <cell r="B37" t="str">
            <v>Claims Adjusters, Examiners, and Investigators</v>
          </cell>
          <cell r="C37">
            <v>1.274024</v>
          </cell>
          <cell r="D37">
            <v>76790</v>
          </cell>
          <cell r="E37">
            <v>324230</v>
          </cell>
          <cell r="F37">
            <v>78000</v>
          </cell>
          <cell r="G37">
            <v>305020</v>
          </cell>
        </row>
        <row r="38">
          <cell r="A38" t="str">
            <v>13-1032</v>
          </cell>
          <cell r="B38" t="str">
            <v>Insurance Appraisers, Auto Damage</v>
          </cell>
          <cell r="C38">
            <v>0.66349550000000002</v>
          </cell>
          <cell r="D38">
            <v>76650</v>
          </cell>
          <cell r="E38">
            <v>11560</v>
          </cell>
          <cell r="F38">
            <v>78240</v>
          </cell>
          <cell r="G38">
            <v>7790</v>
          </cell>
        </row>
        <row r="39">
          <cell r="A39" t="str">
            <v>13-1041</v>
          </cell>
          <cell r="B39" t="str">
            <v>Compliance Officers, Except Agriculture, Construction, Health and Safety, and Transportation</v>
          </cell>
          <cell r="C39">
            <v>0.69812050000000003</v>
          </cell>
          <cell r="D39">
            <v>78420</v>
          </cell>
          <cell r="E39">
            <v>417070</v>
          </cell>
          <cell r="F39">
            <v>80730</v>
          </cell>
          <cell r="G39">
            <v>397770</v>
          </cell>
        </row>
        <row r="40">
          <cell r="A40" t="str">
            <v>13-1051</v>
          </cell>
          <cell r="B40" t="str">
            <v>Cost Estimators</v>
          </cell>
          <cell r="C40">
            <v>1.367669</v>
          </cell>
          <cell r="D40">
            <v>77070</v>
          </cell>
          <cell r="E40">
            <v>224220</v>
          </cell>
          <cell r="F40">
            <v>78740</v>
          </cell>
          <cell r="G40">
            <v>219530</v>
          </cell>
        </row>
        <row r="41">
          <cell r="A41" t="str">
            <v>13-1071</v>
          </cell>
          <cell r="B41" t="str">
            <v>Employment, Recruitment, and Placement Specialists</v>
          </cell>
          <cell r="C41">
            <v>1.36005</v>
          </cell>
          <cell r="D41">
            <v>72910</v>
          </cell>
          <cell r="E41">
            <v>912430</v>
          </cell>
          <cell r="F41">
            <v>75940</v>
          </cell>
          <cell r="G41">
            <v>917460</v>
          </cell>
        </row>
        <row r="42">
          <cell r="A42" t="str">
            <v>13-1074</v>
          </cell>
          <cell r="B42" t="str">
            <v>Farm Labor Contractors</v>
          </cell>
          <cell r="C42">
            <v>-0.43540250000000003</v>
          </cell>
          <cell r="D42">
            <v>48690</v>
          </cell>
          <cell r="E42">
            <v>310</v>
          </cell>
          <cell r="F42">
            <v>58460</v>
          </cell>
          <cell r="G42">
            <v>410</v>
          </cell>
        </row>
        <row r="43">
          <cell r="A43" t="str">
            <v>13-1075</v>
          </cell>
          <cell r="B43" t="str">
            <v>Labor Relations Specialists</v>
          </cell>
          <cell r="C43">
            <v>1.3348340000000001</v>
          </cell>
          <cell r="D43">
            <v>93500</v>
          </cell>
          <cell r="E43">
            <v>64810</v>
          </cell>
          <cell r="F43">
            <v>95420</v>
          </cell>
          <cell r="G43">
            <v>64590</v>
          </cell>
        </row>
        <row r="44">
          <cell r="A44" t="str">
            <v>13-1081</v>
          </cell>
          <cell r="B44" t="str">
            <v>Logisticians</v>
          </cell>
          <cell r="C44">
            <v>1.2973030000000001</v>
          </cell>
          <cell r="D44">
            <v>80880</v>
          </cell>
          <cell r="E44">
            <v>251040</v>
          </cell>
          <cell r="F44">
            <v>82320</v>
          </cell>
          <cell r="G44">
            <v>235640</v>
          </cell>
        </row>
        <row r="45">
          <cell r="A45" t="str">
            <v>13-1111</v>
          </cell>
          <cell r="B45" t="str">
            <v>Management Analysts</v>
          </cell>
          <cell r="C45">
            <v>1.4324170000000001</v>
          </cell>
          <cell r="D45">
            <v>101190</v>
          </cell>
          <cell r="E45">
            <v>898280</v>
          </cell>
          <cell r="F45">
            <v>101860</v>
          </cell>
          <cell r="G45">
            <v>893900</v>
          </cell>
        </row>
        <row r="46">
          <cell r="A46" t="str">
            <v>13-1121</v>
          </cell>
          <cell r="B46" t="str">
            <v>Meeting and Convention Planners</v>
          </cell>
          <cell r="C46">
            <v>0.37402069999999998</v>
          </cell>
          <cell r="D46">
            <v>59440</v>
          </cell>
          <cell r="E46">
            <v>142860</v>
          </cell>
          <cell r="F46">
            <v>61160</v>
          </cell>
          <cell r="G46">
            <v>134670</v>
          </cell>
        </row>
        <row r="47">
          <cell r="A47" t="str">
            <v>13-1131</v>
          </cell>
          <cell r="B47" t="str">
            <v>Fundraisers</v>
          </cell>
          <cell r="C47">
            <v>1.242567</v>
          </cell>
          <cell r="D47">
            <v>66490</v>
          </cell>
          <cell r="E47">
            <v>111040</v>
          </cell>
          <cell r="F47">
            <v>72550</v>
          </cell>
          <cell r="G47">
            <v>105930</v>
          </cell>
        </row>
        <row r="48">
          <cell r="A48" t="str">
            <v>13-1141</v>
          </cell>
          <cell r="B48" t="str">
            <v>Compensation, Benefits, and Job Analysis Specialists</v>
          </cell>
          <cell r="C48">
            <v>1.440985</v>
          </cell>
          <cell r="D48">
            <v>77020</v>
          </cell>
          <cell r="E48">
            <v>112380</v>
          </cell>
          <cell r="F48">
            <v>78210</v>
          </cell>
          <cell r="G48">
            <v>102370</v>
          </cell>
        </row>
        <row r="49">
          <cell r="A49" t="str">
            <v>13-1151</v>
          </cell>
          <cell r="B49" t="str">
            <v>Training and Development Specialists</v>
          </cell>
          <cell r="C49">
            <v>1.1984090000000001</v>
          </cell>
          <cell r="D49">
            <v>65850</v>
          </cell>
          <cell r="E49">
            <v>458300</v>
          </cell>
          <cell r="F49">
            <v>69280</v>
          </cell>
          <cell r="G49">
            <v>436610</v>
          </cell>
        </row>
        <row r="50">
          <cell r="A50" t="str">
            <v>13-1161</v>
          </cell>
          <cell r="B50" t="str">
            <v>Market Research Analysts and Marketing Specialists</v>
          </cell>
          <cell r="C50">
            <v>1.4267570000000001</v>
          </cell>
          <cell r="D50">
            <v>76950</v>
          </cell>
          <cell r="E50">
            <v>899580</v>
          </cell>
          <cell r="F50">
            <v>78760</v>
          </cell>
          <cell r="G50">
            <v>861140</v>
          </cell>
        </row>
        <row r="51">
          <cell r="A51" t="str">
            <v>13-1199</v>
          </cell>
          <cell r="B51" t="str">
            <v>Business Operations Specialists, All Other</v>
          </cell>
          <cell r="C51">
            <v>1.047687</v>
          </cell>
          <cell r="D51">
            <v>81270</v>
          </cell>
          <cell r="E51">
            <v>1087090</v>
          </cell>
          <cell r="F51">
            <v>83050</v>
          </cell>
          <cell r="G51">
            <v>1128200</v>
          </cell>
        </row>
        <row r="52">
          <cell r="A52" t="str">
            <v>13-2011</v>
          </cell>
          <cell r="B52" t="str">
            <v>Accountants and Auditors</v>
          </cell>
          <cell r="C52">
            <v>1.4819560000000001</v>
          </cell>
          <cell r="D52">
            <v>81680</v>
          </cell>
          <cell r="E52">
            <v>1449500</v>
          </cell>
          <cell r="F52">
            <v>83680</v>
          </cell>
          <cell r="G52">
            <v>1448290</v>
          </cell>
        </row>
        <row r="53">
          <cell r="A53" t="str">
            <v>13-2020</v>
          </cell>
          <cell r="B53" t="str">
            <v>Appraisers and Assessors of Real Estate</v>
          </cell>
          <cell r="C53">
            <v>0.84132030000000002</v>
          </cell>
          <cell r="D53">
            <v>65420</v>
          </cell>
          <cell r="E53">
            <v>57070</v>
          </cell>
          <cell r="F53">
            <v>67960</v>
          </cell>
          <cell r="G53">
            <v>59070</v>
          </cell>
        </row>
        <row r="54">
          <cell r="A54" t="str">
            <v>13-2031</v>
          </cell>
          <cell r="B54" t="str">
            <v>Budget Analysts</v>
          </cell>
          <cell r="C54">
            <v>1.502988</v>
          </cell>
          <cell r="D54">
            <v>87930</v>
          </cell>
          <cell r="E54">
            <v>47160</v>
          </cell>
          <cell r="F54">
            <v>91640</v>
          </cell>
          <cell r="G54">
            <v>47170</v>
          </cell>
        </row>
        <row r="55">
          <cell r="A55" t="str">
            <v>13-2041</v>
          </cell>
          <cell r="B55" t="str">
            <v>Credit Analysts</v>
          </cell>
          <cell r="C55">
            <v>1.3452679999999999</v>
          </cell>
          <cell r="D55">
            <v>80970</v>
          </cell>
          <cell r="E55">
            <v>64390</v>
          </cell>
          <cell r="F55">
            <v>83510</v>
          </cell>
          <cell r="G55">
            <v>67370</v>
          </cell>
        </row>
        <row r="56">
          <cell r="A56" t="str">
            <v>13-2051</v>
          </cell>
          <cell r="B56" t="str">
            <v>Financial Analysts</v>
          </cell>
          <cell r="C56">
            <v>1.3806149999999999</v>
          </cell>
          <cell r="D56">
            <v>101350</v>
          </cell>
          <cell r="E56">
            <v>361980</v>
          </cell>
          <cell r="F56">
            <v>102740</v>
          </cell>
          <cell r="G56">
            <v>340580</v>
          </cell>
        </row>
        <row r="57">
          <cell r="A57" t="str">
            <v>13-2052</v>
          </cell>
          <cell r="B57" t="str">
            <v>Personal Financial Advisors</v>
          </cell>
          <cell r="C57">
            <v>1.400749</v>
          </cell>
          <cell r="D57">
            <v>102140</v>
          </cell>
          <cell r="E57">
            <v>266800</v>
          </cell>
          <cell r="F57">
            <v>105070</v>
          </cell>
          <cell r="G57">
            <v>270480</v>
          </cell>
        </row>
        <row r="58">
          <cell r="A58" t="str">
            <v>13-2053</v>
          </cell>
          <cell r="B58" t="str">
            <v>Insurance Underwriters</v>
          </cell>
          <cell r="C58">
            <v>1.3266519999999999</v>
          </cell>
          <cell r="D58">
            <v>79880</v>
          </cell>
          <cell r="E58">
            <v>105420</v>
          </cell>
          <cell r="F58">
            <v>81370</v>
          </cell>
          <cell r="G58">
            <v>107820</v>
          </cell>
        </row>
        <row r="59">
          <cell r="A59" t="str">
            <v>13-2061</v>
          </cell>
          <cell r="B59" t="str">
            <v>Financial Examiners</v>
          </cell>
          <cell r="C59">
            <v>1.5260640000000001</v>
          </cell>
          <cell r="D59">
            <v>90400</v>
          </cell>
          <cell r="E59">
            <v>67830</v>
          </cell>
          <cell r="F59">
            <v>94160</v>
          </cell>
          <cell r="G59">
            <v>62830</v>
          </cell>
        </row>
        <row r="60">
          <cell r="A60" t="str">
            <v>13-2071</v>
          </cell>
          <cell r="B60" t="str">
            <v>Loan Counselors</v>
          </cell>
          <cell r="C60">
            <v>1.385381</v>
          </cell>
          <cell r="D60">
            <v>50480</v>
          </cell>
          <cell r="E60">
            <v>27770</v>
          </cell>
          <cell r="F60">
            <v>52230</v>
          </cell>
          <cell r="G60">
            <v>28110</v>
          </cell>
        </row>
        <row r="61">
          <cell r="A61" t="str">
            <v>13-2072</v>
          </cell>
          <cell r="B61" t="str">
            <v>Loan Officers</v>
          </cell>
          <cell r="C61">
            <v>1.3857390000000001</v>
          </cell>
          <cell r="D61">
            <v>74180</v>
          </cell>
          <cell r="E61">
            <v>274330</v>
          </cell>
          <cell r="F61">
            <v>76690</v>
          </cell>
          <cell r="G61">
            <v>290530</v>
          </cell>
        </row>
        <row r="62">
          <cell r="A62" t="str">
            <v>13-2081</v>
          </cell>
          <cell r="B62" t="str">
            <v>Tax Examiners, Collectors, and Revenue Agents</v>
          </cell>
          <cell r="C62">
            <v>1.3668199999999999</v>
          </cell>
          <cell r="D62">
            <v>59740</v>
          </cell>
          <cell r="E62">
            <v>56610</v>
          </cell>
          <cell r="F62">
            <v>62370</v>
          </cell>
          <cell r="G62">
            <v>53530</v>
          </cell>
        </row>
        <row r="63">
          <cell r="A63" t="str">
            <v>13-2082</v>
          </cell>
          <cell r="B63" t="str">
            <v>Tax Preparers</v>
          </cell>
          <cell r="C63">
            <v>1.2937099999999999</v>
          </cell>
          <cell r="D63">
            <v>50560</v>
          </cell>
          <cell r="E63">
            <v>76480</v>
          </cell>
          <cell r="F63">
            <v>54920</v>
          </cell>
          <cell r="G63">
            <v>73570</v>
          </cell>
        </row>
        <row r="64">
          <cell r="A64" t="str">
            <v>13-2099</v>
          </cell>
          <cell r="B64" t="str">
            <v>Financial Specialists, All Other</v>
          </cell>
          <cell r="C64">
            <v>1.361362</v>
          </cell>
          <cell r="D64">
            <v>80190</v>
          </cell>
          <cell r="E64">
            <v>132130</v>
          </cell>
          <cell r="F64">
            <v>81100</v>
          </cell>
          <cell r="G64">
            <v>127450</v>
          </cell>
        </row>
        <row r="65">
          <cell r="A65" t="str">
            <v>15-1211</v>
          </cell>
          <cell r="B65" t="str">
            <v>Computer Systems Analysts</v>
          </cell>
          <cell r="C65">
            <v>1.19815</v>
          </cell>
          <cell r="D65">
            <v>124910</v>
          </cell>
          <cell r="E65">
            <v>519530</v>
          </cell>
          <cell r="F65">
            <v>105850</v>
          </cell>
          <cell r="G65">
            <v>497800</v>
          </cell>
        </row>
        <row r="66">
          <cell r="A66" t="str">
            <v>15-1212</v>
          </cell>
          <cell r="B66" t="str">
            <v>Information Security Analysts</v>
          </cell>
          <cell r="C66">
            <v>1.250146</v>
          </cell>
          <cell r="D66">
            <v>140910</v>
          </cell>
          <cell r="E66">
            <v>190650</v>
          </cell>
          <cell r="F66">
            <v>129180</v>
          </cell>
          <cell r="G66">
            <v>179430</v>
          </cell>
        </row>
        <row r="67">
          <cell r="A67" t="str">
            <v>15-1221</v>
          </cell>
          <cell r="B67" t="str">
            <v>Computer and Information Research Scientists</v>
          </cell>
          <cell r="C67">
            <v>1.154269</v>
          </cell>
          <cell r="D67">
            <v>103790</v>
          </cell>
          <cell r="E67">
            <v>37200</v>
          </cell>
          <cell r="F67">
            <v>140300</v>
          </cell>
          <cell r="G67">
            <v>38480</v>
          </cell>
        </row>
        <row r="68">
          <cell r="A68" t="str">
            <v>15-1231</v>
          </cell>
          <cell r="B68" t="str">
            <v>Computer Network Support Specialists</v>
          </cell>
          <cell r="C68">
            <v>0.7860606</v>
          </cell>
          <cell r="D68">
            <v>90930</v>
          </cell>
          <cell r="E68">
            <v>146190</v>
          </cell>
          <cell r="F68">
            <v>76220</v>
          </cell>
          <cell r="G68">
            <v>146450</v>
          </cell>
        </row>
        <row r="69">
          <cell r="A69" t="str">
            <v>15-1232</v>
          </cell>
          <cell r="B69" t="str">
            <v>Computer User Support Specialists</v>
          </cell>
          <cell r="C69">
            <v>0.29934300000000003</v>
          </cell>
          <cell r="D69">
            <v>133080</v>
          </cell>
          <cell r="E69">
            <v>717190</v>
          </cell>
          <cell r="F69">
            <v>61860</v>
          </cell>
          <cell r="G69">
            <v>697210</v>
          </cell>
        </row>
        <row r="70">
          <cell r="A70" t="str">
            <v>15-1241</v>
          </cell>
          <cell r="B70" t="str">
            <v>Computer Network Architects</v>
          </cell>
          <cell r="C70">
            <v>0.58033060000000003</v>
          </cell>
          <cell r="D70">
            <v>98670</v>
          </cell>
          <cell r="E70">
            <v>179740</v>
          </cell>
          <cell r="F70">
            <v>134050</v>
          </cell>
          <cell r="G70">
            <v>177010</v>
          </cell>
        </row>
        <row r="71">
          <cell r="A71" t="str">
            <v>15-1242</v>
          </cell>
          <cell r="B71" t="str">
            <v>Database Administrators</v>
          </cell>
          <cell r="C71">
            <v>1.2848630000000001</v>
          </cell>
          <cell r="D71">
            <v>104620</v>
          </cell>
          <cell r="E71">
            <v>69990</v>
          </cell>
          <cell r="F71">
            <v>104620</v>
          </cell>
          <cell r="G71">
            <v>73180</v>
          </cell>
        </row>
        <row r="72">
          <cell r="A72" t="str">
            <v>15-1244</v>
          </cell>
          <cell r="B72" t="str">
            <v>Network and Computer Systems Administrators</v>
          </cell>
          <cell r="C72">
            <v>0.78953150000000005</v>
          </cell>
          <cell r="D72">
            <v>96800</v>
          </cell>
          <cell r="E72">
            <v>314340</v>
          </cell>
          <cell r="F72">
            <v>99130</v>
          </cell>
          <cell r="G72">
            <v>318570</v>
          </cell>
        </row>
        <row r="73">
          <cell r="A73" t="str">
            <v>15-1251</v>
          </cell>
          <cell r="B73" t="str">
            <v>Computer Programmers</v>
          </cell>
          <cell r="C73">
            <v>1.271506</v>
          </cell>
          <cell r="D73">
            <v>47170</v>
          </cell>
          <cell r="E73">
            <v>92230</v>
          </cell>
          <cell r="F73">
            <v>100390</v>
          </cell>
          <cell r="G73">
            <v>109870</v>
          </cell>
        </row>
        <row r="74">
          <cell r="A74" t="str">
            <v>15-1252</v>
          </cell>
          <cell r="B74" t="str">
            <v>Software Developers, Systems Software</v>
          </cell>
          <cell r="C74">
            <v>1.2833079999999999</v>
          </cell>
          <cell r="D74">
            <v>60340</v>
          </cell>
          <cell r="E74">
            <v>1687890</v>
          </cell>
          <cell r="F74">
            <v>135980</v>
          </cell>
          <cell r="G74">
            <v>1654440</v>
          </cell>
        </row>
        <row r="75">
          <cell r="A75" t="str">
            <v>15-1254</v>
          </cell>
          <cell r="B75" t="str">
            <v>Web Developers</v>
          </cell>
          <cell r="C75">
            <v>1.0894630000000001</v>
          </cell>
          <cell r="D75">
            <v>130390</v>
          </cell>
          <cell r="E75">
            <v>70190</v>
          </cell>
          <cell r="F75">
            <v>92650</v>
          </cell>
          <cell r="G75">
            <v>78860</v>
          </cell>
        </row>
        <row r="76">
          <cell r="A76" t="str">
            <v>15-1299</v>
          </cell>
          <cell r="B76" t="str">
            <v>Computer Occupations, All Other</v>
          </cell>
          <cell r="C76">
            <v>1.2327049999999999</v>
          </cell>
          <cell r="D76">
            <v>108970</v>
          </cell>
          <cell r="E76">
            <v>435370</v>
          </cell>
          <cell r="F76">
            <v>116580</v>
          </cell>
          <cell r="G76">
            <v>439380</v>
          </cell>
        </row>
        <row r="77">
          <cell r="A77" t="str">
            <v>15-2000</v>
          </cell>
          <cell r="B77" t="str">
            <v>Mathematical Technicians</v>
          </cell>
          <cell r="C77">
            <v>0.75598030000000005</v>
          </cell>
          <cell r="D77">
            <v>103300</v>
          </cell>
          <cell r="E77">
            <v>432400</v>
          </cell>
          <cell r="F77">
            <v>107570</v>
          </cell>
          <cell r="G77">
            <v>406230</v>
          </cell>
        </row>
        <row r="78">
          <cell r="A78" t="str">
            <v>15-2011</v>
          </cell>
          <cell r="B78" t="str">
            <v>Actuaries</v>
          </cell>
          <cell r="C78">
            <v>1.5164740000000001</v>
          </cell>
          <cell r="D78">
            <v>104620</v>
          </cell>
          <cell r="E78">
            <v>26670</v>
          </cell>
          <cell r="F78">
            <v>130000</v>
          </cell>
          <cell r="G78">
            <v>28340</v>
          </cell>
        </row>
        <row r="79">
          <cell r="A79" t="str">
            <v>15-2021</v>
          </cell>
          <cell r="B79" t="str">
            <v>Mathematicians</v>
          </cell>
          <cell r="C79">
            <v>1.4723189999999999</v>
          </cell>
          <cell r="D79">
            <v>125770</v>
          </cell>
          <cell r="E79">
            <v>2030</v>
          </cell>
          <cell r="F79">
            <v>126710</v>
          </cell>
          <cell r="G79">
            <v>2220</v>
          </cell>
        </row>
        <row r="80">
          <cell r="A80" t="str">
            <v>15-2031</v>
          </cell>
          <cell r="B80" t="str">
            <v>Operations Research Analysts</v>
          </cell>
          <cell r="C80">
            <v>1.40002</v>
          </cell>
          <cell r="D80">
            <v>121680</v>
          </cell>
          <cell r="E80">
            <v>108510</v>
          </cell>
          <cell r="F80">
            <v>88940</v>
          </cell>
          <cell r="G80">
            <v>107760</v>
          </cell>
        </row>
        <row r="81">
          <cell r="A81" t="str">
            <v>15-2041</v>
          </cell>
          <cell r="B81" t="str">
            <v>Statisticians</v>
          </cell>
          <cell r="C81">
            <v>1.3827240000000001</v>
          </cell>
          <cell r="D81">
            <v>91290</v>
          </cell>
          <cell r="E81">
            <v>29030</v>
          </cell>
          <cell r="F81">
            <v>105650</v>
          </cell>
          <cell r="G81">
            <v>29800</v>
          </cell>
        </row>
        <row r="82">
          <cell r="A82" t="str">
            <v>17-1011</v>
          </cell>
          <cell r="B82" t="str">
            <v>Architects, Except Landscape and Naval</v>
          </cell>
          <cell r="C82">
            <v>1.047142</v>
          </cell>
          <cell r="D82">
            <v>96690</v>
          </cell>
          <cell r="E82">
            <v>106770</v>
          </cell>
          <cell r="F82">
            <v>99280</v>
          </cell>
          <cell r="G82">
            <v>111140</v>
          </cell>
        </row>
        <row r="83">
          <cell r="A83" t="str">
            <v>17-1012</v>
          </cell>
          <cell r="B83" t="str">
            <v>Landscape Architects</v>
          </cell>
          <cell r="C83">
            <v>1.0343880000000001</v>
          </cell>
          <cell r="D83">
            <v>79660</v>
          </cell>
          <cell r="E83">
            <v>19600</v>
          </cell>
          <cell r="F83">
            <v>79870</v>
          </cell>
          <cell r="G83">
            <v>19580</v>
          </cell>
        </row>
        <row r="84">
          <cell r="A84" t="str">
            <v>17-1021</v>
          </cell>
          <cell r="B84" t="str">
            <v>Cartographers and Photogrammetrists</v>
          </cell>
          <cell r="C84">
            <v>0.81699790000000005</v>
          </cell>
          <cell r="D84">
            <v>78380</v>
          </cell>
          <cell r="E84">
            <v>14260</v>
          </cell>
          <cell r="F84">
            <v>81390</v>
          </cell>
          <cell r="G84">
            <v>12790</v>
          </cell>
        </row>
        <row r="85">
          <cell r="A85" t="str">
            <v>17-1022</v>
          </cell>
          <cell r="B85" t="str">
            <v>Surveyors</v>
          </cell>
          <cell r="C85">
            <v>0.14606060000000001</v>
          </cell>
          <cell r="D85">
            <v>72740</v>
          </cell>
          <cell r="E85">
            <v>50830</v>
          </cell>
          <cell r="F85">
            <v>75440</v>
          </cell>
          <cell r="G85">
            <v>53080</v>
          </cell>
        </row>
        <row r="86">
          <cell r="A86" t="str">
            <v>17-2011</v>
          </cell>
          <cell r="B86" t="str">
            <v>Aerospace Engineers</v>
          </cell>
          <cell r="C86">
            <v>1.338738</v>
          </cell>
          <cell r="D86">
            <v>134830</v>
          </cell>
          <cell r="E86">
            <v>67710</v>
          </cell>
          <cell r="F86">
            <v>134960</v>
          </cell>
          <cell r="G86">
            <v>68440</v>
          </cell>
        </row>
        <row r="87">
          <cell r="A87" t="str">
            <v>17-2021</v>
          </cell>
          <cell r="B87" t="str">
            <v>Agricultural Engineers</v>
          </cell>
          <cell r="C87">
            <v>0.94096360000000001</v>
          </cell>
          <cell r="D87">
            <v>84630</v>
          </cell>
          <cell r="E87">
            <v>1480</v>
          </cell>
          <cell r="F87">
            <v>98590</v>
          </cell>
          <cell r="G87">
            <v>1680</v>
          </cell>
        </row>
        <row r="88">
          <cell r="A88" t="str">
            <v>17-2031</v>
          </cell>
          <cell r="B88" t="str">
            <v>Biomedical Engineers</v>
          </cell>
          <cell r="C88">
            <v>0.98742390000000002</v>
          </cell>
          <cell r="D88">
            <v>106950</v>
          </cell>
          <cell r="E88">
            <v>23480</v>
          </cell>
          <cell r="F88">
            <v>109370</v>
          </cell>
          <cell r="G88">
            <v>21860</v>
          </cell>
        </row>
        <row r="89">
          <cell r="A89" t="str">
            <v>17-2041</v>
          </cell>
          <cell r="B89" t="str">
            <v>Chemical Engineers</v>
          </cell>
          <cell r="C89">
            <v>1.3413360000000001</v>
          </cell>
          <cell r="D89">
            <v>121860</v>
          </cell>
          <cell r="E89">
            <v>21070</v>
          </cell>
          <cell r="F89">
            <v>125040</v>
          </cell>
          <cell r="G89">
            <v>20330</v>
          </cell>
        </row>
        <row r="90">
          <cell r="A90" t="str">
            <v>17-2051</v>
          </cell>
          <cell r="B90" t="str">
            <v>Civil Engineers</v>
          </cell>
          <cell r="C90">
            <v>1.282867</v>
          </cell>
          <cell r="D90">
            <v>99590</v>
          </cell>
          <cell r="E90">
            <v>367840</v>
          </cell>
          <cell r="F90">
            <v>100840</v>
          </cell>
          <cell r="G90">
            <v>355410</v>
          </cell>
        </row>
        <row r="91">
          <cell r="A91" t="str">
            <v>17-2061</v>
          </cell>
          <cell r="B91" t="str">
            <v>Computer Hardware Engineers</v>
          </cell>
          <cell r="C91">
            <v>1.141812</v>
          </cell>
          <cell r="D91">
            <v>155020</v>
          </cell>
          <cell r="E91">
            <v>76660</v>
          </cell>
          <cell r="F91">
            <v>161740</v>
          </cell>
          <cell r="G91">
            <v>75710</v>
          </cell>
        </row>
        <row r="92">
          <cell r="A92" t="str">
            <v>17-2071</v>
          </cell>
          <cell r="B92" t="str">
            <v>Electrical Engineers</v>
          </cell>
          <cell r="C92">
            <v>1.126725</v>
          </cell>
          <cell r="D92">
            <v>111910</v>
          </cell>
          <cell r="E92">
            <v>198750</v>
          </cell>
          <cell r="F92">
            <v>120630</v>
          </cell>
          <cell r="G92">
            <v>188790</v>
          </cell>
        </row>
        <row r="93">
          <cell r="A93" t="str">
            <v>17-2072</v>
          </cell>
          <cell r="B93" t="str">
            <v>Electronics Engineers, Except Computer</v>
          </cell>
          <cell r="C93">
            <v>0.66545779999999999</v>
          </cell>
          <cell r="D93">
            <v>127590</v>
          </cell>
          <cell r="E93">
            <v>96900</v>
          </cell>
          <cell r="F93">
            <v>130220</v>
          </cell>
          <cell r="G93">
            <v>93940</v>
          </cell>
        </row>
        <row r="94">
          <cell r="A94" t="str">
            <v>17-2081</v>
          </cell>
          <cell r="B94" t="str">
            <v>Environmental Engineers</v>
          </cell>
          <cell r="C94">
            <v>1.343561</v>
          </cell>
          <cell r="D94">
            <v>104170</v>
          </cell>
          <cell r="E94">
            <v>38340</v>
          </cell>
          <cell r="F94">
            <v>107110</v>
          </cell>
          <cell r="G94">
            <v>37950</v>
          </cell>
        </row>
        <row r="95">
          <cell r="A95" t="str">
            <v>17-2111</v>
          </cell>
          <cell r="B95" t="str">
            <v>Health and Safety Engineers, Except Mining Safety Engineers and Inspectors</v>
          </cell>
          <cell r="C95">
            <v>0.99489349999999999</v>
          </cell>
          <cell r="D95">
            <v>109660</v>
          </cell>
          <cell r="E95">
            <v>21450</v>
          </cell>
          <cell r="F95">
            <v>115160</v>
          </cell>
          <cell r="G95">
            <v>23220</v>
          </cell>
        </row>
        <row r="96">
          <cell r="A96" t="str">
            <v>17-2112</v>
          </cell>
          <cell r="B96" t="str">
            <v>Industrial Engineers</v>
          </cell>
          <cell r="C96">
            <v>1.1378699999999999</v>
          </cell>
          <cell r="D96">
            <v>101140</v>
          </cell>
          <cell r="E96">
            <v>365740</v>
          </cell>
          <cell r="F96">
            <v>102440</v>
          </cell>
          <cell r="G96">
            <v>350230</v>
          </cell>
        </row>
        <row r="97">
          <cell r="A97" t="str">
            <v>17-2121</v>
          </cell>
          <cell r="B97" t="str">
            <v>Marine Engineers and Naval Architects</v>
          </cell>
          <cell r="C97">
            <v>0.54721730000000002</v>
          </cell>
          <cell r="D97">
            <v>105670</v>
          </cell>
          <cell r="E97">
            <v>8250</v>
          </cell>
          <cell r="F97">
            <v>112230</v>
          </cell>
          <cell r="G97">
            <v>8440</v>
          </cell>
        </row>
        <row r="98">
          <cell r="A98" t="str">
            <v>17-2131</v>
          </cell>
          <cell r="B98" t="str">
            <v>Materials Engineers</v>
          </cell>
          <cell r="C98">
            <v>1.0372779999999999</v>
          </cell>
          <cell r="D98">
            <v>108310</v>
          </cell>
          <cell r="E98">
            <v>22770</v>
          </cell>
          <cell r="F98">
            <v>112860</v>
          </cell>
          <cell r="G98">
            <v>22770</v>
          </cell>
        </row>
        <row r="99">
          <cell r="A99" t="str">
            <v>17-2141</v>
          </cell>
          <cell r="B99" t="str">
            <v>Mechanical Engineers</v>
          </cell>
          <cell r="C99">
            <v>1.0047090000000001</v>
          </cell>
          <cell r="D99">
            <v>102320</v>
          </cell>
          <cell r="E99">
            <v>296810</v>
          </cell>
          <cell r="F99">
            <v>104110</v>
          </cell>
          <cell r="G99">
            <v>286760</v>
          </cell>
        </row>
        <row r="100">
          <cell r="A100" t="str">
            <v>17-2151</v>
          </cell>
          <cell r="B100" t="str">
            <v>Mining and Geological Engineers, Including Mining Safety Engineers</v>
          </cell>
          <cell r="C100">
            <v>1.3469500000000001</v>
          </cell>
          <cell r="D100">
            <v>101020</v>
          </cell>
          <cell r="E100">
            <v>6080</v>
          </cell>
          <cell r="F100">
            <v>106220</v>
          </cell>
          <cell r="G100">
            <v>6770</v>
          </cell>
        </row>
        <row r="101">
          <cell r="A101" t="str">
            <v>17-2161</v>
          </cell>
          <cell r="B101" t="str">
            <v>Nuclear Engineers</v>
          </cell>
          <cell r="C101">
            <v>1.3030090000000001</v>
          </cell>
          <cell r="D101">
            <v>127520</v>
          </cell>
          <cell r="E101">
            <v>15280</v>
          </cell>
          <cell r="F101">
            <v>133970</v>
          </cell>
          <cell r="G101">
            <v>14740</v>
          </cell>
        </row>
        <row r="102">
          <cell r="A102" t="str">
            <v>17-2171</v>
          </cell>
          <cell r="B102" t="str">
            <v>Petroleum Engineers</v>
          </cell>
          <cell r="C102">
            <v>1.247779</v>
          </cell>
          <cell r="D102">
            <v>141280</v>
          </cell>
          <cell r="E102">
            <v>18060</v>
          </cell>
          <cell r="F102">
            <v>144910</v>
          </cell>
          <cell r="G102">
            <v>18970</v>
          </cell>
        </row>
        <row r="103">
          <cell r="A103" t="str">
            <v>17-2199</v>
          </cell>
          <cell r="B103" t="str">
            <v>Engineers, All Other</v>
          </cell>
          <cell r="C103">
            <v>0.78756599999999999</v>
          </cell>
          <cell r="D103">
            <v>117750</v>
          </cell>
          <cell r="E103">
            <v>154070</v>
          </cell>
          <cell r="F103">
            <v>122930</v>
          </cell>
          <cell r="G103">
            <v>150750</v>
          </cell>
        </row>
        <row r="104">
          <cell r="A104" t="str">
            <v>17-3011</v>
          </cell>
          <cell r="B104" t="str">
            <v>Architectural and Civil Drafters</v>
          </cell>
          <cell r="C104">
            <v>0.92339249999999995</v>
          </cell>
          <cell r="D104">
            <v>64280</v>
          </cell>
          <cell r="E104">
            <v>103700</v>
          </cell>
          <cell r="F104">
            <v>66150</v>
          </cell>
          <cell r="G104">
            <v>109550</v>
          </cell>
        </row>
        <row r="105">
          <cell r="A105" t="str">
            <v>17-3012</v>
          </cell>
          <cell r="B105" t="str">
            <v>Electrical and Electronics Drafters</v>
          </cell>
          <cell r="C105">
            <v>0.91016600000000003</v>
          </cell>
          <cell r="D105">
            <v>73720</v>
          </cell>
          <cell r="E105">
            <v>17920</v>
          </cell>
          <cell r="F105">
            <v>76870</v>
          </cell>
          <cell r="G105">
            <v>20020</v>
          </cell>
        </row>
        <row r="106">
          <cell r="A106" t="str">
            <v>17-3013</v>
          </cell>
          <cell r="B106" t="str">
            <v>Mechanical Drafters</v>
          </cell>
          <cell r="C106">
            <v>0.84100710000000001</v>
          </cell>
          <cell r="D106">
            <v>68510</v>
          </cell>
          <cell r="E106">
            <v>39960</v>
          </cell>
          <cell r="F106">
            <v>71550</v>
          </cell>
          <cell r="G106">
            <v>39900</v>
          </cell>
        </row>
        <row r="107">
          <cell r="A107" t="str">
            <v>17-3021</v>
          </cell>
          <cell r="B107" t="str">
            <v>Aerospace Engineering and Operations Technicians</v>
          </cell>
          <cell r="C107">
            <v>0.39094020000000002</v>
          </cell>
          <cell r="D107">
            <v>79830</v>
          </cell>
          <cell r="E107">
            <v>11280</v>
          </cell>
          <cell r="F107">
            <v>82890</v>
          </cell>
          <cell r="G107">
            <v>9060</v>
          </cell>
        </row>
        <row r="108">
          <cell r="A108" t="str">
            <v>17-3022</v>
          </cell>
          <cell r="B108" t="str">
            <v>Civil Engineering Technicians</v>
          </cell>
          <cell r="C108">
            <v>0.93232190000000004</v>
          </cell>
          <cell r="D108">
            <v>64200</v>
          </cell>
          <cell r="E108">
            <v>68520</v>
          </cell>
          <cell r="F108">
            <v>64950</v>
          </cell>
          <cell r="G108">
            <v>62130</v>
          </cell>
        </row>
        <row r="109">
          <cell r="A109" t="str">
            <v>17-3023</v>
          </cell>
          <cell r="B109" t="str">
            <v>Electrical and Electronic Engineering Technicians</v>
          </cell>
          <cell r="C109">
            <v>0.35152519999999998</v>
          </cell>
          <cell r="D109">
            <v>77180</v>
          </cell>
          <cell r="E109">
            <v>95130</v>
          </cell>
          <cell r="F109">
            <v>78190</v>
          </cell>
          <cell r="G109">
            <v>92710</v>
          </cell>
        </row>
        <row r="110">
          <cell r="A110" t="str">
            <v>17-3024</v>
          </cell>
          <cell r="B110" t="str">
            <v>Electro-Mechanical Technicians</v>
          </cell>
          <cell r="C110">
            <v>-0.30405070000000001</v>
          </cell>
          <cell r="D110">
            <v>70760</v>
          </cell>
          <cell r="E110">
            <v>15520</v>
          </cell>
          <cell r="F110">
            <v>73900</v>
          </cell>
          <cell r="G110">
            <v>14680</v>
          </cell>
        </row>
        <row r="111">
          <cell r="A111" t="str">
            <v>17-3025</v>
          </cell>
          <cell r="B111" t="str">
            <v>Environmental Engineering Technicians</v>
          </cell>
          <cell r="C111">
            <v>4.3805400000000001E-2</v>
          </cell>
          <cell r="D111">
            <v>58890</v>
          </cell>
          <cell r="E111">
            <v>12190</v>
          </cell>
          <cell r="F111">
            <v>59920</v>
          </cell>
          <cell r="G111">
            <v>12500</v>
          </cell>
        </row>
        <row r="112">
          <cell r="A112" t="str">
            <v>17-3026</v>
          </cell>
          <cell r="B112" t="str">
            <v>Industrial Engineering Technicians</v>
          </cell>
          <cell r="C112">
            <v>0.61066790000000004</v>
          </cell>
          <cell r="D112">
            <v>64790</v>
          </cell>
          <cell r="E112">
            <v>75570</v>
          </cell>
          <cell r="F112">
            <v>66120</v>
          </cell>
          <cell r="G112">
            <v>73410</v>
          </cell>
        </row>
        <row r="113">
          <cell r="A113" t="str">
            <v>17-3027</v>
          </cell>
          <cell r="B113" t="str">
            <v>Mechanical Engineering Technicians</v>
          </cell>
          <cell r="C113">
            <v>-0.1192367</v>
          </cell>
          <cell r="D113">
            <v>68730</v>
          </cell>
          <cell r="E113">
            <v>36190</v>
          </cell>
          <cell r="F113">
            <v>74510</v>
          </cell>
          <cell r="G113">
            <v>37450</v>
          </cell>
        </row>
        <row r="114">
          <cell r="A114" t="str">
            <v>17-3029</v>
          </cell>
          <cell r="B114" t="str">
            <v>Engineering Technicians, Except Drafters, All Other</v>
          </cell>
          <cell r="C114">
            <v>0.19412779999999999</v>
          </cell>
          <cell r="D114">
            <v>77390</v>
          </cell>
          <cell r="E114">
            <v>59930</v>
          </cell>
          <cell r="F114">
            <v>78350</v>
          </cell>
          <cell r="G114">
            <v>64410</v>
          </cell>
        </row>
        <row r="115">
          <cell r="A115" t="str">
            <v>17-3031</v>
          </cell>
          <cell r="B115" t="str">
            <v>Surveying and Mapping Technicians</v>
          </cell>
          <cell r="C115">
            <v>8.52324E-2</v>
          </cell>
          <cell r="D115">
            <v>51940</v>
          </cell>
          <cell r="E115">
            <v>58010</v>
          </cell>
          <cell r="F115">
            <v>54240</v>
          </cell>
          <cell r="G115">
            <v>56720</v>
          </cell>
        </row>
        <row r="116">
          <cell r="A116" t="str">
            <v>19-1011</v>
          </cell>
          <cell r="B116" t="str">
            <v>Animal Scientists</v>
          </cell>
          <cell r="C116">
            <v>1.041358</v>
          </cell>
          <cell r="D116">
            <v>79120</v>
          </cell>
          <cell r="E116">
            <v>3100</v>
          </cell>
          <cell r="F116">
            <v>68940</v>
          </cell>
          <cell r="G116">
            <v>2470</v>
          </cell>
        </row>
        <row r="117">
          <cell r="A117" t="str">
            <v>19-1012</v>
          </cell>
          <cell r="B117" t="str">
            <v>Food Scientists and Technologists</v>
          </cell>
          <cell r="C117">
            <v>0.79435750000000005</v>
          </cell>
          <cell r="D117">
            <v>85310</v>
          </cell>
          <cell r="E117">
            <v>13060</v>
          </cell>
          <cell r="F117">
            <v>88720</v>
          </cell>
          <cell r="G117">
            <v>14370</v>
          </cell>
        </row>
        <row r="118">
          <cell r="A118" t="str">
            <v>19-1013</v>
          </cell>
          <cell r="B118" t="str">
            <v>Soil and Plant Scientists</v>
          </cell>
          <cell r="C118">
            <v>0.63206960000000001</v>
          </cell>
          <cell r="D118">
            <v>71410</v>
          </cell>
          <cell r="E118">
            <v>15730</v>
          </cell>
          <cell r="F118">
            <v>78850</v>
          </cell>
          <cell r="G118">
            <v>16600</v>
          </cell>
        </row>
        <row r="119">
          <cell r="A119" t="str">
            <v>19-1020</v>
          </cell>
          <cell r="B119" t="str">
            <v>Biologists</v>
          </cell>
          <cell r="C119">
            <v>0.752081</v>
          </cell>
          <cell r="D119">
            <v>93340</v>
          </cell>
          <cell r="E119">
            <v>126740</v>
          </cell>
          <cell r="F119">
            <v>99760</v>
          </cell>
          <cell r="G119">
            <v>130910</v>
          </cell>
        </row>
        <row r="120">
          <cell r="A120" t="str">
            <v>19-1021</v>
          </cell>
          <cell r="B120" t="str">
            <v>Biochemists and Biophysicists</v>
          </cell>
          <cell r="C120">
            <v>0.90605089999999999</v>
          </cell>
          <cell r="D120">
            <v>103650</v>
          </cell>
          <cell r="E120">
            <v>33830</v>
          </cell>
          <cell r="F120">
            <v>127410</v>
          </cell>
          <cell r="G120">
            <v>34520</v>
          </cell>
        </row>
        <row r="121">
          <cell r="A121" t="str">
            <v>19-1022</v>
          </cell>
          <cell r="B121" t="str">
            <v>Microbiologists</v>
          </cell>
          <cell r="C121">
            <v>0.69556470000000004</v>
          </cell>
          <cell r="D121">
            <v>87330</v>
          </cell>
          <cell r="E121">
            <v>18940</v>
          </cell>
          <cell r="F121">
            <v>87990</v>
          </cell>
          <cell r="G121">
            <v>19760</v>
          </cell>
        </row>
        <row r="122">
          <cell r="A122" t="str">
            <v>19-1023</v>
          </cell>
          <cell r="B122" t="str">
            <v>Zoologists and Wildlife Biologists</v>
          </cell>
          <cell r="C122">
            <v>0.31759530000000002</v>
          </cell>
          <cell r="D122">
            <v>72860</v>
          </cell>
          <cell r="E122">
            <v>18120</v>
          </cell>
          <cell r="F122">
            <v>76780</v>
          </cell>
          <cell r="G122">
            <v>16920</v>
          </cell>
        </row>
        <row r="123">
          <cell r="A123" t="str">
            <v>19-1029</v>
          </cell>
          <cell r="B123" t="str">
            <v>Biological Scientists, All Other</v>
          </cell>
          <cell r="C123">
            <v>1.0101929999999999</v>
          </cell>
          <cell r="D123">
            <v>93330</v>
          </cell>
          <cell r="E123">
            <v>55850</v>
          </cell>
          <cell r="F123">
            <v>98920</v>
          </cell>
          <cell r="G123">
            <v>59710</v>
          </cell>
        </row>
        <row r="124">
          <cell r="A124" t="str">
            <v>19-1031</v>
          </cell>
          <cell r="B124" t="str">
            <v>Conservation Scientists</v>
          </cell>
          <cell r="C124">
            <v>6.9031300000000004E-2</v>
          </cell>
          <cell r="D124">
            <v>67950</v>
          </cell>
          <cell r="E124">
            <v>25950</v>
          </cell>
          <cell r="F124">
            <v>73010</v>
          </cell>
          <cell r="G124">
            <v>25590</v>
          </cell>
        </row>
        <row r="125">
          <cell r="A125" t="str">
            <v>19-1032</v>
          </cell>
          <cell r="B125" t="str">
            <v>Foresters</v>
          </cell>
          <cell r="C125">
            <v>-0.18438099999999999</v>
          </cell>
          <cell r="D125">
            <v>70660</v>
          </cell>
          <cell r="E125">
            <v>10430</v>
          </cell>
          <cell r="F125">
            <v>76400</v>
          </cell>
          <cell r="G125">
            <v>9650</v>
          </cell>
        </row>
        <row r="126">
          <cell r="A126" t="str">
            <v>19-1041</v>
          </cell>
          <cell r="B126" t="str">
            <v>Epidemiologists</v>
          </cell>
          <cell r="C126">
            <v>1.4362870000000001</v>
          </cell>
          <cell r="D126">
            <v>83980</v>
          </cell>
          <cell r="E126">
            <v>12090</v>
          </cell>
          <cell r="F126">
            <v>87220</v>
          </cell>
          <cell r="G126">
            <v>11460</v>
          </cell>
        </row>
        <row r="127">
          <cell r="A127" t="str">
            <v>19-1042</v>
          </cell>
          <cell r="B127" t="str">
            <v>Medical Scientists, Except Epidemiologists</v>
          </cell>
          <cell r="C127">
            <v>1.279928</v>
          </cell>
          <cell r="D127">
            <v>100590</v>
          </cell>
          <cell r="E127">
            <v>172340</v>
          </cell>
          <cell r="F127">
            <v>103410</v>
          </cell>
          <cell r="G127">
            <v>156300</v>
          </cell>
        </row>
        <row r="128">
          <cell r="A128" t="str">
            <v>19-2011</v>
          </cell>
          <cell r="B128" t="str">
            <v>Astronomers</v>
          </cell>
          <cell r="C128">
            <v>1.373737</v>
          </cell>
          <cell r="D128">
            <v>132170</v>
          </cell>
          <cell r="E128">
            <v>2120</v>
          </cell>
          <cell r="F128">
            <v>128820</v>
          </cell>
          <cell r="G128">
            <v>1560</v>
          </cell>
        </row>
        <row r="129">
          <cell r="A129" t="str">
            <v>19-2012</v>
          </cell>
          <cell r="B129" t="str">
            <v>Physicists</v>
          </cell>
          <cell r="C129">
            <v>1.345736</v>
          </cell>
          <cell r="D129">
            <v>166290</v>
          </cell>
          <cell r="E129">
            <v>20430</v>
          </cell>
          <cell r="F129">
            <v>172250</v>
          </cell>
          <cell r="G129">
            <v>21340</v>
          </cell>
        </row>
        <row r="130">
          <cell r="A130" t="str">
            <v>19-2021</v>
          </cell>
          <cell r="B130" t="str">
            <v>Atmospheric and Space Scientists</v>
          </cell>
          <cell r="C130">
            <v>1.3739170000000001</v>
          </cell>
          <cell r="D130">
            <v>97450</v>
          </cell>
          <cell r="E130">
            <v>10000</v>
          </cell>
          <cell r="F130">
            <v>99070</v>
          </cell>
          <cell r="G130">
            <v>8780</v>
          </cell>
        </row>
        <row r="131">
          <cell r="A131" t="str">
            <v>19-2031</v>
          </cell>
          <cell r="B131" t="str">
            <v>Chemists</v>
          </cell>
          <cell r="C131">
            <v>0.50112509999999999</v>
          </cell>
          <cell r="D131">
            <v>84150</v>
          </cell>
          <cell r="E131">
            <v>82770</v>
          </cell>
          <cell r="F131">
            <v>91240</v>
          </cell>
          <cell r="G131">
            <v>83250</v>
          </cell>
        </row>
        <row r="132">
          <cell r="A132" t="str">
            <v>19-2032</v>
          </cell>
          <cell r="B132" t="str">
            <v>Materials Scientists</v>
          </cell>
          <cell r="C132">
            <v>1.0327569999999999</v>
          </cell>
          <cell r="D132">
            <v>104160</v>
          </cell>
          <cell r="E132">
            <v>8470</v>
          </cell>
          <cell r="F132">
            <v>117790</v>
          </cell>
          <cell r="G132">
            <v>8330</v>
          </cell>
        </row>
        <row r="133">
          <cell r="A133" t="str">
            <v>19-2041</v>
          </cell>
          <cell r="B133" t="str">
            <v>Environmental Scientists and Specialists, Including Health</v>
          </cell>
          <cell r="C133">
            <v>1.014113</v>
          </cell>
          <cell r="D133">
            <v>80060</v>
          </cell>
          <cell r="E133">
            <v>89250</v>
          </cell>
          <cell r="F133">
            <v>82220</v>
          </cell>
          <cell r="G133">
            <v>84930</v>
          </cell>
        </row>
        <row r="134">
          <cell r="A134" t="str">
            <v>19-2042</v>
          </cell>
          <cell r="B134" t="str">
            <v>Geoscientists, Except Hydrologists and Geographers</v>
          </cell>
          <cell r="C134">
            <v>0.71434810000000004</v>
          </cell>
          <cell r="D134">
            <v>99240</v>
          </cell>
          <cell r="E134">
            <v>23470</v>
          </cell>
          <cell r="F134">
            <v>101920</v>
          </cell>
          <cell r="G134">
            <v>22510</v>
          </cell>
        </row>
        <row r="135">
          <cell r="A135" t="str">
            <v>19-2043</v>
          </cell>
          <cell r="B135" t="str">
            <v>Hydrologists</v>
          </cell>
          <cell r="C135">
            <v>0.6405071</v>
          </cell>
          <cell r="D135">
            <v>92060</v>
          </cell>
          <cell r="E135">
            <v>5850</v>
          </cell>
          <cell r="F135">
            <v>96600</v>
          </cell>
          <cell r="G135">
            <v>5720</v>
          </cell>
        </row>
        <row r="136">
          <cell r="A136" t="str">
            <v>19-2099</v>
          </cell>
          <cell r="B136" t="str">
            <v>Physical Scientists, All Other</v>
          </cell>
          <cell r="C136">
            <v>1.1401570000000001</v>
          </cell>
          <cell r="D136">
            <v>117960</v>
          </cell>
          <cell r="E136">
            <v>22300</v>
          </cell>
          <cell r="F136">
            <v>122570</v>
          </cell>
          <cell r="G136">
            <v>22580</v>
          </cell>
        </row>
        <row r="137">
          <cell r="A137" t="str">
            <v>19-3011</v>
          </cell>
          <cell r="B137" t="str">
            <v>Economists</v>
          </cell>
          <cell r="C137">
            <v>1.403764</v>
          </cell>
          <cell r="D137">
            <v>115440</v>
          </cell>
          <cell r="E137">
            <v>17790</v>
          </cell>
          <cell r="F137">
            <v>124720</v>
          </cell>
          <cell r="G137">
            <v>15880</v>
          </cell>
        </row>
        <row r="138">
          <cell r="A138" t="str">
            <v>19-3022</v>
          </cell>
          <cell r="B138" t="str">
            <v>Survey Researchers</v>
          </cell>
          <cell r="C138">
            <v>1.4265300000000001</v>
          </cell>
          <cell r="D138">
            <v>63380</v>
          </cell>
          <cell r="E138">
            <v>8290</v>
          </cell>
          <cell r="F138">
            <v>69460</v>
          </cell>
          <cell r="G138">
            <v>7720</v>
          </cell>
        </row>
        <row r="139">
          <cell r="A139" t="str">
            <v>19-3032</v>
          </cell>
          <cell r="B139" t="str">
            <v>Industrial-Organizational Psychologists</v>
          </cell>
          <cell r="C139">
            <v>1.4024749999999999</v>
          </cell>
          <cell r="D139">
            <v>95830</v>
          </cell>
          <cell r="E139">
            <v>790</v>
          </cell>
          <cell r="F139">
            <v>193950</v>
          </cell>
          <cell r="G139">
            <v>1050</v>
          </cell>
        </row>
        <row r="140">
          <cell r="A140" t="str">
            <v>19-3033</v>
          </cell>
          <cell r="B140" t="str">
            <v>Clinical, Counseling, and School Psychologists</v>
          </cell>
          <cell r="C140">
            <v>1.456361</v>
          </cell>
          <cell r="D140">
            <v>109840</v>
          </cell>
          <cell r="E140">
            <v>75990</v>
          </cell>
          <cell r="F140">
            <v>100580</v>
          </cell>
          <cell r="G140">
            <v>72190</v>
          </cell>
        </row>
        <row r="141">
          <cell r="A141" t="str">
            <v>19-3039</v>
          </cell>
          <cell r="B141" t="str">
            <v>Psychologists, All Other</v>
          </cell>
          <cell r="C141">
            <v>1.3898539999999999</v>
          </cell>
          <cell r="D141">
            <v>117580</v>
          </cell>
          <cell r="E141">
            <v>18820</v>
          </cell>
          <cell r="F141">
            <v>110840</v>
          </cell>
          <cell r="G141">
            <v>17790</v>
          </cell>
        </row>
        <row r="142">
          <cell r="A142" t="str">
            <v>19-3041</v>
          </cell>
          <cell r="B142" t="str">
            <v>Sociologists</v>
          </cell>
          <cell r="C142">
            <v>1.411125</v>
          </cell>
          <cell r="D142">
            <v>101690</v>
          </cell>
          <cell r="E142">
            <v>2260</v>
          </cell>
          <cell r="F142">
            <v>106030</v>
          </cell>
          <cell r="G142">
            <v>2950</v>
          </cell>
        </row>
        <row r="143">
          <cell r="A143" t="str">
            <v>19-3051</v>
          </cell>
          <cell r="B143" t="str">
            <v>Urban and Regional Planners</v>
          </cell>
          <cell r="C143">
            <v>1.2275160000000001</v>
          </cell>
          <cell r="D143">
            <v>83720</v>
          </cell>
          <cell r="E143">
            <v>44230</v>
          </cell>
          <cell r="F143">
            <v>89320</v>
          </cell>
          <cell r="G143">
            <v>43040</v>
          </cell>
        </row>
        <row r="144">
          <cell r="A144" t="str">
            <v>19-3091</v>
          </cell>
          <cell r="B144" t="str">
            <v>Anthropologists and Archeologists</v>
          </cell>
          <cell r="C144">
            <v>0.69656649999999998</v>
          </cell>
          <cell r="D144">
            <v>64910</v>
          </cell>
          <cell r="E144">
            <v>8990</v>
          </cell>
          <cell r="F144">
            <v>70770</v>
          </cell>
          <cell r="G144">
            <v>8070</v>
          </cell>
        </row>
        <row r="145">
          <cell r="A145" t="str">
            <v>19-3092</v>
          </cell>
          <cell r="B145" t="str">
            <v>Geographers</v>
          </cell>
          <cell r="C145">
            <v>1.4362980000000001</v>
          </cell>
          <cell r="D145">
            <v>97200</v>
          </cell>
          <cell r="E145">
            <v>1400</v>
          </cell>
          <cell r="F145">
            <v>102040</v>
          </cell>
          <cell r="G145">
            <v>1380</v>
          </cell>
        </row>
        <row r="146">
          <cell r="A146" t="str">
            <v>19-3093</v>
          </cell>
          <cell r="B146" t="str">
            <v>Historians</v>
          </cell>
          <cell r="C146">
            <v>1.098921</v>
          </cell>
          <cell r="D146">
            <v>74050</v>
          </cell>
          <cell r="E146">
            <v>3450</v>
          </cell>
          <cell r="F146">
            <v>76750</v>
          </cell>
          <cell r="G146">
            <v>3140</v>
          </cell>
        </row>
        <row r="147">
          <cell r="A147" t="str">
            <v>19-3094</v>
          </cell>
          <cell r="B147" t="str">
            <v>Political Scientists</v>
          </cell>
          <cell r="C147">
            <v>1.418863</v>
          </cell>
          <cell r="D147">
            <v>139380</v>
          </cell>
          <cell r="E147">
            <v>5540</v>
          </cell>
          <cell r="F147">
            <v>142080</v>
          </cell>
          <cell r="G147">
            <v>5950</v>
          </cell>
        </row>
        <row r="148">
          <cell r="A148" t="str">
            <v>19-3099</v>
          </cell>
          <cell r="B148" t="str">
            <v>Social Scientists and Related Workers, All Other</v>
          </cell>
          <cell r="C148">
            <v>1.3280479999999999</v>
          </cell>
          <cell r="D148">
            <v>100340</v>
          </cell>
          <cell r="E148">
            <v>37100</v>
          </cell>
          <cell r="F148">
            <v>101110</v>
          </cell>
          <cell r="G148">
            <v>36970</v>
          </cell>
        </row>
        <row r="149">
          <cell r="A149" t="str">
            <v>19-4010</v>
          </cell>
          <cell r="B149" t="str">
            <v>Agricultural and Food Science Technicians</v>
          </cell>
          <cell r="C149">
            <v>9.5718999999999999E-2</v>
          </cell>
          <cell r="D149">
            <v>48480</v>
          </cell>
          <cell r="E149">
            <v>29730</v>
          </cell>
          <cell r="F149">
            <v>51160</v>
          </cell>
          <cell r="G149">
            <v>28550</v>
          </cell>
        </row>
        <row r="150">
          <cell r="A150" t="str">
            <v>19-4021</v>
          </cell>
          <cell r="B150" t="str">
            <v>Biological Technicians</v>
          </cell>
          <cell r="C150">
            <v>0.30123549999999999</v>
          </cell>
          <cell r="D150">
            <v>52000</v>
          </cell>
          <cell r="E150">
            <v>69620</v>
          </cell>
          <cell r="F150">
            <v>57510</v>
          </cell>
          <cell r="G150">
            <v>76190</v>
          </cell>
        </row>
        <row r="151">
          <cell r="A151" t="str">
            <v>19-4031</v>
          </cell>
          <cell r="B151" t="str">
            <v>Chemical Technicians</v>
          </cell>
          <cell r="C151">
            <v>6.2805700000000006E-2</v>
          </cell>
          <cell r="D151">
            <v>57790</v>
          </cell>
          <cell r="E151">
            <v>57540</v>
          </cell>
          <cell r="F151">
            <v>60390</v>
          </cell>
          <cell r="G151">
            <v>55640</v>
          </cell>
        </row>
        <row r="152">
          <cell r="A152" t="str">
            <v>19-4042</v>
          </cell>
          <cell r="B152" t="str">
            <v>Environmental Science and Protection Technicians, Including Health</v>
          </cell>
          <cell r="C152">
            <v>1.6945200000000001E-2</v>
          </cell>
          <cell r="D152">
            <v>58040</v>
          </cell>
          <cell r="E152">
            <v>34670</v>
          </cell>
          <cell r="F152">
            <v>55090</v>
          </cell>
          <cell r="G152">
            <v>39390</v>
          </cell>
        </row>
        <row r="153">
          <cell r="A153" t="str">
            <v>19-4043</v>
          </cell>
          <cell r="B153" t="str">
            <v>Geological and Petroleum Technicians</v>
          </cell>
          <cell r="C153">
            <v>8.3265900000000004E-2</v>
          </cell>
          <cell r="D153">
            <v>49490</v>
          </cell>
          <cell r="E153">
            <v>6980</v>
          </cell>
          <cell r="F153">
            <v>53350</v>
          </cell>
          <cell r="G153">
            <v>9710</v>
          </cell>
        </row>
        <row r="154">
          <cell r="A154" t="str">
            <v>19-4051</v>
          </cell>
          <cell r="B154" t="str">
            <v>Nuclear Technicians</v>
          </cell>
          <cell r="C154">
            <v>0.1696743</v>
          </cell>
          <cell r="D154">
            <v>48390</v>
          </cell>
          <cell r="E154">
            <v>6470</v>
          </cell>
          <cell r="F154">
            <v>110240</v>
          </cell>
          <cell r="G154">
            <v>5990</v>
          </cell>
        </row>
        <row r="155">
          <cell r="A155" t="str">
            <v>19-4061</v>
          </cell>
          <cell r="B155" t="str">
            <v>Social Science Research Assistants</v>
          </cell>
          <cell r="C155">
            <v>1.2046520000000001</v>
          </cell>
          <cell r="D155">
            <v>104240</v>
          </cell>
          <cell r="E155">
            <v>30640</v>
          </cell>
          <cell r="F155">
            <v>61990</v>
          </cell>
          <cell r="G155">
            <v>32940</v>
          </cell>
        </row>
        <row r="156">
          <cell r="A156" t="str">
            <v>19-4071</v>
          </cell>
          <cell r="B156" t="str">
            <v>Forest and Conservation Technicians</v>
          </cell>
          <cell r="C156">
            <v>-0.66723960000000004</v>
          </cell>
          <cell r="D156">
            <v>67440</v>
          </cell>
          <cell r="E156">
            <v>30410</v>
          </cell>
          <cell r="F156">
            <v>54560</v>
          </cell>
          <cell r="G156">
            <v>31080</v>
          </cell>
        </row>
        <row r="157">
          <cell r="A157" t="str">
            <v>19-4092</v>
          </cell>
          <cell r="B157" t="str">
            <v>Forensic Science Technicians</v>
          </cell>
          <cell r="C157">
            <v>0.24005180000000001</v>
          </cell>
          <cell r="D157">
            <v>54310</v>
          </cell>
          <cell r="E157">
            <v>19120</v>
          </cell>
          <cell r="F157">
            <v>72060</v>
          </cell>
          <cell r="G157">
            <v>19450</v>
          </cell>
        </row>
        <row r="158">
          <cell r="A158" t="str">
            <v>19-4099</v>
          </cell>
          <cell r="B158" t="str">
            <v>Life, Physical, and Social Science Technicians, All Other</v>
          </cell>
          <cell r="C158">
            <v>0.45010440000000002</v>
          </cell>
          <cell r="D158">
            <v>60130</v>
          </cell>
          <cell r="E158">
            <v>73910</v>
          </cell>
          <cell r="F158">
            <v>62280</v>
          </cell>
          <cell r="G158">
            <v>71400</v>
          </cell>
        </row>
        <row r="159">
          <cell r="A159" t="str">
            <v>19-5011</v>
          </cell>
          <cell r="B159" t="str">
            <v>Occupational Health and Safety Specialists</v>
          </cell>
          <cell r="C159">
            <v>0.83493709999999999</v>
          </cell>
          <cell r="D159">
            <v>61560</v>
          </cell>
          <cell r="E159">
            <v>140610</v>
          </cell>
          <cell r="F159">
            <v>90150</v>
          </cell>
          <cell r="G159">
            <v>128430</v>
          </cell>
        </row>
        <row r="160">
          <cell r="A160" t="str">
            <v>19-5012</v>
          </cell>
          <cell r="B160" t="str">
            <v>Occupational Health and Safety Technicians</v>
          </cell>
          <cell r="C160">
            <v>0.3996866</v>
          </cell>
          <cell r="D160">
            <v>48790</v>
          </cell>
          <cell r="E160">
            <v>30590</v>
          </cell>
          <cell r="F160">
            <v>61560</v>
          </cell>
          <cell r="G160">
            <v>31450</v>
          </cell>
        </row>
        <row r="161">
          <cell r="A161" t="str">
            <v>21-1012</v>
          </cell>
          <cell r="B161" t="str">
            <v>Educational, Vocational, and School Counselors</v>
          </cell>
          <cell r="C161">
            <v>0.97392869999999998</v>
          </cell>
          <cell r="D161">
            <v>58440</v>
          </cell>
          <cell r="E161">
            <v>353310</v>
          </cell>
          <cell r="F161">
            <v>64330</v>
          </cell>
          <cell r="G161">
            <v>342350</v>
          </cell>
        </row>
        <row r="162">
          <cell r="A162" t="str">
            <v>21-1013</v>
          </cell>
          <cell r="B162" t="str">
            <v>Marriage and Family Therapists</v>
          </cell>
          <cell r="C162">
            <v>1.367434</v>
          </cell>
          <cell r="D162">
            <v>65140</v>
          </cell>
          <cell r="E162">
            <v>66740</v>
          </cell>
          <cell r="F162">
            <v>66940</v>
          </cell>
          <cell r="G162">
            <v>65870</v>
          </cell>
        </row>
        <row r="163">
          <cell r="A163" t="str">
            <v>21-1015</v>
          </cell>
          <cell r="B163" t="str">
            <v>Rehabilitation Counselors</v>
          </cell>
          <cell r="C163">
            <v>0.50250139999999999</v>
          </cell>
          <cell r="D163">
            <v>63780</v>
          </cell>
          <cell r="E163">
            <v>94740</v>
          </cell>
          <cell r="F163">
            <v>46850</v>
          </cell>
          <cell r="G163">
            <v>88930</v>
          </cell>
        </row>
        <row r="164">
          <cell r="A164" t="str">
            <v>21-1018</v>
          </cell>
          <cell r="B164" t="str">
            <v>Substance Abuse and Behavioral Disorder Counselors</v>
          </cell>
          <cell r="C164">
            <v>1.0308409999999999</v>
          </cell>
          <cell r="D164">
            <v>83910</v>
          </cell>
          <cell r="E164">
            <v>491930</v>
          </cell>
          <cell r="F164">
            <v>59350</v>
          </cell>
          <cell r="G164">
            <v>440380</v>
          </cell>
        </row>
        <row r="165">
          <cell r="A165" t="str">
            <v>21-1021</v>
          </cell>
          <cell r="B165" t="str">
            <v>Child, Family, and School Social Workers</v>
          </cell>
          <cell r="C165">
            <v>0.77617069999999999</v>
          </cell>
          <cell r="D165">
            <v>46110</v>
          </cell>
          <cell r="E165">
            <v>392550</v>
          </cell>
          <cell r="F165">
            <v>59550</v>
          </cell>
          <cell r="G165">
            <v>382960</v>
          </cell>
        </row>
        <row r="166">
          <cell r="A166" t="str">
            <v>21-1022</v>
          </cell>
          <cell r="B166" t="str">
            <v>Medical and Public Health Social Workers</v>
          </cell>
          <cell r="C166">
            <v>0.93396480000000004</v>
          </cell>
          <cell r="D166">
            <v>59190</v>
          </cell>
          <cell r="E166">
            <v>187630</v>
          </cell>
          <cell r="F166">
            <v>67880</v>
          </cell>
          <cell r="G166">
            <v>185940</v>
          </cell>
        </row>
        <row r="167">
          <cell r="A167" t="str">
            <v>21-1023</v>
          </cell>
          <cell r="B167" t="str">
            <v>Mental Health and Substance Abuse Social Workers</v>
          </cell>
          <cell r="C167">
            <v>1.119216</v>
          </cell>
          <cell r="D167">
            <v>58570</v>
          </cell>
          <cell r="E167">
            <v>132810</v>
          </cell>
          <cell r="F167">
            <v>60280</v>
          </cell>
          <cell r="G167">
            <v>125910</v>
          </cell>
        </row>
        <row r="168">
          <cell r="A168" t="str">
            <v>21-1091</v>
          </cell>
          <cell r="B168" t="str">
            <v>Health Educators</v>
          </cell>
          <cell r="C168">
            <v>0.691658</v>
          </cell>
          <cell r="D168">
            <v>68090</v>
          </cell>
          <cell r="E168">
            <v>65690</v>
          </cell>
          <cell r="F168">
            <v>64070</v>
          </cell>
          <cell r="G168">
            <v>65150</v>
          </cell>
        </row>
        <row r="169">
          <cell r="A169" t="str">
            <v>21-1092</v>
          </cell>
          <cell r="B169" t="str">
            <v>Probation Officers and Correctional Treatment Specialists</v>
          </cell>
          <cell r="C169">
            <v>0.52724479999999996</v>
          </cell>
          <cell r="D169">
            <v>60060</v>
          </cell>
          <cell r="E169">
            <v>89390</v>
          </cell>
          <cell r="F169">
            <v>66270</v>
          </cell>
          <cell r="G169">
            <v>86820</v>
          </cell>
        </row>
        <row r="170">
          <cell r="A170" t="str">
            <v>21-1093</v>
          </cell>
          <cell r="B170" t="str">
            <v>Social and Human Service Assistants</v>
          </cell>
          <cell r="C170">
            <v>0.46522550000000001</v>
          </cell>
          <cell r="D170">
            <v>63000</v>
          </cell>
          <cell r="E170">
            <v>437860</v>
          </cell>
          <cell r="F170">
            <v>45930</v>
          </cell>
          <cell r="G170">
            <v>424220</v>
          </cell>
        </row>
        <row r="171">
          <cell r="A171" t="str">
            <v>21-1094</v>
          </cell>
          <cell r="B171" t="str">
            <v>Community Health Workers</v>
          </cell>
          <cell r="C171">
            <v>3.71229E-2</v>
          </cell>
          <cell r="D171">
            <v>64520</v>
          </cell>
          <cell r="E171">
            <v>61660</v>
          </cell>
          <cell r="F171">
            <v>51850</v>
          </cell>
          <cell r="G171">
            <v>60730</v>
          </cell>
        </row>
        <row r="172">
          <cell r="A172" t="str">
            <v>21-2011</v>
          </cell>
          <cell r="B172" t="str">
            <v>Clergy</v>
          </cell>
          <cell r="C172">
            <v>1.282559</v>
          </cell>
          <cell r="D172">
            <v>45120</v>
          </cell>
          <cell r="E172">
            <v>57200</v>
          </cell>
          <cell r="F172">
            <v>60810</v>
          </cell>
          <cell r="G172">
            <v>58080</v>
          </cell>
        </row>
        <row r="173">
          <cell r="A173" t="str">
            <v>21-2021</v>
          </cell>
          <cell r="B173" t="str">
            <v>Directors, Religious Activities and Education</v>
          </cell>
          <cell r="C173">
            <v>1.2109220000000001</v>
          </cell>
          <cell r="D173">
            <v>51030</v>
          </cell>
          <cell r="E173">
            <v>22160</v>
          </cell>
          <cell r="F173">
            <v>52100</v>
          </cell>
          <cell r="G173">
            <v>21460</v>
          </cell>
        </row>
        <row r="174">
          <cell r="A174" t="str">
            <v>23-1011</v>
          </cell>
          <cell r="B174" t="str">
            <v>Lawyers</v>
          </cell>
          <cell r="C174">
            <v>1.328783</v>
          </cell>
          <cell r="D174">
            <v>60820</v>
          </cell>
          <cell r="E174">
            <v>754500</v>
          </cell>
          <cell r="F174">
            <v>159670</v>
          </cell>
          <cell r="G174">
            <v>747750</v>
          </cell>
        </row>
        <row r="175">
          <cell r="A175" t="str">
            <v>23-1012</v>
          </cell>
          <cell r="B175" t="str">
            <v>Judicial Law Clerks</v>
          </cell>
          <cell r="C175">
            <v>1.4629730000000001</v>
          </cell>
          <cell r="D175">
            <v>54840</v>
          </cell>
          <cell r="E175">
            <v>13290</v>
          </cell>
          <cell r="F175">
            <v>64920</v>
          </cell>
          <cell r="G175">
            <v>13220</v>
          </cell>
        </row>
        <row r="176">
          <cell r="A176" t="str">
            <v>23-1021</v>
          </cell>
          <cell r="B176" t="str">
            <v>Administrative Law Judges, Adjudicators, and Hearing Officers</v>
          </cell>
          <cell r="C176">
            <v>1.374714</v>
          </cell>
          <cell r="D176">
            <v>151160</v>
          </cell>
          <cell r="E176">
            <v>16370</v>
          </cell>
          <cell r="F176">
            <v>117860</v>
          </cell>
          <cell r="G176">
            <v>16230</v>
          </cell>
        </row>
        <row r="177">
          <cell r="A177" t="str">
            <v>23-1022</v>
          </cell>
          <cell r="B177" t="str">
            <v>Arbitrators, Mediators, and Conciliators</v>
          </cell>
          <cell r="C177">
            <v>1.4315929999999999</v>
          </cell>
          <cell r="D177">
            <v>67710</v>
          </cell>
          <cell r="E177">
            <v>9210</v>
          </cell>
          <cell r="F177">
            <v>75530</v>
          </cell>
          <cell r="G177">
            <v>7860</v>
          </cell>
        </row>
        <row r="178">
          <cell r="A178" t="str">
            <v>23-1023</v>
          </cell>
          <cell r="B178" t="str">
            <v>Judges, Magistrate Judges, and Magistrates</v>
          </cell>
          <cell r="C178">
            <v>1.496494</v>
          </cell>
          <cell r="D178">
            <v>115230</v>
          </cell>
          <cell r="E178">
            <v>24030</v>
          </cell>
          <cell r="F178">
            <v>153990</v>
          </cell>
          <cell r="G178">
            <v>25580</v>
          </cell>
        </row>
        <row r="179">
          <cell r="A179" t="str">
            <v>23-2011</v>
          </cell>
          <cell r="B179" t="str">
            <v>Paralegals and Legal Assistants</v>
          </cell>
          <cell r="C179">
            <v>1.292055</v>
          </cell>
          <cell r="D179">
            <v>67710</v>
          </cell>
          <cell r="E179">
            <v>392880</v>
          </cell>
          <cell r="F179">
            <v>62890</v>
          </cell>
          <cell r="G179">
            <v>367220</v>
          </cell>
        </row>
        <row r="180">
          <cell r="A180" t="str">
            <v>23-2093</v>
          </cell>
          <cell r="B180" t="str">
            <v>Title Examiners, Abstractors, and Searchers</v>
          </cell>
          <cell r="C180">
            <v>1.279954</v>
          </cell>
          <cell r="D180">
            <v>61010</v>
          </cell>
          <cell r="E180">
            <v>48580</v>
          </cell>
          <cell r="F180">
            <v>58650</v>
          </cell>
          <cell r="G180">
            <v>48170</v>
          </cell>
        </row>
        <row r="181">
          <cell r="A181" t="str">
            <v>25-1011</v>
          </cell>
          <cell r="B181" t="str">
            <v>Business Teachers, Postsecondary</v>
          </cell>
          <cell r="C181">
            <v>1.3493139999999999</v>
          </cell>
          <cell r="D181">
            <v>41460</v>
          </cell>
          <cell r="E181">
            <v>82150</v>
          </cell>
          <cell r="F181">
            <v>99080</v>
          </cell>
          <cell r="G181">
            <v>81780</v>
          </cell>
        </row>
        <row r="182">
          <cell r="A182" t="str">
            <v>25-1021</v>
          </cell>
          <cell r="B182" t="str">
            <v>Computer Science Teachers, Postsecondary</v>
          </cell>
          <cell r="C182">
            <v>1.2777780000000001</v>
          </cell>
          <cell r="D182">
            <v>97270</v>
          </cell>
          <cell r="E182">
            <v>35480</v>
          </cell>
          <cell r="F182">
            <v>96980</v>
          </cell>
          <cell r="G182">
            <v>36240</v>
          </cell>
        </row>
        <row r="183">
          <cell r="A183" t="str">
            <v>25-1022</v>
          </cell>
          <cell r="B183" t="str">
            <v>Mathematical Science Teachers, Postsecondary</v>
          </cell>
          <cell r="C183">
            <v>1.338676</v>
          </cell>
          <cell r="D183">
            <v>96690</v>
          </cell>
          <cell r="E183">
            <v>47670</v>
          </cell>
          <cell r="F183">
            <v>79940</v>
          </cell>
          <cell r="G183">
            <v>48820</v>
          </cell>
        </row>
        <row r="184">
          <cell r="A184" t="str">
            <v>25-1031</v>
          </cell>
          <cell r="B184" t="str">
            <v>Architecture Teachers, Postsecondary</v>
          </cell>
          <cell r="C184">
            <v>1.2220219999999999</v>
          </cell>
          <cell r="D184">
            <v>79350</v>
          </cell>
          <cell r="E184">
            <v>7700</v>
          </cell>
          <cell r="F184">
            <v>96870</v>
          </cell>
          <cell r="G184">
            <v>9120</v>
          </cell>
        </row>
        <row r="185">
          <cell r="A185" t="str">
            <v>25-1032</v>
          </cell>
          <cell r="B185" t="str">
            <v>Engineering Teachers, Postsecondary</v>
          </cell>
          <cell r="C185">
            <v>1.3511329999999999</v>
          </cell>
          <cell r="D185">
            <v>37230</v>
          </cell>
          <cell r="E185">
            <v>40270</v>
          </cell>
          <cell r="F185">
            <v>109270</v>
          </cell>
          <cell r="G185">
            <v>39910</v>
          </cell>
        </row>
        <row r="186">
          <cell r="A186" t="str">
            <v>25-1041</v>
          </cell>
          <cell r="B186" t="str">
            <v>Agricultural Sciences Teachers, Postsecondary</v>
          </cell>
          <cell r="C186">
            <v>0.75466849999999996</v>
          </cell>
          <cell r="D186">
            <v>106120</v>
          </cell>
          <cell r="E186">
            <v>8920</v>
          </cell>
          <cell r="F186">
            <v>98700</v>
          </cell>
          <cell r="G186">
            <v>8700</v>
          </cell>
        </row>
        <row r="187">
          <cell r="A187" t="str">
            <v>25-1042</v>
          </cell>
          <cell r="B187" t="str">
            <v>Biological Science Teachers, Postsecondary</v>
          </cell>
          <cell r="C187">
            <v>1.2276769999999999</v>
          </cell>
          <cell r="D187">
            <v>86350</v>
          </cell>
          <cell r="E187">
            <v>50190</v>
          </cell>
          <cell r="F187">
            <v>84620</v>
          </cell>
          <cell r="G187">
            <v>53250</v>
          </cell>
        </row>
        <row r="188">
          <cell r="A188" t="str">
            <v>25-1043</v>
          </cell>
          <cell r="B188" t="str">
            <v>Forestry and Conservation Science Teachers, Postsecondary</v>
          </cell>
          <cell r="C188">
            <v>1.260278</v>
          </cell>
          <cell r="D188">
            <v>83460</v>
          </cell>
          <cell r="E188">
            <v>1520</v>
          </cell>
          <cell r="F188">
            <v>101420</v>
          </cell>
          <cell r="G188">
            <v>1310</v>
          </cell>
        </row>
        <row r="189">
          <cell r="A189" t="str">
            <v>25-1051</v>
          </cell>
          <cell r="B189" t="str">
            <v>Atmospheric, Earth, Marine, and Space Sciences Teachers, Postsecondary</v>
          </cell>
          <cell r="C189">
            <v>1.3061560000000001</v>
          </cell>
          <cell r="D189">
            <v>100830</v>
          </cell>
          <cell r="E189">
            <v>9900</v>
          </cell>
          <cell r="F189">
            <v>103170</v>
          </cell>
          <cell r="G189">
            <v>11480</v>
          </cell>
        </row>
        <row r="190">
          <cell r="A190" t="str">
            <v>25-1052</v>
          </cell>
          <cell r="B190" t="str">
            <v>Chemistry Teachers, Postsecondary</v>
          </cell>
          <cell r="C190">
            <v>1.333947</v>
          </cell>
          <cell r="D190">
            <v>101390</v>
          </cell>
          <cell r="E190">
            <v>19980</v>
          </cell>
          <cell r="F190">
            <v>93250</v>
          </cell>
          <cell r="G190">
            <v>20390</v>
          </cell>
        </row>
        <row r="191">
          <cell r="A191" t="str">
            <v>25-1053</v>
          </cell>
          <cell r="B191" t="str">
            <v>Environmental Science Teachers, Postsecondary</v>
          </cell>
          <cell r="C191">
            <v>1.3475189999999999</v>
          </cell>
          <cell r="D191">
            <v>86220</v>
          </cell>
          <cell r="E191">
            <v>6690</v>
          </cell>
          <cell r="F191">
            <v>94980</v>
          </cell>
          <cell r="G191">
            <v>7130</v>
          </cell>
        </row>
        <row r="192">
          <cell r="A192" t="str">
            <v>25-1054</v>
          </cell>
          <cell r="B192" t="str">
            <v>Physics Teachers, Postsecondary</v>
          </cell>
          <cell r="C192">
            <v>1.0441910000000001</v>
          </cell>
          <cell r="D192">
            <v>87710</v>
          </cell>
          <cell r="E192">
            <v>13090</v>
          </cell>
          <cell r="F192">
            <v>100310</v>
          </cell>
          <cell r="G192">
            <v>13590</v>
          </cell>
        </row>
        <row r="193">
          <cell r="A193" t="str">
            <v>25-1061</v>
          </cell>
          <cell r="B193" t="str">
            <v>Anthropology and Archeology Teachers, Postsecondary</v>
          </cell>
          <cell r="C193">
            <v>1.3216939999999999</v>
          </cell>
          <cell r="D193">
            <v>97360</v>
          </cell>
          <cell r="E193">
            <v>5240</v>
          </cell>
          <cell r="F193">
            <v>99650</v>
          </cell>
          <cell r="G193">
            <v>5260</v>
          </cell>
        </row>
        <row r="194">
          <cell r="A194" t="str">
            <v>25-1062</v>
          </cell>
          <cell r="B194" t="str">
            <v>Area, Ethnic, and Cultural Studies Teachers, Postsecondary</v>
          </cell>
          <cell r="C194">
            <v>1.3086990000000001</v>
          </cell>
          <cell r="D194">
            <v>95770</v>
          </cell>
          <cell r="E194">
            <v>11300</v>
          </cell>
          <cell r="F194">
            <v>85020</v>
          </cell>
          <cell r="G194">
            <v>11430</v>
          </cell>
        </row>
        <row r="195">
          <cell r="A195" t="str">
            <v>25-1063</v>
          </cell>
          <cell r="B195" t="str">
            <v>Economics Teachers, Postsecondary</v>
          </cell>
          <cell r="C195">
            <v>1.3190120000000001</v>
          </cell>
          <cell r="D195">
            <v>84290</v>
          </cell>
          <cell r="E195">
            <v>11560</v>
          </cell>
          <cell r="F195">
            <v>123920</v>
          </cell>
          <cell r="G195">
            <v>12420</v>
          </cell>
        </row>
        <row r="196">
          <cell r="A196" t="str">
            <v>25-1064</v>
          </cell>
          <cell r="B196" t="str">
            <v>Geography Teachers, Postsecondary</v>
          </cell>
          <cell r="C196">
            <v>1.318899</v>
          </cell>
          <cell r="D196">
            <v>119980</v>
          </cell>
          <cell r="E196">
            <v>3330</v>
          </cell>
          <cell r="F196">
            <v>97590</v>
          </cell>
          <cell r="G196">
            <v>3290</v>
          </cell>
        </row>
        <row r="197">
          <cell r="A197" t="str">
            <v>25-1065</v>
          </cell>
          <cell r="B197" t="str">
            <v>Political Science Teachers, Postsecondary</v>
          </cell>
          <cell r="C197">
            <v>1.3683970000000001</v>
          </cell>
          <cell r="D197">
            <v>86730</v>
          </cell>
          <cell r="E197">
            <v>16970</v>
          </cell>
          <cell r="F197">
            <v>98070</v>
          </cell>
          <cell r="G197">
            <v>17170</v>
          </cell>
        </row>
        <row r="198">
          <cell r="A198" t="str">
            <v>25-1066</v>
          </cell>
          <cell r="B198" t="str">
            <v>Psychology Teachers, Postsecondary</v>
          </cell>
          <cell r="C198">
            <v>1.3336600000000001</v>
          </cell>
          <cell r="D198">
            <v>94680</v>
          </cell>
          <cell r="E198">
            <v>41530</v>
          </cell>
          <cell r="F198">
            <v>80340</v>
          </cell>
          <cell r="G198">
            <v>41610</v>
          </cell>
        </row>
        <row r="199">
          <cell r="A199" t="str">
            <v>25-1067</v>
          </cell>
          <cell r="B199" t="str">
            <v>Sociology Teachers, Postsecondary</v>
          </cell>
          <cell r="C199">
            <v>1.349229</v>
          </cell>
          <cell r="D199">
            <v>80330</v>
          </cell>
          <cell r="E199">
            <v>11850</v>
          </cell>
          <cell r="F199">
            <v>84290</v>
          </cell>
          <cell r="G199">
            <v>12380</v>
          </cell>
        </row>
        <row r="200">
          <cell r="A200" t="str">
            <v>25-1071</v>
          </cell>
          <cell r="B200" t="str">
            <v>Health Specialties Teachers, Postsecondary</v>
          </cell>
          <cell r="C200">
            <v>0.92475399999999996</v>
          </cell>
          <cell r="D200">
            <v>82540</v>
          </cell>
          <cell r="E200">
            <v>221270</v>
          </cell>
          <cell r="F200">
            <v>107310</v>
          </cell>
          <cell r="G200">
            <v>229720</v>
          </cell>
        </row>
        <row r="201">
          <cell r="A201" t="str">
            <v>25-1072</v>
          </cell>
          <cell r="B201" t="str">
            <v>Nursing Instructors and Teachers, Postsecondary</v>
          </cell>
          <cell r="C201">
            <v>0.51706819999999998</v>
          </cell>
          <cell r="D201">
            <v>105620</v>
          </cell>
          <cell r="E201">
            <v>77960</v>
          </cell>
          <cell r="F201">
            <v>80250</v>
          </cell>
          <cell r="G201">
            <v>74250</v>
          </cell>
        </row>
        <row r="202">
          <cell r="A202" t="str">
            <v>25-1081</v>
          </cell>
          <cell r="B202" t="str">
            <v>Education Teachers, Postsecondary</v>
          </cell>
          <cell r="C202">
            <v>1.1929879999999999</v>
          </cell>
          <cell r="D202">
            <v>79940</v>
          </cell>
          <cell r="E202">
            <v>60830</v>
          </cell>
          <cell r="F202">
            <v>75350</v>
          </cell>
          <cell r="G202">
            <v>59090</v>
          </cell>
        </row>
        <row r="203">
          <cell r="A203" t="str">
            <v>25-1082</v>
          </cell>
          <cell r="B203" t="str">
            <v>Library Science Teachers, Postsecondary</v>
          </cell>
          <cell r="C203">
            <v>1.3862920000000001</v>
          </cell>
          <cell r="D203">
            <v>72090</v>
          </cell>
          <cell r="E203">
            <v>3630</v>
          </cell>
          <cell r="F203">
            <v>80340</v>
          </cell>
          <cell r="G203">
            <v>4100</v>
          </cell>
        </row>
        <row r="204">
          <cell r="A204" t="str">
            <v>25-1111</v>
          </cell>
          <cell r="B204" t="str">
            <v>Criminal Justice and Law Enforcement Teachers, Postsecondary</v>
          </cell>
          <cell r="C204">
            <v>1.389999</v>
          </cell>
          <cell r="D204">
            <v>78630</v>
          </cell>
          <cell r="E204">
            <v>13150</v>
          </cell>
          <cell r="F204">
            <v>76590</v>
          </cell>
          <cell r="G204">
            <v>13560</v>
          </cell>
        </row>
        <row r="205">
          <cell r="A205" t="str">
            <v>25-1112</v>
          </cell>
          <cell r="B205" t="str">
            <v>Law Teachers, Postsecondary</v>
          </cell>
          <cell r="C205">
            <v>1.3564499999999999</v>
          </cell>
          <cell r="D205">
            <v>71470</v>
          </cell>
          <cell r="E205">
            <v>20060</v>
          </cell>
          <cell r="F205">
            <v>128500</v>
          </cell>
          <cell r="G205">
            <v>22800</v>
          </cell>
        </row>
        <row r="206">
          <cell r="A206" t="str">
            <v>25-1113</v>
          </cell>
          <cell r="B206" t="str">
            <v>Social Work Teachers, Postsecondary</v>
          </cell>
          <cell r="C206">
            <v>1.3473269999999999</v>
          </cell>
          <cell r="D206">
            <v>126650</v>
          </cell>
          <cell r="E206">
            <v>12610</v>
          </cell>
          <cell r="F206">
            <v>77570</v>
          </cell>
          <cell r="G206">
            <v>13350</v>
          </cell>
        </row>
        <row r="207">
          <cell r="A207" t="str">
            <v>25-1121</v>
          </cell>
          <cell r="B207" t="str">
            <v>Art, Drama, and Music Teachers, Postsecondary</v>
          </cell>
          <cell r="C207">
            <v>0.75827690000000003</v>
          </cell>
          <cell r="D207">
            <v>76210</v>
          </cell>
          <cell r="E207">
            <v>93560</v>
          </cell>
          <cell r="F207">
            <v>78620</v>
          </cell>
          <cell r="G207">
            <v>97890</v>
          </cell>
        </row>
        <row r="208">
          <cell r="A208" t="str">
            <v>25-1122</v>
          </cell>
          <cell r="B208" t="str">
            <v>Communications Teachers, Postsecondary</v>
          </cell>
          <cell r="C208">
            <v>1.3474349999999999</v>
          </cell>
          <cell r="D208">
            <v>80190</v>
          </cell>
          <cell r="E208">
            <v>29420</v>
          </cell>
          <cell r="F208">
            <v>78580</v>
          </cell>
          <cell r="G208">
            <v>29260</v>
          </cell>
        </row>
        <row r="209">
          <cell r="A209" t="str">
            <v>25-1123</v>
          </cell>
          <cell r="B209" t="str">
            <v>English Language and Literature Teachers, Postsecondary</v>
          </cell>
          <cell r="C209">
            <v>1.4178329999999999</v>
          </cell>
          <cell r="D209">
            <v>78270</v>
          </cell>
          <cell r="E209">
            <v>57720</v>
          </cell>
          <cell r="F209">
            <v>78760</v>
          </cell>
          <cell r="G209">
            <v>59590</v>
          </cell>
        </row>
        <row r="210">
          <cell r="A210" t="str">
            <v>25-1124</v>
          </cell>
          <cell r="B210" t="str">
            <v>Foreign Language and Literature Teachers, Postsecondary</v>
          </cell>
          <cell r="C210">
            <v>1.33412</v>
          </cell>
          <cell r="D210">
            <v>78270</v>
          </cell>
          <cell r="E210">
            <v>19830</v>
          </cell>
          <cell r="F210">
            <v>79350</v>
          </cell>
          <cell r="G210">
            <v>21170</v>
          </cell>
        </row>
        <row r="211">
          <cell r="A211" t="str">
            <v>25-1125</v>
          </cell>
          <cell r="B211" t="str">
            <v>History Teachers, Postsecondary</v>
          </cell>
          <cell r="C211">
            <v>1.4374899999999999</v>
          </cell>
          <cell r="D211">
            <v>77010</v>
          </cell>
          <cell r="E211">
            <v>18790</v>
          </cell>
          <cell r="F211">
            <v>83820</v>
          </cell>
          <cell r="G211">
            <v>19860</v>
          </cell>
        </row>
        <row r="212">
          <cell r="A212" t="str">
            <v>25-1126</v>
          </cell>
          <cell r="B212" t="str">
            <v>Philosophy and Religion Teachers, Postsecondary</v>
          </cell>
          <cell r="C212">
            <v>1.3635219999999999</v>
          </cell>
          <cell r="D212">
            <v>81500</v>
          </cell>
          <cell r="E212">
            <v>20460</v>
          </cell>
          <cell r="F212">
            <v>80260</v>
          </cell>
          <cell r="G212">
            <v>20840</v>
          </cell>
        </row>
        <row r="213">
          <cell r="A213" t="str">
            <v>25-1192</v>
          </cell>
          <cell r="B213" t="str">
            <v>Home Economics Teachers, Postsecondary</v>
          </cell>
          <cell r="C213">
            <v>1.211652</v>
          </cell>
          <cell r="D213">
            <v>77280</v>
          </cell>
          <cell r="E213">
            <v>2770</v>
          </cell>
          <cell r="F213">
            <v>75870</v>
          </cell>
          <cell r="G213">
            <v>2630</v>
          </cell>
        </row>
        <row r="214">
          <cell r="A214" t="str">
            <v>25-1193</v>
          </cell>
          <cell r="B214" t="str">
            <v>Recreation and Fitness Studies Teachers, Postsecondary</v>
          </cell>
          <cell r="C214">
            <v>1.16489</v>
          </cell>
          <cell r="D214">
            <v>75890</v>
          </cell>
          <cell r="E214">
            <v>12630</v>
          </cell>
          <cell r="F214">
            <v>77270</v>
          </cell>
          <cell r="G214">
            <v>12680</v>
          </cell>
        </row>
        <row r="215">
          <cell r="A215" t="str">
            <v>25-1194</v>
          </cell>
          <cell r="B215" t="str">
            <v>Vocational Education Teachers, Postsecondary</v>
          </cell>
          <cell r="C215">
            <v>0.16221849999999999</v>
          </cell>
          <cell r="D215">
            <v>61490</v>
          </cell>
          <cell r="E215">
            <v>114110</v>
          </cell>
          <cell r="F215">
            <v>63820</v>
          </cell>
          <cell r="G215">
            <v>111150</v>
          </cell>
        </row>
        <row r="216">
          <cell r="A216" t="str">
            <v>25-2011</v>
          </cell>
          <cell r="B216" t="str">
            <v>Preschool Teachers, Except Special Education</v>
          </cell>
          <cell r="C216">
            <v>3.06372E-2</v>
          </cell>
          <cell r="D216">
            <v>37120</v>
          </cell>
          <cell r="E216">
            <v>478780</v>
          </cell>
          <cell r="F216">
            <v>38140</v>
          </cell>
          <cell r="G216">
            <v>445080</v>
          </cell>
        </row>
        <row r="217">
          <cell r="A217" t="str">
            <v>25-2012</v>
          </cell>
          <cell r="B217" t="str">
            <v>Kindergarten Teachers, Except Special Education</v>
          </cell>
          <cell r="C217">
            <v>0.36440470000000003</v>
          </cell>
          <cell r="D217">
            <v>61430</v>
          </cell>
          <cell r="E217">
            <v>108870</v>
          </cell>
          <cell r="F217">
            <v>62680</v>
          </cell>
          <cell r="G217">
            <v>114410</v>
          </cell>
        </row>
        <row r="218">
          <cell r="A218" t="str">
            <v>25-2021</v>
          </cell>
          <cell r="B218" t="str">
            <v>Elementary School Teachers, Except Special Education</v>
          </cell>
          <cell r="C218">
            <v>0.88694910000000005</v>
          </cell>
          <cell r="D218">
            <v>62340</v>
          </cell>
          <cell r="E218">
            <v>1388390</v>
          </cell>
          <cell r="F218">
            <v>63970</v>
          </cell>
          <cell r="G218">
            <v>1393310</v>
          </cell>
        </row>
        <row r="219">
          <cell r="A219" t="str">
            <v>25-2022</v>
          </cell>
          <cell r="B219" t="str">
            <v>Middle School Teachers, Except Special and Vocational Education</v>
          </cell>
          <cell r="C219">
            <v>1.2864450000000001</v>
          </cell>
          <cell r="D219">
            <v>62970</v>
          </cell>
          <cell r="E219">
            <v>620090</v>
          </cell>
          <cell r="F219">
            <v>64370</v>
          </cell>
          <cell r="G219">
            <v>620370</v>
          </cell>
        </row>
        <row r="220">
          <cell r="A220" t="str">
            <v>25-2023</v>
          </cell>
          <cell r="B220" t="str">
            <v>Vocational Education Teachers, Middle School</v>
          </cell>
          <cell r="C220">
            <v>0.51991909999999997</v>
          </cell>
          <cell r="D220">
            <v>63620</v>
          </cell>
          <cell r="E220">
            <v>16870</v>
          </cell>
          <cell r="F220">
            <v>65030</v>
          </cell>
          <cell r="G220">
            <v>14200</v>
          </cell>
        </row>
        <row r="221">
          <cell r="A221" t="str">
            <v>25-2031</v>
          </cell>
          <cell r="B221" t="str">
            <v>Secondary School Teachers, Except Special and Vocational Education</v>
          </cell>
          <cell r="C221">
            <v>1.191325</v>
          </cell>
          <cell r="D221">
            <v>64580</v>
          </cell>
          <cell r="E221">
            <v>1065210</v>
          </cell>
          <cell r="F221">
            <v>72040</v>
          </cell>
          <cell r="G221">
            <v>1072540</v>
          </cell>
        </row>
        <row r="222">
          <cell r="A222" t="str">
            <v>25-2032</v>
          </cell>
          <cell r="B222" t="str">
            <v>Vocational Education Teachers, Secondary School</v>
          </cell>
          <cell r="C222">
            <v>0.37345050000000002</v>
          </cell>
          <cell r="D222">
            <v>63910</v>
          </cell>
          <cell r="E222">
            <v>111420</v>
          </cell>
          <cell r="F222">
            <v>66270</v>
          </cell>
          <cell r="G222">
            <v>104450</v>
          </cell>
        </row>
        <row r="223">
          <cell r="A223" t="str">
            <v>25-2051</v>
          </cell>
          <cell r="B223" t="str">
            <v>Special Education Teachers, Preschool</v>
          </cell>
          <cell r="C223">
            <v>0.37505640000000001</v>
          </cell>
          <cell r="D223">
            <v>62190</v>
          </cell>
          <cell r="E223">
            <v>29510</v>
          </cell>
          <cell r="F223">
            <v>64830</v>
          </cell>
          <cell r="G223">
            <v>28200</v>
          </cell>
        </row>
        <row r="224">
          <cell r="A224" t="str">
            <v>25-2052</v>
          </cell>
          <cell r="B224" t="str">
            <v>Special Education Teachers, Kindergarten and Elementary School</v>
          </cell>
          <cell r="C224">
            <v>0.73574859999999997</v>
          </cell>
          <cell r="D224">
            <v>63000</v>
          </cell>
          <cell r="E224">
            <v>260870</v>
          </cell>
          <cell r="F224">
            <v>65120</v>
          </cell>
          <cell r="G224">
            <v>231570</v>
          </cell>
        </row>
        <row r="225">
          <cell r="A225" t="str">
            <v>25-2057</v>
          </cell>
          <cell r="B225" t="str">
            <v>Special Education Teachers, Middle School</v>
          </cell>
          <cell r="C225">
            <v>1.2960719999999999</v>
          </cell>
          <cell r="D225">
            <v>64880</v>
          </cell>
          <cell r="E225">
            <v>95200</v>
          </cell>
          <cell r="F225">
            <v>66810</v>
          </cell>
          <cell r="G225">
            <v>95330</v>
          </cell>
        </row>
        <row r="226">
          <cell r="A226" t="str">
            <v>25-2058</v>
          </cell>
          <cell r="B226" t="str">
            <v>Special Education Teachers, Secondary School</v>
          </cell>
          <cell r="C226">
            <v>0.95876530000000004</v>
          </cell>
          <cell r="D226">
            <v>69590</v>
          </cell>
          <cell r="E226">
            <v>163930</v>
          </cell>
          <cell r="F226">
            <v>74260</v>
          </cell>
          <cell r="G226">
            <v>162780</v>
          </cell>
        </row>
        <row r="227">
          <cell r="A227" t="str">
            <v>25-2059</v>
          </cell>
          <cell r="B227" t="str">
            <v>Special Education Teachers, All Other</v>
          </cell>
          <cell r="C227">
            <v>-0.66329170000000004</v>
          </cell>
          <cell r="D227">
            <v>67430</v>
          </cell>
          <cell r="E227">
            <v>33930</v>
          </cell>
          <cell r="F227">
            <v>76580</v>
          </cell>
          <cell r="G227">
            <v>39350</v>
          </cell>
        </row>
        <row r="228">
          <cell r="A228" t="str">
            <v>25-3011</v>
          </cell>
          <cell r="B228" t="str">
            <v>Adult Literacy, Remedial Education, and GED Teachers and Instructors</v>
          </cell>
          <cell r="C228">
            <v>1.348951</v>
          </cell>
          <cell r="D228">
            <v>59950</v>
          </cell>
          <cell r="E228">
            <v>37310</v>
          </cell>
          <cell r="F228">
            <v>61540</v>
          </cell>
          <cell r="G228">
            <v>36260</v>
          </cell>
        </row>
        <row r="229">
          <cell r="A229" t="str">
            <v>25-3021</v>
          </cell>
          <cell r="B229" t="str">
            <v>Self-Enrichment Education Teachers</v>
          </cell>
          <cell r="C229">
            <v>0.52635200000000004</v>
          </cell>
          <cell r="D229">
            <v>45590</v>
          </cell>
          <cell r="E229">
            <v>332110</v>
          </cell>
          <cell r="F229">
            <v>46800</v>
          </cell>
          <cell r="G229">
            <v>308520</v>
          </cell>
        </row>
        <row r="230">
          <cell r="A230" t="str">
            <v>25-3099</v>
          </cell>
          <cell r="B230" t="str">
            <v>Teachers and Instructors, All Other</v>
          </cell>
          <cell r="C230">
            <v>1.3253299999999999</v>
          </cell>
          <cell r="D230">
            <v>64690</v>
          </cell>
          <cell r="E230">
            <v>113790</v>
          </cell>
          <cell r="F230">
            <v>66140</v>
          </cell>
          <cell r="G230">
            <v>125010</v>
          </cell>
        </row>
        <row r="231">
          <cell r="A231" t="str">
            <v>25-4011</v>
          </cell>
          <cell r="B231" t="str">
            <v>Archivists</v>
          </cell>
          <cell r="C231">
            <v>0.67656019999999994</v>
          </cell>
          <cell r="D231">
            <v>61570</v>
          </cell>
          <cell r="E231">
            <v>7970</v>
          </cell>
          <cell r="F231">
            <v>64550</v>
          </cell>
          <cell r="G231">
            <v>7050</v>
          </cell>
        </row>
        <row r="232">
          <cell r="A232" t="str">
            <v>25-4012</v>
          </cell>
          <cell r="B232" t="str">
            <v>Curators</v>
          </cell>
          <cell r="C232">
            <v>0.73666580000000004</v>
          </cell>
          <cell r="D232">
            <v>61770</v>
          </cell>
          <cell r="E232">
            <v>12150</v>
          </cell>
          <cell r="F232">
            <v>63420</v>
          </cell>
          <cell r="G232">
            <v>12280</v>
          </cell>
        </row>
        <row r="233">
          <cell r="A233" t="str">
            <v>25-4013</v>
          </cell>
          <cell r="B233" t="str">
            <v>Museum Technicians and Conservators</v>
          </cell>
          <cell r="C233">
            <v>-9.1210700000000006E-2</v>
          </cell>
          <cell r="D233">
            <v>47460</v>
          </cell>
          <cell r="E233">
            <v>12310</v>
          </cell>
          <cell r="F233">
            <v>51440</v>
          </cell>
          <cell r="G233">
            <v>13070</v>
          </cell>
        </row>
        <row r="234">
          <cell r="A234" t="str">
            <v>25-4022</v>
          </cell>
          <cell r="B234" t="str">
            <v>Librarians and Media Collection Specialists</v>
          </cell>
          <cell r="C234">
            <v>1.037039</v>
          </cell>
          <cell r="D234">
            <v>64320</v>
          </cell>
          <cell r="E234">
            <v>133790</v>
          </cell>
          <cell r="F234">
            <v>68270</v>
          </cell>
          <cell r="G234">
            <v>131830</v>
          </cell>
        </row>
        <row r="235">
          <cell r="A235" t="str">
            <v>25-4031</v>
          </cell>
          <cell r="B235" t="str">
            <v>Library Technicians</v>
          </cell>
          <cell r="C235">
            <v>3.7964999999999999E-2</v>
          </cell>
          <cell r="D235">
            <v>39970</v>
          </cell>
          <cell r="E235">
            <v>68690</v>
          </cell>
          <cell r="F235">
            <v>44580</v>
          </cell>
          <cell r="G235">
            <v>73770</v>
          </cell>
        </row>
        <row r="236">
          <cell r="A236" t="str">
            <v>25-9021</v>
          </cell>
          <cell r="B236" t="str">
            <v>Farm and Home Management Advisors</v>
          </cell>
          <cell r="C236">
            <v>0.86040309999999998</v>
          </cell>
          <cell r="D236">
            <v>58120</v>
          </cell>
          <cell r="E236">
            <v>8220</v>
          </cell>
          <cell r="F236">
            <v>60220</v>
          </cell>
          <cell r="G236">
            <v>10260</v>
          </cell>
        </row>
        <row r="237">
          <cell r="A237" t="str">
            <v>25-9031</v>
          </cell>
          <cell r="B237" t="str">
            <v>Instructional Coordinators</v>
          </cell>
          <cell r="C237">
            <v>1.301855</v>
          </cell>
          <cell r="D237">
            <v>74720</v>
          </cell>
          <cell r="E237">
            <v>227760</v>
          </cell>
          <cell r="F237">
            <v>77440</v>
          </cell>
          <cell r="G237">
            <v>210850</v>
          </cell>
        </row>
        <row r="238">
          <cell r="A238" t="str">
            <v>25-9040</v>
          </cell>
          <cell r="B238" t="str">
            <v>Teaching Assistants</v>
          </cell>
          <cell r="C238">
            <v>0.4516636</v>
          </cell>
          <cell r="D238">
            <v>35550</v>
          </cell>
          <cell r="E238">
            <v>1584440</v>
          </cell>
          <cell r="F238">
            <v>37010</v>
          </cell>
          <cell r="G238">
            <v>1530310</v>
          </cell>
        </row>
        <row r="239">
          <cell r="A239" t="str">
            <v>25-9044</v>
          </cell>
          <cell r="B239" t="str">
            <v>Graduate Teaching Assistants</v>
          </cell>
          <cell r="C239">
            <v>1.111356</v>
          </cell>
          <cell r="D239">
            <v>78050</v>
          </cell>
          <cell r="E239">
            <v>164090</v>
          </cell>
          <cell r="F239">
            <v>42910</v>
          </cell>
          <cell r="G239">
            <v>155010</v>
          </cell>
        </row>
        <row r="240">
          <cell r="A240" t="str">
            <v>27-1011</v>
          </cell>
          <cell r="B240" t="str">
            <v>Art Directors</v>
          </cell>
          <cell r="C240">
            <v>1.02251</v>
          </cell>
          <cell r="D240">
            <v>44930</v>
          </cell>
          <cell r="E240">
            <v>53070</v>
          </cell>
          <cell r="F240">
            <v>114850</v>
          </cell>
          <cell r="G240">
            <v>50370</v>
          </cell>
        </row>
        <row r="241">
          <cell r="A241" t="str">
            <v>27-1012</v>
          </cell>
          <cell r="B241" t="str">
            <v>Craft Artists</v>
          </cell>
          <cell r="C241">
            <v>-0.92952840000000003</v>
          </cell>
          <cell r="D241">
            <v>111040</v>
          </cell>
          <cell r="E241">
            <v>4580</v>
          </cell>
          <cell r="F241">
            <v>46080</v>
          </cell>
          <cell r="G241">
            <v>4370</v>
          </cell>
        </row>
        <row r="242">
          <cell r="A242" t="str">
            <v>27-1013</v>
          </cell>
          <cell r="B242" t="str">
            <v>Fine Artists, Including Painters, Sculptors, and Illustrators</v>
          </cell>
          <cell r="C242">
            <v>-0.56904980000000005</v>
          </cell>
          <cell r="D242">
            <v>38480</v>
          </cell>
          <cell r="E242">
            <v>11220</v>
          </cell>
          <cell r="F242">
            <v>55490</v>
          </cell>
          <cell r="G242">
            <v>10000</v>
          </cell>
        </row>
        <row r="243">
          <cell r="A243" t="str">
            <v>27-1014</v>
          </cell>
          <cell r="B243" t="str">
            <v>Multi-Media Artists and Animators</v>
          </cell>
          <cell r="C243">
            <v>0.70586510000000002</v>
          </cell>
          <cell r="D243">
            <v>60560</v>
          </cell>
          <cell r="E243">
            <v>19970</v>
          </cell>
          <cell r="F243">
            <v>102030</v>
          </cell>
          <cell r="G243">
            <v>21280</v>
          </cell>
        </row>
        <row r="244">
          <cell r="A244" t="str">
            <v>27-1021</v>
          </cell>
          <cell r="B244" t="str">
            <v>Commercial and Industrial Designers</v>
          </cell>
          <cell r="C244">
            <v>0.867039</v>
          </cell>
          <cell r="D244">
            <v>99800</v>
          </cell>
          <cell r="E244">
            <v>33490</v>
          </cell>
          <cell r="F244">
            <v>83910</v>
          </cell>
          <cell r="G244">
            <v>30250</v>
          </cell>
        </row>
        <row r="245">
          <cell r="A245" t="str">
            <v>27-1022</v>
          </cell>
          <cell r="B245" t="str">
            <v>Fashion Designers</v>
          </cell>
          <cell r="C245">
            <v>0.5801539</v>
          </cell>
          <cell r="D245">
            <v>79450</v>
          </cell>
          <cell r="E245">
            <v>21450</v>
          </cell>
          <cell r="F245">
            <v>80960</v>
          </cell>
          <cell r="G245">
            <v>20910</v>
          </cell>
        </row>
        <row r="246">
          <cell r="A246" t="str">
            <v>27-1023</v>
          </cell>
          <cell r="B246" t="str">
            <v>Floral Designers</v>
          </cell>
          <cell r="C246">
            <v>-0.27184520000000001</v>
          </cell>
          <cell r="D246">
            <v>80690</v>
          </cell>
          <cell r="E246">
            <v>40590</v>
          </cell>
          <cell r="F246">
            <v>37360</v>
          </cell>
          <cell r="G246">
            <v>40160</v>
          </cell>
        </row>
        <row r="247">
          <cell r="A247" t="str">
            <v>27-1024</v>
          </cell>
          <cell r="B247" t="str">
            <v>Graphic Designers</v>
          </cell>
          <cell r="C247">
            <v>0.71569579999999999</v>
          </cell>
          <cell r="D247">
            <v>36120</v>
          </cell>
          <cell r="E247">
            <v>197830</v>
          </cell>
          <cell r="F247">
            <v>62960</v>
          </cell>
          <cell r="G247">
            <v>214260</v>
          </cell>
        </row>
        <row r="248">
          <cell r="A248" t="str">
            <v>27-1025</v>
          </cell>
          <cell r="B248" t="str">
            <v>Interior Designers</v>
          </cell>
          <cell r="C248">
            <v>1.12168</v>
          </cell>
          <cell r="D248">
            <v>61300</v>
          </cell>
          <cell r="E248">
            <v>71500</v>
          </cell>
          <cell r="F248">
            <v>67190</v>
          </cell>
          <cell r="G248">
            <v>69580</v>
          </cell>
        </row>
        <row r="249">
          <cell r="A249" t="str">
            <v>27-1026</v>
          </cell>
          <cell r="B249" t="str">
            <v>Merchandise Displayers and Window Trimmers</v>
          </cell>
          <cell r="C249">
            <v>-1.0014130000000001</v>
          </cell>
          <cell r="D249">
            <v>63490</v>
          </cell>
          <cell r="E249">
            <v>165220</v>
          </cell>
          <cell r="F249">
            <v>39390</v>
          </cell>
          <cell r="G249">
            <v>192480</v>
          </cell>
        </row>
        <row r="250">
          <cell r="A250" t="str">
            <v>27-1027</v>
          </cell>
          <cell r="B250" t="str">
            <v>Set and Exhibit Designers</v>
          </cell>
          <cell r="C250">
            <v>-5.1932300000000001E-2</v>
          </cell>
          <cell r="D250">
            <v>37350</v>
          </cell>
          <cell r="E250">
            <v>10630</v>
          </cell>
          <cell r="F250">
            <v>75240</v>
          </cell>
          <cell r="G250">
            <v>10850</v>
          </cell>
        </row>
        <row r="251">
          <cell r="A251" t="str">
            <v>27-2011</v>
          </cell>
          <cell r="B251" t="str">
            <v>Actors</v>
          </cell>
          <cell r="C251">
            <v>0.1590935</v>
          </cell>
          <cell r="D251">
            <v>66280</v>
          </cell>
          <cell r="E251">
            <v>55000</v>
          </cell>
          <cell r="F251" t="str">
            <v>*</v>
          </cell>
          <cell r="G251">
            <v>38800</v>
          </cell>
        </row>
        <row r="252">
          <cell r="A252" t="str">
            <v>27-2012</v>
          </cell>
          <cell r="B252" t="str">
            <v>Producers and Directors</v>
          </cell>
          <cell r="C252">
            <v>0.93881079999999995</v>
          </cell>
          <cell r="D252" t="str">
            <v>—</v>
          </cell>
          <cell r="E252">
            <v>143120</v>
          </cell>
          <cell r="F252">
            <v>90360</v>
          </cell>
          <cell r="G252">
            <v>145270</v>
          </cell>
        </row>
        <row r="253">
          <cell r="A253" t="str">
            <v>27-2021</v>
          </cell>
          <cell r="B253" t="str">
            <v>Athletes and Sports Competitors</v>
          </cell>
          <cell r="C253">
            <v>-1.8143359999999999</v>
          </cell>
          <cell r="D253">
            <v>83480</v>
          </cell>
          <cell r="E253">
            <v>15070</v>
          </cell>
          <cell r="F253">
            <v>66710</v>
          </cell>
          <cell r="G253">
            <v>14370</v>
          </cell>
        </row>
        <row r="254">
          <cell r="A254" t="str">
            <v>27-2022</v>
          </cell>
          <cell r="B254" t="str">
            <v>Coaches and Scouts</v>
          </cell>
          <cell r="C254">
            <v>0.11686680000000001</v>
          </cell>
          <cell r="D254">
            <v>62360</v>
          </cell>
          <cell r="E254">
            <v>248950</v>
          </cell>
          <cell r="F254">
            <v>47320</v>
          </cell>
          <cell r="G254">
            <v>250940</v>
          </cell>
        </row>
        <row r="255">
          <cell r="A255" t="str">
            <v>27-2023</v>
          </cell>
          <cell r="B255" t="str">
            <v>Umpires, Referees, and Other Sports Officials</v>
          </cell>
          <cell r="C255">
            <v>-3.2561699999999999E-2</v>
          </cell>
          <cell r="D255">
            <v>45920</v>
          </cell>
          <cell r="E255">
            <v>15780</v>
          </cell>
          <cell r="F255">
            <v>40710</v>
          </cell>
          <cell r="G255">
            <v>15080</v>
          </cell>
        </row>
        <row r="256">
          <cell r="A256" t="str">
            <v>27-2031</v>
          </cell>
          <cell r="B256" t="str">
            <v>Dancers</v>
          </cell>
          <cell r="C256">
            <v>-2.6697579999999999</v>
          </cell>
          <cell r="D256">
            <v>38820</v>
          </cell>
          <cell r="E256">
            <v>8130</v>
          </cell>
          <cell r="F256" t="str">
            <v>*</v>
          </cell>
          <cell r="G256">
            <v>9060</v>
          </cell>
        </row>
        <row r="257">
          <cell r="A257" t="str">
            <v>27-2032</v>
          </cell>
          <cell r="B257" t="str">
            <v>Choreographers</v>
          </cell>
          <cell r="C257">
            <v>-1.575769</v>
          </cell>
          <cell r="D257" t="str">
            <v>—</v>
          </cell>
          <cell r="E257">
            <v>2860</v>
          </cell>
          <cell r="F257">
            <v>55310</v>
          </cell>
          <cell r="G257">
            <v>3430</v>
          </cell>
        </row>
        <row r="258">
          <cell r="A258" t="str">
            <v>27-2041</v>
          </cell>
          <cell r="B258" t="str">
            <v>Music Directors and Composers</v>
          </cell>
          <cell r="C258">
            <v>0.88296410000000003</v>
          </cell>
          <cell r="D258">
            <v>55600</v>
          </cell>
          <cell r="E258">
            <v>12540</v>
          </cell>
          <cell r="F258">
            <v>73710</v>
          </cell>
          <cell r="G258">
            <v>12330</v>
          </cell>
        </row>
        <row r="259">
          <cell r="A259" t="str">
            <v>27-2042</v>
          </cell>
          <cell r="B259" t="str">
            <v>Musicians and Singers</v>
          </cell>
          <cell r="C259">
            <v>-4.0058000000000003E-3</v>
          </cell>
          <cell r="D259">
            <v>63670</v>
          </cell>
          <cell r="E259">
            <v>36180</v>
          </cell>
          <cell r="F259" t="str">
            <v>*</v>
          </cell>
          <cell r="G259">
            <v>38350</v>
          </cell>
        </row>
        <row r="260">
          <cell r="A260" t="str">
            <v>27-3011</v>
          </cell>
          <cell r="B260" t="str">
            <v>Radio and Television Announcers</v>
          </cell>
          <cell r="C260">
            <v>0.84935470000000002</v>
          </cell>
          <cell r="D260" t="str">
            <v>—</v>
          </cell>
          <cell r="E260">
            <v>21240</v>
          </cell>
          <cell r="F260">
            <v>47340</v>
          </cell>
          <cell r="G260">
            <v>23880</v>
          </cell>
        </row>
        <row r="261">
          <cell r="A261" t="str">
            <v>27-3011</v>
          </cell>
          <cell r="B261" t="str">
            <v>Public Address System and Other Announcers</v>
          </cell>
          <cell r="C261">
            <v>0.6650665</v>
          </cell>
          <cell r="D261">
            <v>45680</v>
          </cell>
          <cell r="E261">
            <v>21240</v>
          </cell>
          <cell r="F261">
            <v>47340</v>
          </cell>
          <cell r="G261">
            <v>23880</v>
          </cell>
        </row>
        <row r="262">
          <cell r="A262" t="str">
            <v>27-3023</v>
          </cell>
          <cell r="B262" t="str">
            <v>Broadcast News Analysts, Reporters and Correspondents</v>
          </cell>
          <cell r="C262">
            <v>1.1635169999999999</v>
          </cell>
          <cell r="D262">
            <v>45680</v>
          </cell>
          <cell r="E262">
            <v>39250</v>
          </cell>
          <cell r="F262">
            <v>62200</v>
          </cell>
          <cell r="G262">
            <v>41550</v>
          </cell>
        </row>
        <row r="263">
          <cell r="A263" t="str">
            <v>27-3031</v>
          </cell>
          <cell r="B263" t="str">
            <v>Public Relations Specialists</v>
          </cell>
          <cell r="C263">
            <v>1.2849269999999999</v>
          </cell>
          <cell r="D263">
            <v>60280</v>
          </cell>
          <cell r="E263">
            <v>283380</v>
          </cell>
          <cell r="F263">
            <v>74750</v>
          </cell>
          <cell r="G263">
            <v>280590</v>
          </cell>
        </row>
        <row r="264">
          <cell r="A264" t="str">
            <v>27-3041</v>
          </cell>
          <cell r="B264" t="str">
            <v>Editors</v>
          </cell>
          <cell r="C264">
            <v>1.1282209999999999</v>
          </cell>
          <cell r="D264">
            <v>69780</v>
          </cell>
          <cell r="E264">
            <v>91690</v>
          </cell>
          <cell r="F264">
            <v>77920</v>
          </cell>
          <cell r="G264">
            <v>95480</v>
          </cell>
        </row>
        <row r="265">
          <cell r="A265" t="str">
            <v>27-3042</v>
          </cell>
          <cell r="B265" t="str">
            <v>Technical Writers</v>
          </cell>
          <cell r="C265">
            <v>1.1840010000000001</v>
          </cell>
          <cell r="D265">
            <v>75260</v>
          </cell>
          <cell r="E265">
            <v>45500</v>
          </cell>
          <cell r="F265">
            <v>90390</v>
          </cell>
          <cell r="G265">
            <v>55530</v>
          </cell>
        </row>
        <row r="266">
          <cell r="A266" t="str">
            <v>27-3043</v>
          </cell>
          <cell r="B266" t="str">
            <v>Writers and Authors</v>
          </cell>
          <cell r="C266">
            <v>0.98792740000000001</v>
          </cell>
          <cell r="D266">
            <v>91670</v>
          </cell>
          <cell r="E266">
            <v>47940</v>
          </cell>
          <cell r="F266">
            <v>76910</v>
          </cell>
          <cell r="G266">
            <v>47800</v>
          </cell>
        </row>
        <row r="267">
          <cell r="A267" t="str">
            <v>27-3091</v>
          </cell>
          <cell r="B267" t="str">
            <v>Interpreters and Translators</v>
          </cell>
          <cell r="C267">
            <v>1.1113189999999999</v>
          </cell>
          <cell r="D267">
            <v>72270</v>
          </cell>
          <cell r="E267">
            <v>52060</v>
          </cell>
          <cell r="F267">
            <v>60170</v>
          </cell>
          <cell r="G267">
            <v>53360</v>
          </cell>
        </row>
        <row r="268">
          <cell r="A268" t="str">
            <v>27-3092</v>
          </cell>
          <cell r="B268" t="str">
            <v>Court Reporters</v>
          </cell>
          <cell r="C268">
            <v>0.83524600000000004</v>
          </cell>
          <cell r="D268">
            <v>156210</v>
          </cell>
          <cell r="E268">
            <v>12870</v>
          </cell>
          <cell r="F268">
            <v>72420</v>
          </cell>
          <cell r="G268">
            <v>12630</v>
          </cell>
        </row>
        <row r="269">
          <cell r="A269" t="str">
            <v>27-4011</v>
          </cell>
          <cell r="B269" t="str">
            <v>Audio and Video Equipment Technicians</v>
          </cell>
          <cell r="C269">
            <v>-1.1774700000000001E-2</v>
          </cell>
          <cell r="D269">
            <v>59440</v>
          </cell>
          <cell r="E269">
            <v>70230</v>
          </cell>
          <cell r="F269">
            <v>58100</v>
          </cell>
          <cell r="G269">
            <v>70080</v>
          </cell>
        </row>
        <row r="270">
          <cell r="A270" t="str">
            <v>27-4012</v>
          </cell>
          <cell r="B270" t="str">
            <v>Broadcast Technicians</v>
          </cell>
          <cell r="C270">
            <v>0.1222249</v>
          </cell>
          <cell r="D270">
            <v>67310</v>
          </cell>
          <cell r="E270">
            <v>21110</v>
          </cell>
          <cell r="F270">
            <v>59570</v>
          </cell>
          <cell r="G270">
            <v>21080</v>
          </cell>
        </row>
        <row r="271">
          <cell r="A271" t="str">
            <v>27-4014</v>
          </cell>
          <cell r="B271" t="str">
            <v>Sound Engineering Technicians</v>
          </cell>
          <cell r="C271">
            <v>0.47154620000000003</v>
          </cell>
          <cell r="D271">
            <v>54830</v>
          </cell>
          <cell r="E271">
            <v>13080</v>
          </cell>
          <cell r="F271">
            <v>73130</v>
          </cell>
          <cell r="G271">
            <v>13050</v>
          </cell>
        </row>
        <row r="272">
          <cell r="A272" t="str">
            <v>27-4021</v>
          </cell>
          <cell r="B272" t="str">
            <v>Photographers</v>
          </cell>
          <cell r="C272">
            <v>-0.16809730000000001</v>
          </cell>
          <cell r="D272">
            <v>53920</v>
          </cell>
          <cell r="E272">
            <v>51760</v>
          </cell>
          <cell r="F272">
            <v>44660</v>
          </cell>
          <cell r="G272">
            <v>51230</v>
          </cell>
        </row>
        <row r="273">
          <cell r="A273" t="str">
            <v>27-4031</v>
          </cell>
          <cell r="B273" t="str">
            <v>Camera Operators, Television, Video, and Motion Picture</v>
          </cell>
          <cell r="C273">
            <v>-0.44700089999999998</v>
          </cell>
          <cell r="D273">
            <v>66430</v>
          </cell>
          <cell r="E273">
            <v>21550</v>
          </cell>
          <cell r="F273">
            <v>74990</v>
          </cell>
          <cell r="G273">
            <v>24460</v>
          </cell>
        </row>
        <row r="274">
          <cell r="A274" t="str">
            <v>27-4032</v>
          </cell>
          <cell r="B274" t="str">
            <v>Film and Video Editors</v>
          </cell>
          <cell r="C274">
            <v>0.985707</v>
          </cell>
          <cell r="D274">
            <v>42520</v>
          </cell>
          <cell r="E274">
            <v>25610</v>
          </cell>
          <cell r="F274">
            <v>75420</v>
          </cell>
          <cell r="G274">
            <v>28860</v>
          </cell>
        </row>
        <row r="275">
          <cell r="A275" t="str">
            <v>29-1011</v>
          </cell>
          <cell r="B275" t="str">
            <v>Chiropractors</v>
          </cell>
          <cell r="C275">
            <v>-0.1911757</v>
          </cell>
          <cell r="D275">
            <v>68810</v>
          </cell>
          <cell r="E275">
            <v>39630</v>
          </cell>
          <cell r="F275">
            <v>79200</v>
          </cell>
          <cell r="G275">
            <v>37630</v>
          </cell>
        </row>
        <row r="276">
          <cell r="A276" t="str">
            <v>29-1021</v>
          </cell>
          <cell r="B276" t="str">
            <v>Dentists, General</v>
          </cell>
          <cell r="C276">
            <v>-0.18133009999999999</v>
          </cell>
          <cell r="D276">
            <v>70980</v>
          </cell>
          <cell r="E276">
            <v>124390</v>
          </cell>
          <cell r="F276">
            <v>170950</v>
          </cell>
          <cell r="G276">
            <v>113490</v>
          </cell>
        </row>
        <row r="277">
          <cell r="A277" t="str">
            <v>29-1022</v>
          </cell>
          <cell r="B277" t="str">
            <v>Oral and Maxillofacial Surgeons</v>
          </cell>
          <cell r="C277">
            <v>-0.23896680000000001</v>
          </cell>
          <cell r="D277">
            <v>79000</v>
          </cell>
          <cell r="E277">
            <v>4910</v>
          </cell>
          <cell r="F277">
            <v>352220</v>
          </cell>
          <cell r="G277">
            <v>5330</v>
          </cell>
        </row>
        <row r="278">
          <cell r="A278" t="str">
            <v>29-1023</v>
          </cell>
          <cell r="B278" t="str">
            <v>Orthodontists</v>
          </cell>
          <cell r="C278">
            <v>0.1616631</v>
          </cell>
          <cell r="D278">
            <v>172790</v>
          </cell>
          <cell r="E278">
            <v>6210</v>
          </cell>
          <cell r="F278">
            <v>289140</v>
          </cell>
          <cell r="G278">
            <v>5150</v>
          </cell>
        </row>
        <row r="279">
          <cell r="A279" t="str">
            <v>29-1024</v>
          </cell>
          <cell r="B279" t="str">
            <v>Prosthodontists</v>
          </cell>
          <cell r="C279">
            <v>-0.15614030000000001</v>
          </cell>
          <cell r="D279" t="str">
            <v>&gt;=$239,200</v>
          </cell>
          <cell r="E279">
            <v>870</v>
          </cell>
          <cell r="F279">
            <v>311180</v>
          </cell>
          <cell r="G279">
            <v>760</v>
          </cell>
        </row>
        <row r="280">
          <cell r="A280" t="str">
            <v>29-1031</v>
          </cell>
          <cell r="B280" t="str">
            <v>Dietitians and Nutritionists</v>
          </cell>
          <cell r="C280">
            <v>1.3428089999999999</v>
          </cell>
          <cell r="D280" t="str">
            <v>&gt;=$239,200</v>
          </cell>
          <cell r="E280">
            <v>77570</v>
          </cell>
          <cell r="F280">
            <v>76400</v>
          </cell>
          <cell r="G280">
            <v>76570</v>
          </cell>
        </row>
        <row r="281">
          <cell r="A281" t="str">
            <v>29-1041</v>
          </cell>
          <cell r="B281" t="str">
            <v>Optometrists</v>
          </cell>
          <cell r="C281">
            <v>0.50401940000000001</v>
          </cell>
          <cell r="D281" t="str">
            <v>&gt;=$239,200</v>
          </cell>
          <cell r="E281">
            <v>42790</v>
          </cell>
          <cell r="F281">
            <v>136570</v>
          </cell>
          <cell r="G281">
            <v>41890</v>
          </cell>
        </row>
        <row r="282">
          <cell r="A282" t="str">
            <v>29-1051</v>
          </cell>
          <cell r="B282" t="str">
            <v>Pharmacists</v>
          </cell>
          <cell r="C282">
            <v>0.60587049999999998</v>
          </cell>
          <cell r="D282">
            <v>73850</v>
          </cell>
          <cell r="E282">
            <v>321970</v>
          </cell>
          <cell r="F282">
            <v>140910</v>
          </cell>
          <cell r="G282">
            <v>328870</v>
          </cell>
        </row>
        <row r="283">
          <cell r="A283" t="str">
            <v>29-1071</v>
          </cell>
          <cell r="B283" t="str">
            <v>Physician Assistants</v>
          </cell>
          <cell r="C283">
            <v>0.1059147</v>
          </cell>
          <cell r="D283">
            <v>60280</v>
          </cell>
          <cell r="E283">
            <v>162150</v>
          </cell>
          <cell r="F283">
            <v>135880</v>
          </cell>
          <cell r="G283">
            <v>155540</v>
          </cell>
        </row>
        <row r="284">
          <cell r="A284" t="str">
            <v>29-1081</v>
          </cell>
          <cell r="B284" t="str">
            <v>Podiatrists</v>
          </cell>
          <cell r="C284">
            <v>0.62791850000000005</v>
          </cell>
          <cell r="D284">
            <v>80450</v>
          </cell>
          <cell r="E284">
            <v>9680</v>
          </cell>
          <cell r="F284">
            <v>160300</v>
          </cell>
          <cell r="G284">
            <v>9520</v>
          </cell>
        </row>
        <row r="285">
          <cell r="A285" t="str">
            <v>29-1122</v>
          </cell>
          <cell r="B285" t="str">
            <v>Occupational Therapists</v>
          </cell>
          <cell r="C285">
            <v>0.1151615</v>
          </cell>
          <cell r="D285">
            <v>80450</v>
          </cell>
          <cell r="E285">
            <v>162450</v>
          </cell>
          <cell r="F285">
            <v>100330</v>
          </cell>
          <cell r="G285">
            <v>152280</v>
          </cell>
        </row>
        <row r="286">
          <cell r="A286" t="str">
            <v>29-1123</v>
          </cell>
          <cell r="B286" t="str">
            <v>Physical Therapists</v>
          </cell>
          <cell r="C286">
            <v>-0.35819220000000002</v>
          </cell>
          <cell r="D286">
            <v>95410</v>
          </cell>
          <cell r="E286">
            <v>267330</v>
          </cell>
          <cell r="F286">
            <v>102760</v>
          </cell>
          <cell r="G286">
            <v>248630</v>
          </cell>
        </row>
        <row r="287">
          <cell r="A287" t="str">
            <v>29-1124</v>
          </cell>
          <cell r="B287" t="str">
            <v>Radiation Therapists</v>
          </cell>
          <cell r="C287">
            <v>-0.2189393</v>
          </cell>
          <cell r="D287">
            <v>58160</v>
          </cell>
          <cell r="E287">
            <v>17070</v>
          </cell>
          <cell r="F287">
            <v>105310</v>
          </cell>
          <cell r="G287">
            <v>18700</v>
          </cell>
        </row>
        <row r="288">
          <cell r="A288" t="str">
            <v>29-1125</v>
          </cell>
          <cell r="B288" t="str">
            <v>Recreational Therapists</v>
          </cell>
          <cell r="C288">
            <v>0.21901090000000001</v>
          </cell>
          <cell r="D288">
            <v>125510</v>
          </cell>
          <cell r="E288">
            <v>14930</v>
          </cell>
          <cell r="F288">
            <v>61960</v>
          </cell>
          <cell r="G288">
            <v>15060</v>
          </cell>
        </row>
        <row r="289">
          <cell r="A289" t="str">
            <v>29-1126</v>
          </cell>
          <cell r="B289" t="str">
            <v>Respiratory Therapy Technicians</v>
          </cell>
          <cell r="C289">
            <v>-0.1060473</v>
          </cell>
          <cell r="D289">
            <v>37040</v>
          </cell>
          <cell r="E289">
            <v>139790</v>
          </cell>
          <cell r="F289">
            <v>82280</v>
          </cell>
          <cell r="G289">
            <v>136420</v>
          </cell>
        </row>
        <row r="290">
          <cell r="A290" t="str">
            <v>29-1126</v>
          </cell>
          <cell r="B290" t="str">
            <v>Respiratory Therapists</v>
          </cell>
          <cell r="C290">
            <v>-0.18805069999999999</v>
          </cell>
          <cell r="D290">
            <v>93600</v>
          </cell>
          <cell r="E290">
            <v>139790</v>
          </cell>
          <cell r="F290">
            <v>82280</v>
          </cell>
          <cell r="G290">
            <v>136420</v>
          </cell>
        </row>
        <row r="291">
          <cell r="A291" t="str">
            <v>29-1127</v>
          </cell>
          <cell r="B291" t="str">
            <v>Speech-Language Pathologists</v>
          </cell>
          <cell r="C291">
            <v>1.1462669999999999</v>
          </cell>
          <cell r="D291">
            <v>56320</v>
          </cell>
          <cell r="E291">
            <v>183390</v>
          </cell>
          <cell r="F291">
            <v>97870</v>
          </cell>
          <cell r="G291">
            <v>178790</v>
          </cell>
        </row>
        <row r="292">
          <cell r="A292" t="str">
            <v>29-1128</v>
          </cell>
          <cell r="B292" t="str">
            <v>Exercise Physiologists</v>
          </cell>
          <cell r="C292">
            <v>-3.31901E-2</v>
          </cell>
          <cell r="D292">
            <v>128790</v>
          </cell>
          <cell r="E292">
            <v>8560</v>
          </cell>
          <cell r="F292">
            <v>59460</v>
          </cell>
          <cell r="G292">
            <v>8110</v>
          </cell>
        </row>
        <row r="293">
          <cell r="A293" t="str">
            <v>29-1131</v>
          </cell>
          <cell r="B293" t="str">
            <v>Veterinarians</v>
          </cell>
          <cell r="C293">
            <v>-7.4995800000000001E-2</v>
          </cell>
          <cell r="D293">
            <v>129210</v>
          </cell>
          <cell r="E293">
            <v>83900</v>
          </cell>
          <cell r="F293">
            <v>130100</v>
          </cell>
          <cell r="G293">
            <v>80630</v>
          </cell>
        </row>
        <row r="294">
          <cell r="A294" t="str">
            <v>29-1141</v>
          </cell>
          <cell r="B294" t="str">
            <v>Registered Nurses</v>
          </cell>
          <cell r="C294">
            <v>0.22940969999999999</v>
          </cell>
          <cell r="D294">
            <v>92120</v>
          </cell>
          <cell r="E294">
            <v>3379720</v>
          </cell>
          <cell r="F294">
            <v>97550</v>
          </cell>
          <cell r="G294">
            <v>3282010</v>
          </cell>
        </row>
        <row r="295">
          <cell r="A295" t="str">
            <v>29-1151</v>
          </cell>
          <cell r="B295" t="str">
            <v>Nurse Anesthetists</v>
          </cell>
          <cell r="C295">
            <v>0.24131910000000001</v>
          </cell>
          <cell r="D295" t="str">
            <v>&gt;=$239,200</v>
          </cell>
          <cell r="E295">
            <v>51840</v>
          </cell>
          <cell r="F295">
            <v>236590</v>
          </cell>
          <cell r="G295">
            <v>50350</v>
          </cell>
        </row>
        <row r="296">
          <cell r="A296" t="str">
            <v>29-1161</v>
          </cell>
          <cell r="B296" t="str">
            <v>Nurse Midwives</v>
          </cell>
          <cell r="C296">
            <v>0.19662650000000001</v>
          </cell>
          <cell r="D296">
            <v>236350</v>
          </cell>
          <cell r="E296">
            <v>7920</v>
          </cell>
          <cell r="F296">
            <v>134040</v>
          </cell>
          <cell r="G296">
            <v>8280</v>
          </cell>
        </row>
        <row r="297">
          <cell r="A297" t="str">
            <v>29-1171</v>
          </cell>
          <cell r="B297" t="str">
            <v>Nurse Practitioners</v>
          </cell>
          <cell r="C297">
            <v>0.19005720000000001</v>
          </cell>
          <cell r="D297" t="str">
            <v>&gt;=$239,200</v>
          </cell>
          <cell r="E297">
            <v>323040</v>
          </cell>
          <cell r="F297">
            <v>132300</v>
          </cell>
          <cell r="G297">
            <v>307390</v>
          </cell>
        </row>
        <row r="298">
          <cell r="A298" t="str">
            <v>29-1181</v>
          </cell>
          <cell r="B298" t="str">
            <v>Audiologists</v>
          </cell>
          <cell r="C298">
            <v>0.63290630000000003</v>
          </cell>
          <cell r="D298">
            <v>210130</v>
          </cell>
          <cell r="E298">
            <v>13660</v>
          </cell>
          <cell r="F298">
            <v>95780</v>
          </cell>
          <cell r="G298">
            <v>14730</v>
          </cell>
        </row>
        <row r="299">
          <cell r="A299" t="str">
            <v>29-1211</v>
          </cell>
          <cell r="B299" t="str">
            <v>Anesthesiologists</v>
          </cell>
          <cell r="C299">
            <v>0.23496980000000001</v>
          </cell>
          <cell r="D299">
            <v>134830</v>
          </cell>
          <cell r="E299">
            <v>38760</v>
          </cell>
          <cell r="F299">
            <v>391490</v>
          </cell>
          <cell r="G299">
            <v>41890</v>
          </cell>
        </row>
        <row r="300">
          <cell r="A300" t="str">
            <v>29-1216</v>
          </cell>
          <cell r="B300" t="str">
            <v>Family and General Practitioners</v>
          </cell>
          <cell r="C300">
            <v>1.031925</v>
          </cell>
          <cell r="D300">
            <v>137480</v>
          </cell>
          <cell r="E300">
            <v>67150</v>
          </cell>
          <cell r="F300">
            <v>256560</v>
          </cell>
          <cell r="G300">
            <v>66640</v>
          </cell>
        </row>
        <row r="301">
          <cell r="A301" t="str">
            <v>29-1218</v>
          </cell>
          <cell r="B301" t="str">
            <v>Obstetricians and Gynecologists</v>
          </cell>
          <cell r="C301">
            <v>0.2803215</v>
          </cell>
          <cell r="D301">
            <v>133260</v>
          </cell>
          <cell r="E301">
            <v>21260</v>
          </cell>
          <cell r="F301">
            <v>292910</v>
          </cell>
          <cell r="G301">
            <v>19900</v>
          </cell>
        </row>
        <row r="302">
          <cell r="A302" t="str">
            <v>29-1221</v>
          </cell>
          <cell r="B302" t="str">
            <v>Pediatricians, General</v>
          </cell>
          <cell r="C302">
            <v>1.126144</v>
          </cell>
          <cell r="D302">
            <v>152800</v>
          </cell>
          <cell r="E302">
            <v>39390</v>
          </cell>
          <cell r="F302">
            <v>210040</v>
          </cell>
          <cell r="G302">
            <v>42960</v>
          </cell>
        </row>
        <row r="303">
          <cell r="A303" t="str">
            <v>29-1223</v>
          </cell>
          <cell r="B303" t="str">
            <v>Psychiatrists</v>
          </cell>
          <cell r="C303">
            <v>1.280753</v>
          </cell>
          <cell r="D303">
            <v>98340</v>
          </cell>
          <cell r="E303">
            <v>27980</v>
          </cell>
          <cell r="F303">
            <v>281870</v>
          </cell>
          <cell r="G303">
            <v>24800</v>
          </cell>
        </row>
        <row r="304">
          <cell r="A304" t="str">
            <v>29-1229</v>
          </cell>
          <cell r="B304" t="str">
            <v>Physicians and Surgeons, All Other</v>
          </cell>
          <cell r="C304">
            <v>0.70861229999999997</v>
          </cell>
          <cell r="D304">
            <v>101990</v>
          </cell>
          <cell r="E304">
            <v>342720</v>
          </cell>
          <cell r="F304">
            <v>265930</v>
          </cell>
          <cell r="G304">
            <v>315360</v>
          </cell>
        </row>
        <row r="305">
          <cell r="A305" t="str">
            <v>29-1240</v>
          </cell>
          <cell r="B305" t="str">
            <v>Surgeons</v>
          </cell>
          <cell r="C305">
            <v>-5.0453400000000002E-2</v>
          </cell>
          <cell r="D305">
            <v>101020</v>
          </cell>
          <cell r="E305">
            <v>49380</v>
          </cell>
          <cell r="F305">
            <v>369540</v>
          </cell>
          <cell r="G305">
            <v>51400</v>
          </cell>
        </row>
        <row r="306">
          <cell r="A306" t="str">
            <v>29-1292</v>
          </cell>
          <cell r="B306" t="str">
            <v>Dental Hygienists</v>
          </cell>
          <cell r="C306">
            <v>-0.41650799999999999</v>
          </cell>
          <cell r="D306">
            <v>94260</v>
          </cell>
          <cell r="E306">
            <v>222740</v>
          </cell>
          <cell r="F306">
            <v>98100</v>
          </cell>
          <cell r="G306">
            <v>219070</v>
          </cell>
        </row>
        <row r="307">
          <cell r="A307" t="str">
            <v>29-1299</v>
          </cell>
          <cell r="B307" t="str">
            <v>Health Diagnosing and Treating Practitioners, All Other</v>
          </cell>
          <cell r="C307">
            <v>0.71095660000000005</v>
          </cell>
          <cell r="D307" t="str">
            <v>&gt;=$239,200</v>
          </cell>
          <cell r="E307">
            <v>28630</v>
          </cell>
          <cell r="F307">
            <v>115210</v>
          </cell>
          <cell r="G307">
            <v>30870</v>
          </cell>
        </row>
        <row r="308">
          <cell r="A308" t="str">
            <v>29-2010</v>
          </cell>
          <cell r="B308" t="str">
            <v>Medical and Clinical Laboratory Technologists</v>
          </cell>
          <cell r="C308">
            <v>0.28180670000000002</v>
          </cell>
          <cell r="D308" t="str">
            <v>&gt;=$239,200</v>
          </cell>
          <cell r="E308">
            <v>332940</v>
          </cell>
          <cell r="F308">
            <v>62930</v>
          </cell>
          <cell r="G308">
            <v>343040</v>
          </cell>
        </row>
        <row r="309">
          <cell r="A309" t="str">
            <v>29-2030</v>
          </cell>
          <cell r="B309" t="str">
            <v>Medical and Clinical Laboratory Technicians</v>
          </cell>
          <cell r="C309">
            <v>-0.12733149999999999</v>
          </cell>
          <cell r="D309" t="str">
            <v>&gt;=$239,200</v>
          </cell>
          <cell r="E309">
            <v>447490</v>
          </cell>
          <cell r="F309">
            <v>83390</v>
          </cell>
          <cell r="G309">
            <v>433560</v>
          </cell>
        </row>
        <row r="310">
          <cell r="A310" t="str">
            <v>29-2031</v>
          </cell>
          <cell r="B310" t="str">
            <v>Cardiovascular Technologists and Technicians</v>
          </cell>
          <cell r="C310">
            <v>-9.0952599999999995E-2</v>
          </cell>
          <cell r="D310">
            <v>113730</v>
          </cell>
          <cell r="E310">
            <v>62960</v>
          </cell>
          <cell r="F310">
            <v>74310</v>
          </cell>
          <cell r="G310">
            <v>61180</v>
          </cell>
        </row>
        <row r="311">
          <cell r="A311" t="str">
            <v>29-2032</v>
          </cell>
          <cell r="B311" t="str">
            <v>Diagnostic Medical Sonographers</v>
          </cell>
          <cell r="C311">
            <v>-0.26405400000000001</v>
          </cell>
          <cell r="D311">
            <v>61890</v>
          </cell>
          <cell r="E311">
            <v>90160</v>
          </cell>
          <cell r="F311">
            <v>96590</v>
          </cell>
          <cell r="G311">
            <v>86460</v>
          </cell>
        </row>
        <row r="312">
          <cell r="A312" t="str">
            <v>29-2033</v>
          </cell>
          <cell r="B312" t="str">
            <v>Nuclear Medicine Technologists</v>
          </cell>
          <cell r="C312">
            <v>8.5527599999999995E-2</v>
          </cell>
          <cell r="D312">
            <v>80660</v>
          </cell>
          <cell r="E312">
            <v>17080</v>
          </cell>
          <cell r="F312">
            <v>101370</v>
          </cell>
          <cell r="G312">
            <v>16960</v>
          </cell>
        </row>
        <row r="313">
          <cell r="A313" t="str">
            <v>29-2034</v>
          </cell>
          <cell r="B313" t="str">
            <v>Radiologic Technologists and Technicians</v>
          </cell>
          <cell r="C313">
            <v>-0.5559037</v>
          </cell>
          <cell r="D313">
            <v>67260</v>
          </cell>
          <cell r="E313">
            <v>230490</v>
          </cell>
          <cell r="F313">
            <v>80110</v>
          </cell>
          <cell r="G313">
            <v>223460</v>
          </cell>
        </row>
        <row r="314">
          <cell r="A314" t="str">
            <v>29-2035</v>
          </cell>
          <cell r="B314" t="str">
            <v>Magnetic Resonance Imaging Technologists</v>
          </cell>
          <cell r="C314">
            <v>-7.27627E-2</v>
          </cell>
          <cell r="D314">
            <v>89340</v>
          </cell>
          <cell r="E314">
            <v>43390</v>
          </cell>
          <cell r="F314">
            <v>95480</v>
          </cell>
          <cell r="G314">
            <v>41530</v>
          </cell>
        </row>
        <row r="315">
          <cell r="A315" t="str">
            <v>29-2040</v>
          </cell>
          <cell r="B315" t="str">
            <v>Emergency Medical Technicians and Paramedics</v>
          </cell>
          <cell r="C315">
            <v>-0.68634459999999997</v>
          </cell>
          <cell r="D315">
            <v>97020</v>
          </cell>
          <cell r="E315">
            <v>281120</v>
          </cell>
          <cell r="F315">
            <v>48150</v>
          </cell>
          <cell r="G315">
            <v>277520</v>
          </cell>
        </row>
        <row r="316">
          <cell r="A316" t="str">
            <v>29-2051</v>
          </cell>
          <cell r="B316" t="str">
            <v>Dietetic Technicians</v>
          </cell>
          <cell r="C316">
            <v>-0.12602820000000001</v>
          </cell>
          <cell r="D316">
            <v>77660</v>
          </cell>
          <cell r="E316">
            <v>31560</v>
          </cell>
          <cell r="F316">
            <v>37640</v>
          </cell>
          <cell r="G316">
            <v>29950</v>
          </cell>
        </row>
        <row r="317">
          <cell r="A317" t="str">
            <v>29-2052</v>
          </cell>
          <cell r="B317" t="str">
            <v>Pharmacy Technicians</v>
          </cell>
          <cell r="C317">
            <v>7.0255999999999999E-3</v>
          </cell>
          <cell r="D317">
            <v>88180</v>
          </cell>
          <cell r="E317">
            <v>471680</v>
          </cell>
          <cell r="F317">
            <v>45750</v>
          </cell>
          <cell r="G317">
            <v>487920</v>
          </cell>
        </row>
        <row r="318">
          <cell r="A318" t="str">
            <v>29-2053</v>
          </cell>
          <cell r="B318" t="str">
            <v>Psychiatric Technicians</v>
          </cell>
          <cell r="C318">
            <v>-0.2203484</v>
          </cell>
          <cell r="D318">
            <v>46350</v>
          </cell>
          <cell r="E318">
            <v>156960</v>
          </cell>
          <cell r="F318">
            <v>45130</v>
          </cell>
          <cell r="G318">
            <v>136300</v>
          </cell>
        </row>
        <row r="319">
          <cell r="A319" t="str">
            <v>29-2055</v>
          </cell>
          <cell r="B319" t="str">
            <v>Surgical Technologists</v>
          </cell>
          <cell r="C319">
            <v>-0.48304760000000002</v>
          </cell>
          <cell r="D319">
            <v>43460</v>
          </cell>
          <cell r="E319">
            <v>117460</v>
          </cell>
          <cell r="F319">
            <v>64650</v>
          </cell>
          <cell r="G319">
            <v>113890</v>
          </cell>
        </row>
        <row r="320">
          <cell r="A320" t="str">
            <v>29-2056</v>
          </cell>
          <cell r="B320" t="str">
            <v>Veterinary Technologists and Technicians</v>
          </cell>
          <cell r="C320">
            <v>-0.36231790000000003</v>
          </cell>
          <cell r="D320">
            <v>42590</v>
          </cell>
          <cell r="E320">
            <v>129140</v>
          </cell>
          <cell r="F320">
            <v>47380</v>
          </cell>
          <cell r="G320">
            <v>131320</v>
          </cell>
        </row>
        <row r="321">
          <cell r="A321" t="str">
            <v>29-2057</v>
          </cell>
          <cell r="B321" t="str">
            <v>Ophthalmic Medical Technicians</v>
          </cell>
          <cell r="C321">
            <v>7.8733999999999998E-2</v>
          </cell>
          <cell r="D321">
            <v>62830</v>
          </cell>
          <cell r="E321">
            <v>71010</v>
          </cell>
          <cell r="F321">
            <v>45570</v>
          </cell>
          <cell r="G321">
            <v>76520</v>
          </cell>
        </row>
        <row r="322">
          <cell r="A322" t="str">
            <v>29-2061</v>
          </cell>
          <cell r="B322" t="str">
            <v>Licensed Practical and Licensed Vocational Nurses</v>
          </cell>
          <cell r="C322">
            <v>-0.51373729999999995</v>
          </cell>
          <cell r="D322">
            <v>45980</v>
          </cell>
          <cell r="E322">
            <v>648410</v>
          </cell>
          <cell r="F322">
            <v>64400</v>
          </cell>
          <cell r="G322">
            <v>632430</v>
          </cell>
        </row>
        <row r="323">
          <cell r="A323" t="str">
            <v>29-2072</v>
          </cell>
          <cell r="B323" t="str">
            <v>Medical Records and Health Information Technicians</v>
          </cell>
          <cell r="C323">
            <v>0.57387650000000001</v>
          </cell>
          <cell r="D323">
            <v>44080</v>
          </cell>
          <cell r="E323">
            <v>194720</v>
          </cell>
          <cell r="F323">
            <v>51140</v>
          </cell>
          <cell r="G323">
            <v>187910</v>
          </cell>
        </row>
        <row r="324">
          <cell r="A324" t="str">
            <v>29-2081</v>
          </cell>
          <cell r="B324" t="str">
            <v>Opticians, Dispensing</v>
          </cell>
          <cell r="C324">
            <v>0.1013966</v>
          </cell>
          <cell r="D324">
            <v>62340</v>
          </cell>
          <cell r="E324">
            <v>73530</v>
          </cell>
          <cell r="F324">
            <v>47260</v>
          </cell>
          <cell r="G324">
            <v>79690</v>
          </cell>
        </row>
        <row r="325">
          <cell r="A325" t="str">
            <v>29-2091</v>
          </cell>
          <cell r="B325" t="str">
            <v>Orthotists and Prosthetists</v>
          </cell>
          <cell r="C325">
            <v>6.6576999999999997E-2</v>
          </cell>
          <cell r="D325">
            <v>50250</v>
          </cell>
          <cell r="E325">
            <v>9390</v>
          </cell>
          <cell r="F325">
            <v>81110</v>
          </cell>
          <cell r="G325">
            <v>9930</v>
          </cell>
        </row>
        <row r="326">
          <cell r="A326" t="str">
            <v>29-2092</v>
          </cell>
          <cell r="B326" t="str">
            <v>Hearing Aid Specialists</v>
          </cell>
          <cell r="C326">
            <v>0.56489529999999999</v>
          </cell>
          <cell r="D326">
            <v>46560</v>
          </cell>
          <cell r="E326">
            <v>11270</v>
          </cell>
          <cell r="F326">
            <v>65160</v>
          </cell>
          <cell r="G326">
            <v>10580</v>
          </cell>
        </row>
        <row r="327">
          <cell r="A327" t="str">
            <v>29-2099</v>
          </cell>
          <cell r="B327" t="str">
            <v>Health Technologists and Technicians, All Other</v>
          </cell>
          <cell r="C327">
            <v>-0.283854</v>
          </cell>
          <cell r="D327">
            <v>78310</v>
          </cell>
          <cell r="E327">
            <v>182610</v>
          </cell>
          <cell r="F327">
            <v>50290</v>
          </cell>
          <cell r="G327">
            <v>174060</v>
          </cell>
        </row>
        <row r="328">
          <cell r="A328" t="str">
            <v>29-9091</v>
          </cell>
          <cell r="B328" t="str">
            <v>Athletic Trainers</v>
          </cell>
          <cell r="C328">
            <v>-0.33113629999999999</v>
          </cell>
          <cell r="D328">
            <v>60250</v>
          </cell>
          <cell r="E328">
            <v>30500</v>
          </cell>
          <cell r="F328">
            <v>62520</v>
          </cell>
          <cell r="G328">
            <v>28950</v>
          </cell>
        </row>
        <row r="329">
          <cell r="A329" t="str">
            <v>29-9092</v>
          </cell>
          <cell r="B329" t="str">
            <v>Genetic Counselors</v>
          </cell>
          <cell r="C329">
            <v>1.5276670000000001</v>
          </cell>
          <cell r="D329">
            <v>98910</v>
          </cell>
          <cell r="E329">
            <v>3740</v>
          </cell>
          <cell r="F329">
            <v>100040</v>
          </cell>
          <cell r="G329">
            <v>3510</v>
          </cell>
        </row>
        <row r="330">
          <cell r="A330" t="str">
            <v>29-9099</v>
          </cell>
          <cell r="B330" t="str">
            <v>Healthcare Practitioners and Technical Workers, All Other</v>
          </cell>
          <cell r="C330">
            <v>0.22955680000000001</v>
          </cell>
          <cell r="D330">
            <v>64030</v>
          </cell>
          <cell r="E330">
            <v>35010</v>
          </cell>
          <cell r="F330">
            <v>65790</v>
          </cell>
          <cell r="G330">
            <v>36970</v>
          </cell>
        </row>
        <row r="331">
          <cell r="A331" t="str">
            <v>31-1120</v>
          </cell>
          <cell r="B331" t="str">
            <v>Home Health Aides</v>
          </cell>
          <cell r="C331">
            <v>-0.64494200000000002</v>
          </cell>
          <cell r="D331">
            <v>34900</v>
          </cell>
          <cell r="E331">
            <v>4305810</v>
          </cell>
          <cell r="F331">
            <v>35800</v>
          </cell>
          <cell r="G331">
            <v>3988140</v>
          </cell>
        </row>
        <row r="332">
          <cell r="A332" t="str">
            <v>31-1131</v>
          </cell>
          <cell r="B332" t="str">
            <v>Nursing Assistants</v>
          </cell>
          <cell r="C332">
            <v>-0.90402119999999997</v>
          </cell>
          <cell r="D332">
            <v>37700</v>
          </cell>
          <cell r="E332">
            <v>1448910</v>
          </cell>
          <cell r="F332">
            <v>42260</v>
          </cell>
          <cell r="G332">
            <v>1388430</v>
          </cell>
        </row>
        <row r="333">
          <cell r="A333" t="str">
            <v>31-1132</v>
          </cell>
          <cell r="B333" t="str">
            <v>Orderlies</v>
          </cell>
          <cell r="C333">
            <v>-1.6792320000000001</v>
          </cell>
          <cell r="D333">
            <v>41590</v>
          </cell>
          <cell r="E333">
            <v>52440</v>
          </cell>
          <cell r="F333">
            <v>38290</v>
          </cell>
          <cell r="G333">
            <v>53020</v>
          </cell>
        </row>
        <row r="334">
          <cell r="A334" t="str">
            <v>31-1133</v>
          </cell>
          <cell r="B334" t="str">
            <v>Psychiatric Aides</v>
          </cell>
          <cell r="C334">
            <v>-0.49656499999999998</v>
          </cell>
          <cell r="D334">
            <v>39530</v>
          </cell>
          <cell r="E334">
            <v>35520</v>
          </cell>
          <cell r="F334">
            <v>44910</v>
          </cell>
          <cell r="G334">
            <v>34900</v>
          </cell>
        </row>
        <row r="335">
          <cell r="A335" t="str">
            <v>31-2011</v>
          </cell>
          <cell r="B335" t="str">
            <v>Occupational Therapist Assistants</v>
          </cell>
          <cell r="C335">
            <v>-0.3153762</v>
          </cell>
          <cell r="D335">
            <v>68340</v>
          </cell>
          <cell r="E335">
            <v>51290</v>
          </cell>
          <cell r="F335">
            <v>72300</v>
          </cell>
          <cell r="G335">
            <v>47910</v>
          </cell>
        </row>
        <row r="336">
          <cell r="A336" t="str">
            <v>31-2012</v>
          </cell>
          <cell r="B336" t="str">
            <v>Occupational Therapist Aides</v>
          </cell>
          <cell r="C336">
            <v>-0.77343220000000001</v>
          </cell>
          <cell r="D336">
            <v>37370</v>
          </cell>
          <cell r="E336">
            <v>4310</v>
          </cell>
          <cell r="F336">
            <v>39160</v>
          </cell>
          <cell r="G336">
            <v>5000</v>
          </cell>
        </row>
        <row r="337">
          <cell r="A337" t="str">
            <v>31-2021</v>
          </cell>
          <cell r="B337" t="str">
            <v>Physical Therapist Assistants</v>
          </cell>
          <cell r="C337">
            <v>-0.53085349999999998</v>
          </cell>
          <cell r="D337">
            <v>65510</v>
          </cell>
          <cell r="E337">
            <v>112430</v>
          </cell>
          <cell r="F337">
            <v>68380</v>
          </cell>
          <cell r="G337">
            <v>108010</v>
          </cell>
        </row>
        <row r="338">
          <cell r="A338" t="str">
            <v>31-2022</v>
          </cell>
          <cell r="B338" t="str">
            <v>Physical Therapist Aides</v>
          </cell>
          <cell r="C338">
            <v>-0.88232650000000001</v>
          </cell>
          <cell r="D338">
            <v>34520</v>
          </cell>
          <cell r="E338">
            <v>48150</v>
          </cell>
          <cell r="F338">
            <v>35240</v>
          </cell>
          <cell r="G338">
            <v>44010</v>
          </cell>
        </row>
        <row r="339">
          <cell r="A339" t="str">
            <v>31-9011</v>
          </cell>
          <cell r="B339" t="str">
            <v>Massage Therapists</v>
          </cell>
          <cell r="C339">
            <v>-1.4102330000000001</v>
          </cell>
          <cell r="D339">
            <v>57950</v>
          </cell>
          <cell r="E339">
            <v>98790</v>
          </cell>
          <cell r="F339">
            <v>58450</v>
          </cell>
          <cell r="G339">
            <v>96040</v>
          </cell>
        </row>
        <row r="340">
          <cell r="A340" t="str">
            <v>31-9091</v>
          </cell>
          <cell r="B340" t="str">
            <v>Dental Assistants</v>
          </cell>
          <cell r="C340">
            <v>-0.52687589999999995</v>
          </cell>
          <cell r="D340">
            <v>47300</v>
          </cell>
          <cell r="E340">
            <v>387790</v>
          </cell>
          <cell r="F340">
            <v>48070</v>
          </cell>
          <cell r="G340">
            <v>375430</v>
          </cell>
        </row>
        <row r="341">
          <cell r="A341" t="str">
            <v>31-9092</v>
          </cell>
          <cell r="B341" t="str">
            <v>Medical Assistants</v>
          </cell>
          <cell r="C341">
            <v>0.1497917</v>
          </cell>
          <cell r="D341">
            <v>44200</v>
          </cell>
          <cell r="E341">
            <v>817870</v>
          </cell>
          <cell r="F341">
            <v>45690</v>
          </cell>
          <cell r="G341">
            <v>793460</v>
          </cell>
        </row>
        <row r="342">
          <cell r="A342" t="str">
            <v>31-9093</v>
          </cell>
          <cell r="B342" t="str">
            <v>Medical Equipment Preparers</v>
          </cell>
          <cell r="C342">
            <v>-0.73086479999999998</v>
          </cell>
          <cell r="D342">
            <v>46490</v>
          </cell>
          <cell r="E342">
            <v>77420</v>
          </cell>
          <cell r="F342">
            <v>47700</v>
          </cell>
          <cell r="G342">
            <v>72760</v>
          </cell>
        </row>
        <row r="343">
          <cell r="A343" t="str">
            <v>31-9094</v>
          </cell>
          <cell r="B343" t="str">
            <v>Medical Transcriptionists</v>
          </cell>
          <cell r="C343">
            <v>1.0625899999999999</v>
          </cell>
          <cell r="D343">
            <v>37550</v>
          </cell>
          <cell r="E343">
            <v>41550</v>
          </cell>
          <cell r="F343">
            <v>40410</v>
          </cell>
          <cell r="G343">
            <v>43070</v>
          </cell>
        </row>
        <row r="344">
          <cell r="A344" t="str">
            <v>31-9095</v>
          </cell>
          <cell r="B344" t="str">
            <v>Pharmacy Aides</v>
          </cell>
          <cell r="C344">
            <v>-0.1552654</v>
          </cell>
          <cell r="D344">
            <v>37000</v>
          </cell>
          <cell r="E344">
            <v>39530</v>
          </cell>
          <cell r="F344">
            <v>37680</v>
          </cell>
          <cell r="G344">
            <v>41100</v>
          </cell>
        </row>
        <row r="345">
          <cell r="A345" t="str">
            <v>31-9096</v>
          </cell>
          <cell r="B345" t="str">
            <v>Veterinary Assistants and Laboratory Animal Caretakers</v>
          </cell>
          <cell r="C345">
            <v>-0.7735824</v>
          </cell>
          <cell r="D345">
            <v>37320</v>
          </cell>
          <cell r="E345">
            <v>126580</v>
          </cell>
          <cell r="F345">
            <v>38150</v>
          </cell>
          <cell r="G345">
            <v>114190</v>
          </cell>
        </row>
        <row r="346">
          <cell r="A346" t="str">
            <v>31-9097</v>
          </cell>
          <cell r="B346" t="str">
            <v>Phlebotomists</v>
          </cell>
          <cell r="C346">
            <v>-0.27784750000000003</v>
          </cell>
          <cell r="D346">
            <v>43660</v>
          </cell>
          <cell r="E346">
            <v>143540</v>
          </cell>
          <cell r="F346">
            <v>45230</v>
          </cell>
          <cell r="G346">
            <v>138880</v>
          </cell>
        </row>
        <row r="347">
          <cell r="A347" t="str">
            <v>31-9099</v>
          </cell>
          <cell r="B347" t="str">
            <v>Healthcare Support Workers, All Other</v>
          </cell>
          <cell r="C347">
            <v>0.16600770000000001</v>
          </cell>
          <cell r="D347">
            <v>46050</v>
          </cell>
          <cell r="E347">
            <v>109740</v>
          </cell>
          <cell r="F347">
            <v>48430</v>
          </cell>
          <cell r="G347">
            <v>103650</v>
          </cell>
        </row>
        <row r="348">
          <cell r="A348" t="str">
            <v>33-1011</v>
          </cell>
          <cell r="B348" t="str">
            <v>First-Line Supervisors/Managers of Correctional Officers</v>
          </cell>
          <cell r="C348">
            <v>-0.55842780000000003</v>
          </cell>
          <cell r="D348">
            <v>76310</v>
          </cell>
          <cell r="E348">
            <v>53380</v>
          </cell>
          <cell r="F348">
            <v>77970</v>
          </cell>
          <cell r="G348">
            <v>53390</v>
          </cell>
        </row>
        <row r="349">
          <cell r="A349" t="str">
            <v>33-1012</v>
          </cell>
          <cell r="B349" t="str">
            <v>First-Line Supervisors/Managers of Police and Detectives</v>
          </cell>
          <cell r="C349">
            <v>-0.1923298</v>
          </cell>
          <cell r="D349">
            <v>105980</v>
          </cell>
          <cell r="E349">
            <v>154610</v>
          </cell>
          <cell r="F349">
            <v>106040</v>
          </cell>
          <cell r="G349">
            <v>153130</v>
          </cell>
        </row>
        <row r="350">
          <cell r="A350" t="str">
            <v>33-1021</v>
          </cell>
          <cell r="B350" t="str">
            <v>First-Line Supervisors/Managers of Fire Fighting and Prevention Workers</v>
          </cell>
          <cell r="C350">
            <v>-0.59302100000000002</v>
          </cell>
          <cell r="D350">
            <v>92430</v>
          </cell>
          <cell r="E350">
            <v>99140</v>
          </cell>
          <cell r="F350">
            <v>93530</v>
          </cell>
          <cell r="G350">
            <v>93680</v>
          </cell>
        </row>
        <row r="351">
          <cell r="A351" t="str">
            <v>33-2011</v>
          </cell>
          <cell r="B351" t="str">
            <v>Fire Fighters</v>
          </cell>
          <cell r="C351">
            <v>-1.3202320000000001</v>
          </cell>
          <cell r="D351">
            <v>59530</v>
          </cell>
          <cell r="E351">
            <v>345990</v>
          </cell>
          <cell r="F351">
            <v>59280</v>
          </cell>
          <cell r="G351">
            <v>332240</v>
          </cell>
        </row>
        <row r="352">
          <cell r="A352" t="str">
            <v>33-2021</v>
          </cell>
          <cell r="B352" t="str">
            <v>Fire Inspectors and Investigators</v>
          </cell>
          <cell r="C352">
            <v>6.2793000000000002E-2</v>
          </cell>
          <cell r="D352">
            <v>78060</v>
          </cell>
          <cell r="E352">
            <v>13800</v>
          </cell>
          <cell r="F352">
            <v>75920</v>
          </cell>
          <cell r="G352">
            <v>14050</v>
          </cell>
        </row>
        <row r="353">
          <cell r="A353" t="str">
            <v>33-2022</v>
          </cell>
          <cell r="B353" t="str">
            <v>Forest Fire Inspectors and Prevention Specialists</v>
          </cell>
          <cell r="C353">
            <v>-0.21441270000000001</v>
          </cell>
          <cell r="D353">
            <v>52380</v>
          </cell>
          <cell r="E353">
            <v>2780</v>
          </cell>
          <cell r="F353">
            <v>56870</v>
          </cell>
          <cell r="G353">
            <v>2780</v>
          </cell>
        </row>
        <row r="354">
          <cell r="A354" t="str">
            <v>33-3011</v>
          </cell>
          <cell r="B354" t="str">
            <v>Bailiffs</v>
          </cell>
          <cell r="C354">
            <v>-0.5103183</v>
          </cell>
          <cell r="D354">
            <v>57050</v>
          </cell>
          <cell r="E354">
            <v>17310</v>
          </cell>
          <cell r="F354">
            <v>56600</v>
          </cell>
          <cell r="G354">
            <v>16910</v>
          </cell>
        </row>
        <row r="355">
          <cell r="A355" t="str">
            <v>33-3012</v>
          </cell>
          <cell r="B355" t="str">
            <v>Correctional Officers and Jailers</v>
          </cell>
          <cell r="C355">
            <v>-0.88753649999999995</v>
          </cell>
          <cell r="D355">
            <v>57970</v>
          </cell>
          <cell r="E355">
            <v>380500</v>
          </cell>
          <cell r="F355">
            <v>58940</v>
          </cell>
          <cell r="G355">
            <v>365380</v>
          </cell>
        </row>
        <row r="356">
          <cell r="A356" t="str">
            <v>33-3021</v>
          </cell>
          <cell r="B356" t="str">
            <v>Detectives and Criminal Investigators</v>
          </cell>
          <cell r="C356">
            <v>0.22576959999999999</v>
          </cell>
          <cell r="D356">
            <v>93580</v>
          </cell>
          <cell r="E356">
            <v>114430</v>
          </cell>
          <cell r="F356">
            <v>93790</v>
          </cell>
          <cell r="G356">
            <v>110790</v>
          </cell>
        </row>
        <row r="357">
          <cell r="A357" t="str">
            <v>33-3031</v>
          </cell>
          <cell r="B357" t="str">
            <v>Fish and Game Wardens</v>
          </cell>
          <cell r="C357">
            <v>-0.4585168</v>
          </cell>
          <cell r="D357">
            <v>68180</v>
          </cell>
          <cell r="E357">
            <v>5770</v>
          </cell>
          <cell r="F357">
            <v>74060</v>
          </cell>
          <cell r="G357">
            <v>6420</v>
          </cell>
        </row>
        <row r="358">
          <cell r="A358" t="str">
            <v>33-3041</v>
          </cell>
          <cell r="B358" t="str">
            <v>Parking Enforcement Workers</v>
          </cell>
          <cell r="C358">
            <v>-0.62399309999999997</v>
          </cell>
          <cell r="D358">
            <v>47150</v>
          </cell>
          <cell r="E358">
            <v>9050</v>
          </cell>
          <cell r="F358">
            <v>46730</v>
          </cell>
          <cell r="G358">
            <v>7770</v>
          </cell>
        </row>
        <row r="359">
          <cell r="A359" t="str">
            <v>33-3051</v>
          </cell>
          <cell r="B359" t="str">
            <v>Police and Sheriff's Patrol Officers</v>
          </cell>
          <cell r="C359">
            <v>-0.66811229999999999</v>
          </cell>
          <cell r="D359">
            <v>76290</v>
          </cell>
          <cell r="E359">
            <v>670520</v>
          </cell>
          <cell r="F359">
            <v>76210</v>
          </cell>
          <cell r="G359">
            <v>666990</v>
          </cell>
        </row>
        <row r="360">
          <cell r="A360" t="str">
            <v>33-3052</v>
          </cell>
          <cell r="B360" t="str">
            <v>Transit and Railroad Police</v>
          </cell>
          <cell r="C360">
            <v>-0.82055149999999999</v>
          </cell>
          <cell r="D360">
            <v>82320</v>
          </cell>
          <cell r="E360">
            <v>4390</v>
          </cell>
          <cell r="F360">
            <v>90230</v>
          </cell>
          <cell r="G360">
            <v>3000</v>
          </cell>
        </row>
        <row r="361">
          <cell r="A361" t="str">
            <v>33-9011</v>
          </cell>
          <cell r="B361" t="str">
            <v>Animal Control Workers</v>
          </cell>
          <cell r="C361">
            <v>-0.5946321</v>
          </cell>
          <cell r="D361">
            <v>45830</v>
          </cell>
          <cell r="E361">
            <v>12070</v>
          </cell>
          <cell r="F361">
            <v>45660</v>
          </cell>
          <cell r="G361">
            <v>11790</v>
          </cell>
        </row>
        <row r="362">
          <cell r="A362" t="str">
            <v>33-9021</v>
          </cell>
          <cell r="B362" t="str">
            <v>Private Detectives and Investigators</v>
          </cell>
          <cell r="C362">
            <v>0.74831080000000005</v>
          </cell>
          <cell r="D362">
            <v>52370</v>
          </cell>
          <cell r="E362">
            <v>35580</v>
          </cell>
          <cell r="F362">
            <v>51220</v>
          </cell>
          <cell r="G362">
            <v>38700</v>
          </cell>
        </row>
        <row r="363">
          <cell r="A363" t="str">
            <v>33-9031</v>
          </cell>
          <cell r="B363" t="str">
            <v>Gaming Surveillance Officers and Gaming Investigators</v>
          </cell>
          <cell r="C363">
            <v>0.72839330000000002</v>
          </cell>
          <cell r="D363">
            <v>43900</v>
          </cell>
          <cell r="E363">
            <v>9520</v>
          </cell>
          <cell r="F363">
            <v>43370</v>
          </cell>
          <cell r="G363">
            <v>10000</v>
          </cell>
        </row>
        <row r="364">
          <cell r="A364" t="str">
            <v>33-9032</v>
          </cell>
          <cell r="B364" t="str">
            <v>Security Guards</v>
          </cell>
          <cell r="C364">
            <v>-0.39084210000000003</v>
          </cell>
          <cell r="D364">
            <v>38370</v>
          </cell>
          <cell r="E364">
            <v>1283470</v>
          </cell>
          <cell r="F364">
            <v>38020</v>
          </cell>
          <cell r="G364">
            <v>1241770</v>
          </cell>
        </row>
        <row r="365">
          <cell r="A365" t="str">
            <v>33-9091</v>
          </cell>
          <cell r="B365" t="str">
            <v>Crossing Guards</v>
          </cell>
          <cell r="C365">
            <v>-0.56995110000000004</v>
          </cell>
          <cell r="D365">
            <v>37700</v>
          </cell>
          <cell r="E365">
            <v>94360</v>
          </cell>
          <cell r="F365">
            <v>38100</v>
          </cell>
          <cell r="G365">
            <v>90180</v>
          </cell>
        </row>
        <row r="366">
          <cell r="A366" t="str">
            <v>33-9092</v>
          </cell>
          <cell r="B366" t="str">
            <v>Lifeguards, Ski Patrol, and Other Recreational Protective Service Workers</v>
          </cell>
          <cell r="C366">
            <v>-0.47183849999999999</v>
          </cell>
          <cell r="D366">
            <v>33720</v>
          </cell>
          <cell r="E366">
            <v>157550</v>
          </cell>
          <cell r="F366">
            <v>33580</v>
          </cell>
          <cell r="G366">
            <v>143590</v>
          </cell>
        </row>
        <row r="367">
          <cell r="A367" t="str">
            <v>33-9093</v>
          </cell>
          <cell r="B367" t="str">
            <v>Transportation Security Screeners</v>
          </cell>
          <cell r="C367">
            <v>-0.50685579999999997</v>
          </cell>
          <cell r="D367">
            <v>63360</v>
          </cell>
          <cell r="E367">
            <v>50290</v>
          </cell>
          <cell r="F367">
            <v>66770</v>
          </cell>
          <cell r="G367">
            <v>46340</v>
          </cell>
        </row>
        <row r="368">
          <cell r="A368" t="str">
            <v>33-9099</v>
          </cell>
          <cell r="B368" t="str">
            <v>Protective Service Workers, All Other</v>
          </cell>
          <cell r="C368">
            <v>7.6408799999999999E-2</v>
          </cell>
          <cell r="D368">
            <v>41600</v>
          </cell>
          <cell r="E368">
            <v>81500</v>
          </cell>
          <cell r="F368">
            <v>42540</v>
          </cell>
          <cell r="G368">
            <v>83110</v>
          </cell>
        </row>
        <row r="369">
          <cell r="A369" t="str">
            <v>35-0000</v>
          </cell>
          <cell r="B369" t="str">
            <v>Combined Food Preparation and Serving Workers, Including Fast Food</v>
          </cell>
          <cell r="C369">
            <v>-0.53052659999999996</v>
          </cell>
          <cell r="D369">
            <v>33530</v>
          </cell>
          <cell r="E369">
            <v>13680750</v>
          </cell>
          <cell r="F369">
            <v>35050</v>
          </cell>
          <cell r="G369">
            <v>13613490</v>
          </cell>
        </row>
        <row r="370">
          <cell r="A370" t="str">
            <v>35-1011</v>
          </cell>
          <cell r="B370" t="str">
            <v>Chefs and Head Cooks</v>
          </cell>
          <cell r="C370">
            <v>-0.26764329999999997</v>
          </cell>
          <cell r="D370">
            <v>34130</v>
          </cell>
          <cell r="E370">
            <v>200040</v>
          </cell>
          <cell r="F370">
            <v>62470</v>
          </cell>
          <cell r="G370">
            <v>182320</v>
          </cell>
        </row>
        <row r="371">
          <cell r="A371" t="str">
            <v>35-1012</v>
          </cell>
          <cell r="B371" t="str">
            <v>First-Line Supervisors/Managers of Food Preparation and Serving Workers</v>
          </cell>
          <cell r="C371">
            <v>-0.25754919999999998</v>
          </cell>
          <cell r="D371">
            <v>60990</v>
          </cell>
          <cell r="E371">
            <v>1223240</v>
          </cell>
          <cell r="F371">
            <v>44080</v>
          </cell>
          <cell r="G371">
            <v>1187460</v>
          </cell>
        </row>
        <row r="372">
          <cell r="A372" t="str">
            <v>35-2011</v>
          </cell>
          <cell r="B372" t="str">
            <v>Cooks, Fast Food</v>
          </cell>
          <cell r="C372">
            <v>-0.71318369999999998</v>
          </cell>
          <cell r="D372">
            <v>42010</v>
          </cell>
          <cell r="E372">
            <v>641070</v>
          </cell>
          <cell r="F372">
            <v>30890</v>
          </cell>
          <cell r="G372">
            <v>668230</v>
          </cell>
        </row>
        <row r="373">
          <cell r="A373" t="str">
            <v>35-2012</v>
          </cell>
          <cell r="B373" t="str">
            <v>Cooks, Institution and Cafeteria</v>
          </cell>
          <cell r="C373">
            <v>-0.63608129999999996</v>
          </cell>
          <cell r="D373">
            <v>30160</v>
          </cell>
          <cell r="E373">
            <v>441050</v>
          </cell>
          <cell r="F373">
            <v>37450</v>
          </cell>
          <cell r="G373">
            <v>448260</v>
          </cell>
        </row>
        <row r="374">
          <cell r="A374" t="str">
            <v>35-2013</v>
          </cell>
          <cell r="B374" t="str">
            <v>Cooks, Private Household</v>
          </cell>
          <cell r="C374">
            <v>-0.78674440000000001</v>
          </cell>
          <cell r="D374">
            <v>36450</v>
          </cell>
          <cell r="E374">
            <v>1100</v>
          </cell>
          <cell r="F374">
            <v>47940</v>
          </cell>
          <cell r="G374">
            <v>900</v>
          </cell>
        </row>
        <row r="375">
          <cell r="A375" t="str">
            <v>35-2014</v>
          </cell>
          <cell r="B375" t="str">
            <v>Cooks, Restaurant</v>
          </cell>
          <cell r="C375">
            <v>-0.7418264</v>
          </cell>
          <cell r="D375">
            <v>44530</v>
          </cell>
          <cell r="E375">
            <v>1409890</v>
          </cell>
          <cell r="F375">
            <v>37390</v>
          </cell>
          <cell r="G375">
            <v>1452130</v>
          </cell>
        </row>
        <row r="376">
          <cell r="A376" t="str">
            <v>35-2015</v>
          </cell>
          <cell r="B376" t="str">
            <v>Cooks, Short Order</v>
          </cell>
          <cell r="C376">
            <v>-0.59338170000000001</v>
          </cell>
          <cell r="D376">
            <v>36830</v>
          </cell>
          <cell r="E376">
            <v>138650</v>
          </cell>
          <cell r="F376">
            <v>35880</v>
          </cell>
          <cell r="G376">
            <v>150420</v>
          </cell>
        </row>
        <row r="377">
          <cell r="A377" t="str">
            <v>35-2021</v>
          </cell>
          <cell r="B377" t="str">
            <v>Food Preparation Workers</v>
          </cell>
          <cell r="C377">
            <v>-1.226416</v>
          </cell>
          <cell r="D377">
            <v>35620</v>
          </cell>
          <cell r="E377">
            <v>893600</v>
          </cell>
          <cell r="F377">
            <v>35320</v>
          </cell>
          <cell r="G377">
            <v>888770</v>
          </cell>
        </row>
        <row r="378">
          <cell r="A378" t="str">
            <v>35-3011</v>
          </cell>
          <cell r="B378" t="str">
            <v>Bartenders</v>
          </cell>
          <cell r="C378">
            <v>-0.61598830000000004</v>
          </cell>
          <cell r="D378">
            <v>34220</v>
          </cell>
          <cell r="E378">
            <v>756390</v>
          </cell>
          <cell r="F378">
            <v>34340</v>
          </cell>
          <cell r="G378">
            <v>745610</v>
          </cell>
        </row>
        <row r="379">
          <cell r="A379" t="str">
            <v>35-3031</v>
          </cell>
          <cell r="B379" t="str">
            <v>Waiters and Waitresses</v>
          </cell>
          <cell r="C379">
            <v>-0.94810030000000001</v>
          </cell>
          <cell r="D379">
            <v>34460</v>
          </cell>
          <cell r="E379">
            <v>2270910</v>
          </cell>
          <cell r="F379">
            <v>35230</v>
          </cell>
          <cell r="G379">
            <v>2302690</v>
          </cell>
        </row>
        <row r="380">
          <cell r="A380" t="str">
            <v>35-3041</v>
          </cell>
          <cell r="B380" t="str">
            <v>Food Servers, Nonrestaurant</v>
          </cell>
          <cell r="C380">
            <v>-0.72702060000000002</v>
          </cell>
          <cell r="D380">
            <v>32680</v>
          </cell>
          <cell r="E380">
            <v>293900</v>
          </cell>
          <cell r="F380">
            <v>35360</v>
          </cell>
          <cell r="G380">
            <v>271780</v>
          </cell>
        </row>
        <row r="381">
          <cell r="A381" t="str">
            <v>35-9000</v>
          </cell>
          <cell r="B381" t="str">
            <v>Counter Attendants, Cafeteria, Food Concession, and Coffee Shop</v>
          </cell>
          <cell r="C381">
            <v>-0.48509560000000002</v>
          </cell>
          <cell r="D381">
            <v>33760</v>
          </cell>
          <cell r="E381">
            <v>1537520</v>
          </cell>
          <cell r="F381">
            <v>34080</v>
          </cell>
          <cell r="G381">
            <v>1510410</v>
          </cell>
        </row>
        <row r="382">
          <cell r="A382" t="str">
            <v>35-9011</v>
          </cell>
          <cell r="B382" t="str">
            <v>Dining Room and Cafeteria Attendants and Bartender Helpers</v>
          </cell>
          <cell r="C382">
            <v>-1.9270780000000001</v>
          </cell>
          <cell r="D382">
            <v>32670</v>
          </cell>
          <cell r="E382">
            <v>542750</v>
          </cell>
          <cell r="F382">
            <v>33980</v>
          </cell>
          <cell r="G382">
            <v>522010</v>
          </cell>
        </row>
        <row r="383">
          <cell r="A383" t="str">
            <v>35-9021</v>
          </cell>
          <cell r="B383" t="str">
            <v>Dishwashers</v>
          </cell>
          <cell r="C383">
            <v>-1.738612</v>
          </cell>
          <cell r="D383">
            <v>33670</v>
          </cell>
          <cell r="E383">
            <v>477450</v>
          </cell>
          <cell r="F383">
            <v>34810</v>
          </cell>
          <cell r="G383">
            <v>471670</v>
          </cell>
        </row>
        <row r="384">
          <cell r="A384" t="str">
            <v>35-9031</v>
          </cell>
          <cell r="B384" t="str">
            <v>Hosts and Hostesses, Restaurant, Lounge, and Coffee Shop</v>
          </cell>
          <cell r="C384">
            <v>-5.6547699999999999E-2</v>
          </cell>
          <cell r="D384">
            <v>30380</v>
          </cell>
          <cell r="E384">
            <v>432690</v>
          </cell>
          <cell r="F384">
            <v>31200</v>
          </cell>
          <cell r="G384">
            <v>427150</v>
          </cell>
        </row>
        <row r="385">
          <cell r="A385" t="str">
            <v>37-1011</v>
          </cell>
          <cell r="B385" t="str">
            <v>First-Line Supervisors/Managers of Housekeeping and Janitorial Workers</v>
          </cell>
          <cell r="C385">
            <v>-0.58541279999999996</v>
          </cell>
          <cell r="D385">
            <v>47520</v>
          </cell>
          <cell r="E385">
            <v>178760</v>
          </cell>
          <cell r="F385">
            <v>49100</v>
          </cell>
          <cell r="G385">
            <v>174660</v>
          </cell>
        </row>
        <row r="386">
          <cell r="A386" t="str">
            <v>37-1012</v>
          </cell>
          <cell r="B386" t="str">
            <v>First-Line Supervisors/Managers of Landscaping, Lawn Service, and Groundskeeping Workers</v>
          </cell>
          <cell r="C386">
            <v>-0.55488709999999997</v>
          </cell>
          <cell r="D386">
            <v>56170</v>
          </cell>
          <cell r="E386">
            <v>130760</v>
          </cell>
          <cell r="F386">
            <v>58430</v>
          </cell>
          <cell r="G386">
            <v>124130</v>
          </cell>
        </row>
        <row r="387">
          <cell r="A387" t="str">
            <v>37-2011</v>
          </cell>
          <cell r="B387" t="str">
            <v>Janitors and Cleaners, Except Maids and Housekeeping Cleaners</v>
          </cell>
          <cell r="C387">
            <v>-1.4362010000000001</v>
          </cell>
          <cell r="D387">
            <v>35930</v>
          </cell>
          <cell r="E387">
            <v>2209760</v>
          </cell>
          <cell r="F387">
            <v>36840</v>
          </cell>
          <cell r="G387">
            <v>2199900</v>
          </cell>
        </row>
        <row r="388">
          <cell r="A388" t="str">
            <v>37-2012</v>
          </cell>
          <cell r="B388" t="str">
            <v>Maids and Housekeeping Cleaners</v>
          </cell>
          <cell r="C388">
            <v>-1.4806569999999999</v>
          </cell>
          <cell r="D388">
            <v>34660</v>
          </cell>
          <cell r="E388">
            <v>860670</v>
          </cell>
          <cell r="F388">
            <v>35510</v>
          </cell>
          <cell r="G388">
            <v>854910</v>
          </cell>
        </row>
        <row r="389">
          <cell r="A389" t="str">
            <v>37-2021</v>
          </cell>
          <cell r="B389" t="str">
            <v>Pest Control Workers</v>
          </cell>
          <cell r="C389">
            <v>-0.7255374</v>
          </cell>
          <cell r="D389">
            <v>44730</v>
          </cell>
          <cell r="E389">
            <v>102620</v>
          </cell>
          <cell r="F389">
            <v>45250</v>
          </cell>
          <cell r="G389">
            <v>96110</v>
          </cell>
        </row>
        <row r="390">
          <cell r="A390" t="str">
            <v>37-3011</v>
          </cell>
          <cell r="B390" t="str">
            <v>Landscaping and Groundskeeping Workers</v>
          </cell>
          <cell r="C390">
            <v>-1.8242929999999999</v>
          </cell>
          <cell r="D390">
            <v>38090</v>
          </cell>
          <cell r="E390">
            <v>952640</v>
          </cell>
          <cell r="F390">
            <v>39150</v>
          </cell>
          <cell r="G390">
            <v>943430</v>
          </cell>
        </row>
        <row r="391">
          <cell r="A391" t="str">
            <v>37-3012</v>
          </cell>
          <cell r="B391" t="str">
            <v>Pesticide Handlers, Sprayers, and Applicators, Vegetation</v>
          </cell>
          <cell r="C391">
            <v>-0.88479350000000001</v>
          </cell>
          <cell r="D391">
            <v>45200</v>
          </cell>
          <cell r="E391">
            <v>27050</v>
          </cell>
          <cell r="F391">
            <v>46340</v>
          </cell>
          <cell r="G391">
            <v>25200</v>
          </cell>
        </row>
        <row r="392">
          <cell r="A392" t="str">
            <v>37-3013</v>
          </cell>
          <cell r="B392" t="str">
            <v>Tree Trimmers and Pruners</v>
          </cell>
          <cell r="C392">
            <v>-1.7270350000000001</v>
          </cell>
          <cell r="D392">
            <v>50430</v>
          </cell>
          <cell r="E392">
            <v>55160</v>
          </cell>
          <cell r="F392">
            <v>50960</v>
          </cell>
          <cell r="G392">
            <v>47870</v>
          </cell>
        </row>
        <row r="393">
          <cell r="A393" t="str">
            <v>39-1020</v>
          </cell>
          <cell r="B393" t="str">
            <v>First-Line Supervisors/Managers of Personal Service Workers</v>
          </cell>
          <cell r="C393">
            <v>0.43030750000000001</v>
          </cell>
          <cell r="D393" t="e">
            <v>#N/A</v>
          </cell>
          <cell r="E393">
            <v>114110</v>
          </cell>
          <cell r="F393">
            <v>48590</v>
          </cell>
          <cell r="G393">
            <v>107060</v>
          </cell>
        </row>
        <row r="394">
          <cell r="A394" t="str">
            <v>39-2011</v>
          </cell>
          <cell r="B394" t="str">
            <v>Animal Trainers</v>
          </cell>
          <cell r="C394">
            <v>-0.91677589999999998</v>
          </cell>
          <cell r="D394">
            <v>38750</v>
          </cell>
          <cell r="E394">
            <v>18770</v>
          </cell>
          <cell r="F394">
            <v>39990</v>
          </cell>
          <cell r="G394">
            <v>20110</v>
          </cell>
        </row>
        <row r="395">
          <cell r="A395" t="str">
            <v>39-2021</v>
          </cell>
          <cell r="B395" t="str">
            <v>Nonfarm Animal Caretakers</v>
          </cell>
          <cell r="C395">
            <v>-0.88904079999999996</v>
          </cell>
          <cell r="D395">
            <v>33470</v>
          </cell>
          <cell r="E395">
            <v>266910</v>
          </cell>
          <cell r="F395">
            <v>35360</v>
          </cell>
          <cell r="G395">
            <v>277300</v>
          </cell>
        </row>
        <row r="396">
          <cell r="A396" t="str">
            <v>39-3011</v>
          </cell>
          <cell r="B396" t="str">
            <v>Gaming Dealers</v>
          </cell>
          <cell r="C396">
            <v>6.0583199999999997E-2</v>
          </cell>
          <cell r="D396">
            <v>33280</v>
          </cell>
          <cell r="E396">
            <v>83910</v>
          </cell>
          <cell r="F396">
            <v>34320</v>
          </cell>
          <cell r="G396">
            <v>82980</v>
          </cell>
        </row>
        <row r="397">
          <cell r="A397" t="str">
            <v>39-3012</v>
          </cell>
          <cell r="B397" t="str">
            <v>Gaming and Sports Book Writers and Runners</v>
          </cell>
          <cell r="C397">
            <v>0.4652752</v>
          </cell>
          <cell r="D397">
            <v>30460</v>
          </cell>
          <cell r="E397">
            <v>8950</v>
          </cell>
          <cell r="F397">
            <v>34980</v>
          </cell>
          <cell r="G397">
            <v>7600</v>
          </cell>
        </row>
        <row r="398">
          <cell r="A398" t="str">
            <v>39-3021</v>
          </cell>
          <cell r="B398" t="str">
            <v>Motion Picture Projectionists</v>
          </cell>
          <cell r="C398">
            <v>-0.37865979999999999</v>
          </cell>
          <cell r="D398">
            <v>38180</v>
          </cell>
          <cell r="E398">
            <v>1480</v>
          </cell>
          <cell r="F398">
            <v>38270</v>
          </cell>
          <cell r="G398">
            <v>1950</v>
          </cell>
        </row>
        <row r="399">
          <cell r="A399" t="str">
            <v>39-3031</v>
          </cell>
          <cell r="B399" t="str">
            <v>Ushers, Lobby Attendants, and Ticket Takers</v>
          </cell>
          <cell r="C399">
            <v>-0.2420959</v>
          </cell>
          <cell r="D399">
            <v>31150</v>
          </cell>
          <cell r="E399">
            <v>121770</v>
          </cell>
          <cell r="F399">
            <v>32910</v>
          </cell>
          <cell r="G399">
            <v>119210</v>
          </cell>
        </row>
        <row r="400">
          <cell r="A400" t="str">
            <v>39-3091</v>
          </cell>
          <cell r="B400" t="str">
            <v>Amusement and Recreation Attendants</v>
          </cell>
          <cell r="C400">
            <v>-0.52461530000000001</v>
          </cell>
          <cell r="D400">
            <v>30490</v>
          </cell>
          <cell r="E400">
            <v>397830</v>
          </cell>
          <cell r="F400">
            <v>32150</v>
          </cell>
          <cell r="G400">
            <v>371590</v>
          </cell>
        </row>
        <row r="401">
          <cell r="A401" t="str">
            <v>39-3092</v>
          </cell>
          <cell r="B401" t="str">
            <v>Costume Attendants</v>
          </cell>
          <cell r="C401">
            <v>-0.45336080000000001</v>
          </cell>
          <cell r="D401">
            <v>54810</v>
          </cell>
          <cell r="E401">
            <v>6510</v>
          </cell>
          <cell r="F401">
            <v>50400</v>
          </cell>
          <cell r="G401">
            <v>6290</v>
          </cell>
        </row>
        <row r="402">
          <cell r="A402" t="str">
            <v>39-3093</v>
          </cell>
          <cell r="B402" t="str">
            <v>Locker Room, Coatroom, and Dressing Room Attendants</v>
          </cell>
          <cell r="C402">
            <v>-0.34543760000000001</v>
          </cell>
          <cell r="D402">
            <v>34800</v>
          </cell>
          <cell r="E402">
            <v>15560</v>
          </cell>
          <cell r="F402">
            <v>36300</v>
          </cell>
          <cell r="G402">
            <v>14960</v>
          </cell>
        </row>
        <row r="403">
          <cell r="A403" t="str">
            <v>39-4011</v>
          </cell>
          <cell r="B403" t="str">
            <v>Embalmers</v>
          </cell>
          <cell r="C403">
            <v>-0.73114509999999999</v>
          </cell>
          <cell r="D403">
            <v>56280</v>
          </cell>
          <cell r="E403">
            <v>3890</v>
          </cell>
          <cell r="F403">
            <v>58780</v>
          </cell>
          <cell r="G403">
            <v>3420</v>
          </cell>
        </row>
        <row r="404">
          <cell r="A404" t="str">
            <v>39-4021</v>
          </cell>
          <cell r="B404" t="str">
            <v>Funeral Attendants</v>
          </cell>
          <cell r="C404">
            <v>-0.54454119999999995</v>
          </cell>
          <cell r="D404">
            <v>34610</v>
          </cell>
          <cell r="E404">
            <v>31090</v>
          </cell>
          <cell r="F404">
            <v>35680</v>
          </cell>
          <cell r="G404">
            <v>30560</v>
          </cell>
        </row>
        <row r="405">
          <cell r="A405" t="str">
            <v>39-4031</v>
          </cell>
          <cell r="B405" t="str">
            <v>Morticians, Undertakers, and Funeral Directors</v>
          </cell>
          <cell r="C405">
            <v>-0.19037589999999999</v>
          </cell>
          <cell r="D405">
            <v>49800</v>
          </cell>
          <cell r="E405">
            <v>25100</v>
          </cell>
          <cell r="F405">
            <v>55010</v>
          </cell>
          <cell r="G405">
            <v>25700</v>
          </cell>
        </row>
        <row r="406">
          <cell r="A406" t="str">
            <v>39-5011</v>
          </cell>
          <cell r="B406" t="str">
            <v>Barbers</v>
          </cell>
          <cell r="C406">
            <v>-0.7294621</v>
          </cell>
          <cell r="D406">
            <v>38960</v>
          </cell>
          <cell r="E406">
            <v>15000</v>
          </cell>
          <cell r="F406">
            <v>38210</v>
          </cell>
          <cell r="G406">
            <v>18100</v>
          </cell>
        </row>
        <row r="407">
          <cell r="A407" t="str">
            <v>39-5012</v>
          </cell>
          <cell r="B407" t="str">
            <v>Hairdressers, Hairstylists, and Cosmetologists</v>
          </cell>
          <cell r="C407">
            <v>-0.68245169999999999</v>
          </cell>
          <cell r="D407">
            <v>35250</v>
          </cell>
          <cell r="E407">
            <v>305710</v>
          </cell>
          <cell r="F407">
            <v>35790</v>
          </cell>
          <cell r="G407">
            <v>295460</v>
          </cell>
        </row>
        <row r="408">
          <cell r="A408" t="str">
            <v>39-5091</v>
          </cell>
          <cell r="B408" t="str">
            <v>Makeup Artists, Theatrical and Performance</v>
          </cell>
          <cell r="C408">
            <v>-0.45961380000000002</v>
          </cell>
          <cell r="D408">
            <v>50280</v>
          </cell>
          <cell r="E408">
            <v>2340</v>
          </cell>
          <cell r="F408">
            <v>97150</v>
          </cell>
          <cell r="G408">
            <v>3320</v>
          </cell>
        </row>
        <row r="409">
          <cell r="A409" t="str">
            <v>39-5092</v>
          </cell>
          <cell r="B409" t="str">
            <v>Manicurists and Pedicurists</v>
          </cell>
          <cell r="C409">
            <v>3.3512399999999998E-2</v>
          </cell>
          <cell r="D409">
            <v>34660</v>
          </cell>
          <cell r="E409">
            <v>152770</v>
          </cell>
          <cell r="F409">
            <v>35760</v>
          </cell>
          <cell r="G409">
            <v>147820</v>
          </cell>
        </row>
        <row r="410">
          <cell r="A410" t="str">
            <v>39-5093</v>
          </cell>
          <cell r="B410" t="str">
            <v>Shampooers</v>
          </cell>
          <cell r="C410">
            <v>-0.90537100000000004</v>
          </cell>
          <cell r="D410">
            <v>31470</v>
          </cell>
          <cell r="E410">
            <v>8070</v>
          </cell>
          <cell r="F410">
            <v>32600</v>
          </cell>
          <cell r="G410">
            <v>8890</v>
          </cell>
        </row>
        <row r="411">
          <cell r="A411" t="str">
            <v>39-5094</v>
          </cell>
          <cell r="B411" t="str">
            <v>Skin Care Specialists</v>
          </cell>
          <cell r="C411">
            <v>-0.26283960000000001</v>
          </cell>
          <cell r="D411">
            <v>41560</v>
          </cell>
          <cell r="E411">
            <v>72890</v>
          </cell>
          <cell r="F411">
            <v>45330</v>
          </cell>
          <cell r="G411">
            <v>70240</v>
          </cell>
        </row>
        <row r="412">
          <cell r="A412" t="str">
            <v>39-6011</v>
          </cell>
          <cell r="B412" t="str">
            <v>Baggage Porters and Bellhops</v>
          </cell>
          <cell r="C412">
            <v>-1.2720149999999999</v>
          </cell>
          <cell r="D412">
            <v>36020</v>
          </cell>
          <cell r="E412">
            <v>28510</v>
          </cell>
          <cell r="F412">
            <v>37080</v>
          </cell>
          <cell r="G412">
            <v>31220</v>
          </cell>
        </row>
        <row r="413">
          <cell r="A413" t="str">
            <v>39-6012</v>
          </cell>
          <cell r="B413" t="str">
            <v>Concierges</v>
          </cell>
          <cell r="C413">
            <v>0.85583200000000004</v>
          </cell>
          <cell r="D413">
            <v>37320</v>
          </cell>
          <cell r="E413">
            <v>49240</v>
          </cell>
          <cell r="F413">
            <v>38950</v>
          </cell>
          <cell r="G413">
            <v>44200</v>
          </cell>
        </row>
        <row r="414">
          <cell r="A414" t="str">
            <v>39-7000</v>
          </cell>
          <cell r="B414" t="str">
            <v>Tour Guides and Escorts</v>
          </cell>
          <cell r="C414">
            <v>0.35709600000000002</v>
          </cell>
          <cell r="D414">
            <v>36660</v>
          </cell>
          <cell r="E414">
            <v>53500</v>
          </cell>
          <cell r="F414">
            <v>38120</v>
          </cell>
          <cell r="G414">
            <v>49010</v>
          </cell>
        </row>
        <row r="415">
          <cell r="A415" t="str">
            <v>39-9011</v>
          </cell>
          <cell r="B415" t="str">
            <v>Child Care Workers</v>
          </cell>
          <cell r="C415">
            <v>-0.38347940000000003</v>
          </cell>
          <cell r="D415">
            <v>32050</v>
          </cell>
          <cell r="E415">
            <v>518910</v>
          </cell>
          <cell r="F415">
            <v>34980</v>
          </cell>
          <cell r="G415">
            <v>520180</v>
          </cell>
        </row>
        <row r="416">
          <cell r="A416" t="str">
            <v>39-9031</v>
          </cell>
          <cell r="B416" t="str">
            <v>Fitness Trainers and Aerobics Instructors</v>
          </cell>
          <cell r="C416">
            <v>-2.1119479999999999</v>
          </cell>
          <cell r="D416">
            <v>35380</v>
          </cell>
          <cell r="E416">
            <v>322930</v>
          </cell>
          <cell r="F416">
            <v>47160</v>
          </cell>
          <cell r="G416">
            <v>303620</v>
          </cell>
        </row>
        <row r="417">
          <cell r="A417" t="str">
            <v>39-9032</v>
          </cell>
          <cell r="B417" t="str">
            <v>Recreation Workers</v>
          </cell>
          <cell r="C417">
            <v>-0.24411540000000001</v>
          </cell>
          <cell r="D417">
            <v>39180</v>
          </cell>
          <cell r="E417">
            <v>331490</v>
          </cell>
          <cell r="F417">
            <v>36560</v>
          </cell>
          <cell r="G417">
            <v>309640</v>
          </cell>
        </row>
        <row r="418">
          <cell r="A418" t="str">
            <v>39-9041</v>
          </cell>
          <cell r="B418" t="str">
            <v>Residential Advisors</v>
          </cell>
          <cell r="C418">
            <v>0.47461189999999998</v>
          </cell>
          <cell r="D418">
            <v>39180</v>
          </cell>
          <cell r="E418">
            <v>84760</v>
          </cell>
          <cell r="F418">
            <v>42240</v>
          </cell>
          <cell r="G418">
            <v>82810</v>
          </cell>
        </row>
        <row r="419">
          <cell r="A419" t="str">
            <v>39-9099</v>
          </cell>
          <cell r="B419" t="str">
            <v>Personal and Home Care Aides</v>
          </cell>
          <cell r="C419">
            <v>-0.57377739999999999</v>
          </cell>
          <cell r="D419">
            <v>46180</v>
          </cell>
          <cell r="E419">
            <v>60420</v>
          </cell>
          <cell r="F419">
            <v>41600</v>
          </cell>
          <cell r="G419">
            <v>62390</v>
          </cell>
        </row>
        <row r="420">
          <cell r="A420" t="str">
            <v>41-1011</v>
          </cell>
          <cell r="B420" t="str">
            <v>First-Line Supervisors/Managers of Retail Sales Workers</v>
          </cell>
          <cell r="C420">
            <v>1.9182600000000001E-2</v>
          </cell>
          <cell r="D420">
            <v>47320</v>
          </cell>
          <cell r="E420">
            <v>1121800</v>
          </cell>
          <cell r="F420">
            <v>48520</v>
          </cell>
          <cell r="G420">
            <v>1113160</v>
          </cell>
        </row>
        <row r="421">
          <cell r="A421" t="str">
            <v>41-1012</v>
          </cell>
          <cell r="B421" t="str">
            <v>First-Line Supervisors/Managers of Non-Retail Sales Workers</v>
          </cell>
          <cell r="C421">
            <v>1.316195</v>
          </cell>
          <cell r="D421">
            <v>84130</v>
          </cell>
          <cell r="E421">
            <v>214390</v>
          </cell>
          <cell r="F421">
            <v>87520</v>
          </cell>
          <cell r="G421">
            <v>219010</v>
          </cell>
        </row>
        <row r="422">
          <cell r="A422" t="str">
            <v>41-2011</v>
          </cell>
          <cell r="B422" t="str">
            <v>Cashiers</v>
          </cell>
          <cell r="C422">
            <v>-0.2480887</v>
          </cell>
          <cell r="D422">
            <v>31190</v>
          </cell>
          <cell r="E422">
            <v>3089410</v>
          </cell>
          <cell r="F422">
            <v>32880</v>
          </cell>
          <cell r="G422">
            <v>3148030</v>
          </cell>
        </row>
        <row r="423">
          <cell r="A423" t="str">
            <v>41-2012</v>
          </cell>
          <cell r="B423" t="str">
            <v>Gaming Change Persons and Booth Cashiers</v>
          </cell>
          <cell r="C423">
            <v>-5.0092600000000001E-2</v>
          </cell>
          <cell r="D423">
            <v>34810</v>
          </cell>
          <cell r="E423">
            <v>21530</v>
          </cell>
          <cell r="F423">
            <v>36220</v>
          </cell>
          <cell r="G423">
            <v>21930</v>
          </cell>
        </row>
        <row r="424">
          <cell r="A424" t="str">
            <v>41-2021</v>
          </cell>
          <cell r="B424" t="str">
            <v>Counter and Rental Clerks</v>
          </cell>
          <cell r="C424">
            <v>7.8436699999999998E-2</v>
          </cell>
          <cell r="D424">
            <v>38540</v>
          </cell>
          <cell r="E424">
            <v>400810</v>
          </cell>
          <cell r="F424">
            <v>41300</v>
          </cell>
          <cell r="G424">
            <v>398620</v>
          </cell>
        </row>
        <row r="425">
          <cell r="A425" t="str">
            <v>41-2022</v>
          </cell>
          <cell r="B425" t="str">
            <v>Parts Salespersons</v>
          </cell>
          <cell r="C425">
            <v>-0.1184909</v>
          </cell>
          <cell r="D425">
            <v>37440</v>
          </cell>
          <cell r="E425">
            <v>270070</v>
          </cell>
          <cell r="F425">
            <v>38630</v>
          </cell>
          <cell r="G425">
            <v>265060</v>
          </cell>
        </row>
        <row r="426">
          <cell r="A426" t="str">
            <v>41-2031</v>
          </cell>
          <cell r="B426" t="str">
            <v>Retail Salespersons</v>
          </cell>
          <cell r="C426">
            <v>8.7306900000000007E-2</v>
          </cell>
          <cell r="D426">
            <v>34580</v>
          </cell>
          <cell r="E426">
            <v>3897860</v>
          </cell>
          <cell r="F426">
            <v>35410</v>
          </cell>
          <cell r="G426">
            <v>3800250</v>
          </cell>
        </row>
        <row r="427">
          <cell r="A427" t="str">
            <v>41-3000</v>
          </cell>
          <cell r="B427" t="str">
            <v>Sales Representatives, Services, All Other</v>
          </cell>
          <cell r="C427">
            <v>1.3026740000000001</v>
          </cell>
          <cell r="D427">
            <v>48450</v>
          </cell>
          <cell r="E427">
            <v>2371490</v>
          </cell>
          <cell r="F427">
            <v>68190</v>
          </cell>
          <cell r="G427">
            <v>2287740</v>
          </cell>
        </row>
        <row r="428">
          <cell r="A428" t="str">
            <v>41-3011</v>
          </cell>
          <cell r="B428" t="str">
            <v>Advertising Sales Agents</v>
          </cell>
          <cell r="C428">
            <v>1.162588</v>
          </cell>
          <cell r="D428">
            <v>64200</v>
          </cell>
          <cell r="E428">
            <v>91700</v>
          </cell>
          <cell r="F428">
            <v>64820</v>
          </cell>
          <cell r="G428">
            <v>97470</v>
          </cell>
        </row>
        <row r="429">
          <cell r="A429" t="str">
            <v>41-3021</v>
          </cell>
          <cell r="B429" t="str">
            <v>Insurance Sales Agents</v>
          </cell>
          <cell r="C429">
            <v>1.3412580000000001</v>
          </cell>
          <cell r="D429">
            <v>61460</v>
          </cell>
          <cell r="E429">
            <v>479100</v>
          </cell>
          <cell r="F429">
            <v>62280</v>
          </cell>
          <cell r="G429">
            <v>469480</v>
          </cell>
        </row>
        <row r="430">
          <cell r="A430" t="str">
            <v>41-3031</v>
          </cell>
          <cell r="B430" t="str">
            <v>Securities, Commodities, and Financial Services Sales Agents</v>
          </cell>
          <cell r="C430">
            <v>1.2562979999999999</v>
          </cell>
          <cell r="D430">
            <v>60370</v>
          </cell>
          <cell r="E430">
            <v>489570</v>
          </cell>
          <cell r="F430">
            <v>78660</v>
          </cell>
          <cell r="G430">
            <v>472300</v>
          </cell>
        </row>
        <row r="431">
          <cell r="A431" t="str">
            <v>41-3041</v>
          </cell>
          <cell r="B431" t="str">
            <v>Travel Agents</v>
          </cell>
          <cell r="C431">
            <v>1.1335980000000001</v>
          </cell>
          <cell r="D431">
            <v>78140</v>
          </cell>
          <cell r="E431">
            <v>55110</v>
          </cell>
          <cell r="F431">
            <v>50160</v>
          </cell>
          <cell r="G431">
            <v>59150</v>
          </cell>
        </row>
        <row r="432">
          <cell r="A432" t="str">
            <v>41-4011</v>
          </cell>
          <cell r="B432" t="str">
            <v>Sales Representatives, Wholesale and Manufacturing, Technical and Scientific Products</v>
          </cell>
          <cell r="C432">
            <v>0.8911985</v>
          </cell>
          <cell r="D432">
            <v>100070</v>
          </cell>
          <cell r="E432">
            <v>284800</v>
          </cell>
          <cell r="F432">
            <v>104920</v>
          </cell>
          <cell r="G432">
            <v>293930</v>
          </cell>
        </row>
        <row r="433">
          <cell r="A433" t="str">
            <v>41-4012</v>
          </cell>
          <cell r="B433" t="str">
            <v>Sales Representatives, Wholesale and Manufacturing, Except Technical and Scientific Products</v>
          </cell>
          <cell r="C433">
            <v>0.82246810000000004</v>
          </cell>
          <cell r="D433">
            <v>66780</v>
          </cell>
          <cell r="E433">
            <v>1238190</v>
          </cell>
          <cell r="F433">
            <v>72080</v>
          </cell>
          <cell r="G433">
            <v>1266860</v>
          </cell>
        </row>
        <row r="434">
          <cell r="A434" t="str">
            <v>41-9011</v>
          </cell>
          <cell r="B434" t="str">
            <v>Demonstrators and Product Promoters</v>
          </cell>
          <cell r="C434">
            <v>0.1235652</v>
          </cell>
          <cell r="D434">
            <v>37960</v>
          </cell>
          <cell r="E434">
            <v>64520</v>
          </cell>
          <cell r="F434">
            <v>39320</v>
          </cell>
          <cell r="G434">
            <v>64770</v>
          </cell>
        </row>
        <row r="435">
          <cell r="A435" t="str">
            <v>41-9012</v>
          </cell>
          <cell r="B435" t="str">
            <v>Models</v>
          </cell>
          <cell r="C435">
            <v>-1.1220209999999999</v>
          </cell>
          <cell r="D435">
            <v>89990</v>
          </cell>
          <cell r="E435">
            <v>3780</v>
          </cell>
          <cell r="F435">
            <v>48470</v>
          </cell>
          <cell r="G435">
            <v>5350</v>
          </cell>
        </row>
        <row r="436">
          <cell r="A436" t="str">
            <v>41-9021</v>
          </cell>
          <cell r="B436" t="str">
            <v>Real Estate Brokers</v>
          </cell>
          <cell r="C436">
            <v>1.149681</v>
          </cell>
          <cell r="D436">
            <v>72280</v>
          </cell>
          <cell r="E436">
            <v>46100</v>
          </cell>
          <cell r="F436">
            <v>73220</v>
          </cell>
          <cell r="G436">
            <v>49590</v>
          </cell>
        </row>
        <row r="437">
          <cell r="A437" t="str">
            <v>41-9022</v>
          </cell>
          <cell r="B437" t="str">
            <v>Real Estate Sales Agents</v>
          </cell>
          <cell r="C437">
            <v>0.86494450000000001</v>
          </cell>
          <cell r="D437">
            <v>56320</v>
          </cell>
          <cell r="E437">
            <v>193370</v>
          </cell>
          <cell r="F437">
            <v>52830</v>
          </cell>
          <cell r="G437">
            <v>190600</v>
          </cell>
        </row>
        <row r="438">
          <cell r="A438" t="str">
            <v>41-9031</v>
          </cell>
          <cell r="B438" t="str">
            <v>Sales Engineers</v>
          </cell>
          <cell r="C438">
            <v>1.145416</v>
          </cell>
          <cell r="D438">
            <v>121520</v>
          </cell>
          <cell r="E438">
            <v>51790</v>
          </cell>
          <cell r="F438">
            <v>124900</v>
          </cell>
          <cell r="G438">
            <v>56690</v>
          </cell>
        </row>
        <row r="439">
          <cell r="A439" t="str">
            <v>41-9041</v>
          </cell>
          <cell r="B439" t="str">
            <v>Telemarketers</v>
          </cell>
          <cell r="C439">
            <v>1.1181289999999999</v>
          </cell>
          <cell r="D439">
            <v>34410</v>
          </cell>
          <cell r="E439">
            <v>58430</v>
          </cell>
          <cell r="F439">
            <v>35450</v>
          </cell>
          <cell r="G439">
            <v>66430</v>
          </cell>
        </row>
        <row r="440">
          <cell r="A440" t="str">
            <v>41-9091</v>
          </cell>
          <cell r="B440" t="str">
            <v>Door-To-Door Sales Workers, News and Street Vendors, and Related Workers</v>
          </cell>
          <cell r="C440">
            <v>1.1071009999999999</v>
          </cell>
          <cell r="D440">
            <v>34530</v>
          </cell>
          <cell r="E440">
            <v>2760</v>
          </cell>
          <cell r="F440">
            <v>41380</v>
          </cell>
          <cell r="G440">
            <v>4590</v>
          </cell>
        </row>
        <row r="441">
          <cell r="A441" t="str">
            <v>43-1011</v>
          </cell>
          <cell r="B441" t="str">
            <v>First-Line Supervisors/Managers of Office and Administrative Support Workers</v>
          </cell>
          <cell r="C441">
            <v>1.0386880000000001</v>
          </cell>
          <cell r="D441">
            <v>66140</v>
          </cell>
          <cell r="E441">
            <v>1436680</v>
          </cell>
          <cell r="F441">
            <v>69500</v>
          </cell>
          <cell r="G441">
            <v>1495580</v>
          </cell>
        </row>
        <row r="442">
          <cell r="A442" t="str">
            <v>43-2011</v>
          </cell>
          <cell r="B442" t="str">
            <v>Switchboard Operators, Including Answering Service</v>
          </cell>
          <cell r="C442">
            <v>0.98326440000000004</v>
          </cell>
          <cell r="D442">
            <v>38370</v>
          </cell>
          <cell r="E442">
            <v>34280</v>
          </cell>
          <cell r="F442">
            <v>38630</v>
          </cell>
          <cell r="G442">
            <v>35730</v>
          </cell>
        </row>
        <row r="443">
          <cell r="A443" t="str">
            <v>43-2021</v>
          </cell>
          <cell r="B443" t="str">
            <v>Telephone Operators</v>
          </cell>
          <cell r="C443">
            <v>1.019712</v>
          </cell>
          <cell r="D443">
            <v>39130</v>
          </cell>
          <cell r="E443">
            <v>3430</v>
          </cell>
          <cell r="F443">
            <v>41740</v>
          </cell>
          <cell r="G443">
            <v>3950</v>
          </cell>
        </row>
        <row r="444">
          <cell r="A444" t="str">
            <v>43-3011</v>
          </cell>
          <cell r="B444" t="str">
            <v>Bill and Account Collectors</v>
          </cell>
          <cell r="C444">
            <v>1.2719910000000001</v>
          </cell>
          <cell r="D444">
            <v>46040</v>
          </cell>
          <cell r="E444">
            <v>158830</v>
          </cell>
          <cell r="F444">
            <v>47030</v>
          </cell>
          <cell r="G444">
            <v>165020</v>
          </cell>
        </row>
        <row r="445">
          <cell r="A445" t="str">
            <v>43-3021</v>
          </cell>
          <cell r="B445" t="str">
            <v>Billing and Posting Clerks and Machine Operators</v>
          </cell>
          <cell r="C445">
            <v>1.3334550000000001</v>
          </cell>
          <cell r="D445">
            <v>47170</v>
          </cell>
          <cell r="E445">
            <v>404060</v>
          </cell>
          <cell r="F445">
            <v>48500</v>
          </cell>
          <cell r="G445">
            <v>417500</v>
          </cell>
        </row>
        <row r="446">
          <cell r="A446" t="str">
            <v>43-3031</v>
          </cell>
          <cell r="B446" t="str">
            <v>Bookkeeping, Accounting, and Auditing Clerks</v>
          </cell>
          <cell r="C446">
            <v>1.039749</v>
          </cell>
          <cell r="D446">
            <v>49210</v>
          </cell>
          <cell r="E446">
            <v>1373680</v>
          </cell>
          <cell r="F446">
            <v>50670</v>
          </cell>
          <cell r="G446">
            <v>1455770</v>
          </cell>
        </row>
        <row r="447">
          <cell r="A447" t="str">
            <v>43-3041</v>
          </cell>
          <cell r="B447" t="str">
            <v>Gaming Cage Workers</v>
          </cell>
          <cell r="C447">
            <v>0.4026518</v>
          </cell>
          <cell r="D447">
            <v>36990</v>
          </cell>
          <cell r="E447">
            <v>14430</v>
          </cell>
          <cell r="F447">
            <v>37580</v>
          </cell>
          <cell r="G447">
            <v>13490</v>
          </cell>
        </row>
        <row r="448">
          <cell r="A448" t="str">
            <v>43-3051</v>
          </cell>
          <cell r="B448" t="str">
            <v>Payroll and Timekeeping Clerks</v>
          </cell>
          <cell r="C448">
            <v>1.2576320000000001</v>
          </cell>
          <cell r="D448">
            <v>55290</v>
          </cell>
          <cell r="E448">
            <v>153140</v>
          </cell>
          <cell r="F448">
            <v>58260</v>
          </cell>
          <cell r="G448">
            <v>156950</v>
          </cell>
        </row>
        <row r="449">
          <cell r="A449" t="str">
            <v>43-3061</v>
          </cell>
          <cell r="B449" t="str">
            <v>Procurement Clerks</v>
          </cell>
          <cell r="C449">
            <v>1.487838</v>
          </cell>
          <cell r="D449">
            <v>48510</v>
          </cell>
          <cell r="E449">
            <v>55810</v>
          </cell>
          <cell r="F449">
            <v>50580</v>
          </cell>
          <cell r="G449">
            <v>59900</v>
          </cell>
        </row>
        <row r="450">
          <cell r="A450" t="str">
            <v>43-3071</v>
          </cell>
          <cell r="B450" t="str">
            <v>Tellers</v>
          </cell>
          <cell r="C450">
            <v>0.47277229999999998</v>
          </cell>
          <cell r="D450">
            <v>39340</v>
          </cell>
          <cell r="E450">
            <v>329480</v>
          </cell>
          <cell r="F450">
            <v>43030</v>
          </cell>
          <cell r="G450">
            <v>339340</v>
          </cell>
        </row>
        <row r="451">
          <cell r="A451" t="str">
            <v>43-4011</v>
          </cell>
          <cell r="B451" t="str">
            <v>Brokerage Clerks</v>
          </cell>
          <cell r="C451">
            <v>1.1448769999999999</v>
          </cell>
          <cell r="D451">
            <v>62940</v>
          </cell>
          <cell r="E451">
            <v>35940</v>
          </cell>
          <cell r="F451">
            <v>65750</v>
          </cell>
          <cell r="G451">
            <v>40090</v>
          </cell>
        </row>
        <row r="452">
          <cell r="A452" t="str">
            <v>43-4021</v>
          </cell>
          <cell r="B452" t="str">
            <v>Correspondence Clerks</v>
          </cell>
          <cell r="C452">
            <v>1.1497580000000001</v>
          </cell>
          <cell r="D452">
            <v>46740</v>
          </cell>
          <cell r="E452">
            <v>4290</v>
          </cell>
          <cell r="F452">
            <v>46800</v>
          </cell>
          <cell r="G452">
            <v>6260</v>
          </cell>
        </row>
        <row r="453">
          <cell r="A453" t="str">
            <v>43-4031</v>
          </cell>
          <cell r="B453" t="str">
            <v>Court, Municipal, and License Clerks</v>
          </cell>
          <cell r="C453">
            <v>1.1662669999999999</v>
          </cell>
          <cell r="D453">
            <v>47700</v>
          </cell>
          <cell r="E453">
            <v>179750</v>
          </cell>
          <cell r="F453">
            <v>48700</v>
          </cell>
          <cell r="G453">
            <v>170010</v>
          </cell>
        </row>
        <row r="454">
          <cell r="A454" t="str">
            <v>43-4041</v>
          </cell>
          <cell r="B454" t="str">
            <v>Credit Authorizers, Checkers, and Clerks</v>
          </cell>
          <cell r="C454">
            <v>1.440296</v>
          </cell>
          <cell r="D454">
            <v>49130</v>
          </cell>
          <cell r="E454">
            <v>12030</v>
          </cell>
          <cell r="F454">
            <v>50080</v>
          </cell>
          <cell r="G454">
            <v>11960</v>
          </cell>
        </row>
        <row r="455">
          <cell r="A455" t="str">
            <v>43-4051</v>
          </cell>
          <cell r="B455" t="str">
            <v>Customer Service Representatives</v>
          </cell>
          <cell r="C455">
            <v>0.95625190000000004</v>
          </cell>
          <cell r="D455">
            <v>42830</v>
          </cell>
          <cell r="E455">
            <v>2595750</v>
          </cell>
          <cell r="F455">
            <v>44770</v>
          </cell>
          <cell r="G455">
            <v>2725930</v>
          </cell>
        </row>
        <row r="456">
          <cell r="A456" t="str">
            <v>43-4061</v>
          </cell>
          <cell r="B456" t="str">
            <v>Eligibility Interviewers, Government Programs</v>
          </cell>
          <cell r="C456">
            <v>1.226286</v>
          </cell>
          <cell r="D456">
            <v>51500</v>
          </cell>
          <cell r="E456">
            <v>154800</v>
          </cell>
          <cell r="F456">
            <v>54210</v>
          </cell>
          <cell r="G456">
            <v>156260</v>
          </cell>
        </row>
        <row r="457">
          <cell r="A457" t="str">
            <v>43-4071</v>
          </cell>
          <cell r="B457" t="str">
            <v>File Clerks</v>
          </cell>
          <cell r="C457">
            <v>0.28397430000000001</v>
          </cell>
          <cell r="D457">
            <v>41270</v>
          </cell>
          <cell r="E457">
            <v>73440</v>
          </cell>
          <cell r="F457">
            <v>43600</v>
          </cell>
          <cell r="G457">
            <v>78980</v>
          </cell>
        </row>
        <row r="458">
          <cell r="A458" t="str">
            <v>43-4081</v>
          </cell>
          <cell r="B458" t="str">
            <v>Hotel, Motel, and Resort Desk Clerks</v>
          </cell>
          <cell r="C458">
            <v>0.60631270000000004</v>
          </cell>
          <cell r="D458">
            <v>34270</v>
          </cell>
          <cell r="E458">
            <v>261420</v>
          </cell>
          <cell r="F458">
            <v>35070</v>
          </cell>
          <cell r="G458">
            <v>261430</v>
          </cell>
        </row>
        <row r="459">
          <cell r="A459" t="str">
            <v>43-4111</v>
          </cell>
          <cell r="B459" t="str">
            <v>Interviewers, Except Eligibility and Loan</v>
          </cell>
          <cell r="C459">
            <v>1.297031</v>
          </cell>
          <cell r="D459">
            <v>43830</v>
          </cell>
          <cell r="E459">
            <v>148060</v>
          </cell>
          <cell r="F459">
            <v>45920</v>
          </cell>
          <cell r="G459">
            <v>157310</v>
          </cell>
        </row>
        <row r="460">
          <cell r="A460" t="str">
            <v>43-4121</v>
          </cell>
          <cell r="B460" t="str">
            <v>Library Assistants, Clerical</v>
          </cell>
          <cell r="C460">
            <v>0.20389189999999999</v>
          </cell>
          <cell r="D460">
            <v>36010</v>
          </cell>
          <cell r="E460">
            <v>85520</v>
          </cell>
          <cell r="F460">
            <v>36910</v>
          </cell>
          <cell r="G460">
            <v>80070</v>
          </cell>
        </row>
        <row r="461">
          <cell r="A461" t="str">
            <v>43-4131</v>
          </cell>
          <cell r="B461" t="str">
            <v>Loan Interviewers and Clerks</v>
          </cell>
          <cell r="C461">
            <v>1.364395</v>
          </cell>
          <cell r="D461">
            <v>48950</v>
          </cell>
          <cell r="E461">
            <v>164790</v>
          </cell>
          <cell r="F461">
            <v>50020</v>
          </cell>
          <cell r="G461">
            <v>173100</v>
          </cell>
        </row>
        <row r="462">
          <cell r="A462" t="str">
            <v>43-4141</v>
          </cell>
          <cell r="B462" t="str">
            <v>New Accounts Clerks</v>
          </cell>
          <cell r="C462">
            <v>1.174998</v>
          </cell>
          <cell r="D462">
            <v>46610</v>
          </cell>
          <cell r="E462">
            <v>36860</v>
          </cell>
          <cell r="F462">
            <v>47670</v>
          </cell>
          <cell r="G462">
            <v>38030</v>
          </cell>
        </row>
        <row r="463">
          <cell r="A463" t="str">
            <v>43-4151</v>
          </cell>
          <cell r="B463" t="str">
            <v>Order Clerks</v>
          </cell>
          <cell r="C463">
            <v>0.83888609999999997</v>
          </cell>
          <cell r="D463">
            <v>44660</v>
          </cell>
          <cell r="E463">
            <v>75200</v>
          </cell>
          <cell r="F463">
            <v>46170</v>
          </cell>
          <cell r="G463">
            <v>83420</v>
          </cell>
        </row>
        <row r="464">
          <cell r="A464" t="str">
            <v>43-4161</v>
          </cell>
          <cell r="B464" t="str">
            <v>Human Resources Assistants, Except Payroll and Timekeeping</v>
          </cell>
          <cell r="C464">
            <v>1.3530979999999999</v>
          </cell>
          <cell r="D464">
            <v>49440</v>
          </cell>
          <cell r="E464">
            <v>90220</v>
          </cell>
          <cell r="F464">
            <v>50610</v>
          </cell>
          <cell r="G464">
            <v>92580</v>
          </cell>
        </row>
        <row r="465">
          <cell r="A465" t="str">
            <v>43-4171</v>
          </cell>
          <cell r="B465" t="str">
            <v>Receptionists and Information Clerks</v>
          </cell>
          <cell r="C465">
            <v>1.0131859999999999</v>
          </cell>
          <cell r="D465">
            <v>37230</v>
          </cell>
          <cell r="E465">
            <v>910180</v>
          </cell>
          <cell r="F465">
            <v>38010</v>
          </cell>
          <cell r="G465">
            <v>964530</v>
          </cell>
        </row>
        <row r="466">
          <cell r="A466" t="str">
            <v>43-4181</v>
          </cell>
          <cell r="B466" t="str">
            <v>Reservation and Transportation Ticket Agents and Travel Clerks</v>
          </cell>
          <cell r="C466">
            <v>0.22731199999999999</v>
          </cell>
          <cell r="D466">
            <v>41460</v>
          </cell>
          <cell r="E466">
            <v>118710</v>
          </cell>
          <cell r="F466">
            <v>44390</v>
          </cell>
          <cell r="G466">
            <v>127440</v>
          </cell>
        </row>
        <row r="467">
          <cell r="A467" t="str">
            <v>43-5011</v>
          </cell>
          <cell r="B467" t="str">
            <v>Cargo and Freight Agents</v>
          </cell>
          <cell r="C467">
            <v>1.4054150000000001</v>
          </cell>
          <cell r="D467">
            <v>49900</v>
          </cell>
          <cell r="E467">
            <v>97670</v>
          </cell>
          <cell r="F467">
            <v>52260</v>
          </cell>
          <cell r="G467">
            <v>97800</v>
          </cell>
        </row>
        <row r="468">
          <cell r="A468" t="str">
            <v>43-5021</v>
          </cell>
          <cell r="B468" t="str">
            <v>Couriers and Messengers</v>
          </cell>
          <cell r="C468">
            <v>-0.95911259999999998</v>
          </cell>
          <cell r="D468">
            <v>38340</v>
          </cell>
          <cell r="E468">
            <v>68640</v>
          </cell>
          <cell r="F468">
            <v>39200</v>
          </cell>
          <cell r="G468">
            <v>71920</v>
          </cell>
        </row>
        <row r="469">
          <cell r="A469" t="str">
            <v>43-5031</v>
          </cell>
          <cell r="B469" t="str">
            <v>Police, Fire, and Ambulance Dispatchers</v>
          </cell>
          <cell r="C469">
            <v>0.90744519999999995</v>
          </cell>
          <cell r="D469">
            <v>50730</v>
          </cell>
          <cell r="E469">
            <v>102500</v>
          </cell>
          <cell r="F469">
            <v>53040</v>
          </cell>
          <cell r="G469">
            <v>101140</v>
          </cell>
        </row>
        <row r="470">
          <cell r="A470" t="str">
            <v>43-5032</v>
          </cell>
          <cell r="B470" t="str">
            <v>Dispatchers, Except Police, Fire, and Ambulance</v>
          </cell>
          <cell r="C470">
            <v>1.234523</v>
          </cell>
          <cell r="D470">
            <v>48880</v>
          </cell>
          <cell r="E470">
            <v>202810</v>
          </cell>
          <cell r="F470">
            <v>50340</v>
          </cell>
          <cell r="G470">
            <v>211000</v>
          </cell>
        </row>
        <row r="471">
          <cell r="A471" t="str">
            <v>43-5041</v>
          </cell>
          <cell r="B471" t="str">
            <v>Meter Readers, Utilities</v>
          </cell>
          <cell r="C471">
            <v>-0.97237720000000005</v>
          </cell>
          <cell r="D471">
            <v>49180</v>
          </cell>
          <cell r="E471">
            <v>19430</v>
          </cell>
          <cell r="F471">
            <v>48150</v>
          </cell>
          <cell r="G471">
            <v>19620</v>
          </cell>
        </row>
        <row r="472">
          <cell r="A472" t="str">
            <v>43-5051</v>
          </cell>
          <cell r="B472" t="str">
            <v>Postal Service Clerks</v>
          </cell>
          <cell r="C472">
            <v>-0.51869969999999999</v>
          </cell>
          <cell r="D472">
            <v>61630</v>
          </cell>
          <cell r="E472">
            <v>73720</v>
          </cell>
          <cell r="F472">
            <v>62130</v>
          </cell>
          <cell r="G472">
            <v>78060</v>
          </cell>
        </row>
        <row r="473">
          <cell r="A473" t="str">
            <v>43-5052</v>
          </cell>
          <cell r="B473" t="str">
            <v>Postal Service Mail Carriers</v>
          </cell>
          <cell r="C473">
            <v>-1.0647150000000001</v>
          </cell>
          <cell r="D473">
            <v>57490</v>
          </cell>
          <cell r="E473">
            <v>328820</v>
          </cell>
          <cell r="F473">
            <v>60550</v>
          </cell>
          <cell r="G473">
            <v>336040</v>
          </cell>
        </row>
        <row r="474">
          <cell r="A474" t="str">
            <v>43-5053</v>
          </cell>
          <cell r="B474" t="str">
            <v>Postal Service Mail Sorters, Processors, and Processing Machine Operators</v>
          </cell>
          <cell r="C474">
            <v>-1.185001</v>
          </cell>
          <cell r="D474">
            <v>56530</v>
          </cell>
          <cell r="E474">
            <v>105200</v>
          </cell>
          <cell r="F474">
            <v>58470</v>
          </cell>
          <cell r="G474">
            <v>111930</v>
          </cell>
        </row>
        <row r="475">
          <cell r="A475" t="str">
            <v>43-5061</v>
          </cell>
          <cell r="B475" t="str">
            <v>Production, Planning, and Expediting Clerks</v>
          </cell>
          <cell r="C475">
            <v>0.69991029999999999</v>
          </cell>
          <cell r="D475">
            <v>57770</v>
          </cell>
          <cell r="E475">
            <v>390160</v>
          </cell>
          <cell r="F475">
            <v>59650</v>
          </cell>
          <cell r="G475">
            <v>385000</v>
          </cell>
        </row>
        <row r="476">
          <cell r="A476" t="str">
            <v>43-5071</v>
          </cell>
          <cell r="B476" t="str">
            <v>Shipping, Receiving, and Traffic Clerks</v>
          </cell>
          <cell r="C476">
            <v>-0.74632129999999997</v>
          </cell>
          <cell r="D476">
            <v>43190</v>
          </cell>
          <cell r="E476">
            <v>816870</v>
          </cell>
          <cell r="F476">
            <v>45260</v>
          </cell>
          <cell r="G476">
            <v>857630</v>
          </cell>
        </row>
        <row r="477">
          <cell r="A477" t="str">
            <v>43-5111</v>
          </cell>
          <cell r="B477" t="str">
            <v>Weighers, Measurers, Checkers, and Samplers, Recordkeeping</v>
          </cell>
          <cell r="C477">
            <v>-0.18607889999999999</v>
          </cell>
          <cell r="D477">
            <v>74260</v>
          </cell>
          <cell r="E477">
            <v>53300</v>
          </cell>
          <cell r="F477">
            <v>46380</v>
          </cell>
          <cell r="G477">
            <v>49720</v>
          </cell>
        </row>
        <row r="478">
          <cell r="A478" t="str">
            <v>43-6011</v>
          </cell>
          <cell r="B478" t="str">
            <v>Executive Secretaries and Administrative Assistants</v>
          </cell>
          <cell r="C478">
            <v>1.0796429999999999</v>
          </cell>
          <cell r="D478">
            <v>54140</v>
          </cell>
          <cell r="E478">
            <v>459910</v>
          </cell>
          <cell r="F478">
            <v>76590</v>
          </cell>
          <cell r="G478">
            <v>472770</v>
          </cell>
        </row>
        <row r="479">
          <cell r="A479" t="str">
            <v>43-6012</v>
          </cell>
          <cell r="B479" t="str">
            <v>Legal Secretaries</v>
          </cell>
          <cell r="C479">
            <v>1.0145409999999999</v>
          </cell>
          <cell r="D479">
            <v>44640</v>
          </cell>
          <cell r="E479">
            <v>156280</v>
          </cell>
          <cell r="F479">
            <v>55570</v>
          </cell>
          <cell r="G479">
            <v>154540</v>
          </cell>
        </row>
        <row r="480">
          <cell r="A480" t="str">
            <v>43-6013</v>
          </cell>
          <cell r="B480" t="str">
            <v>Medical Secretaries</v>
          </cell>
          <cell r="C480">
            <v>1.2179819999999999</v>
          </cell>
          <cell r="D480">
            <v>46290</v>
          </cell>
          <cell r="E480">
            <v>961610</v>
          </cell>
          <cell r="F480">
            <v>45930</v>
          </cell>
          <cell r="G480">
            <v>830760</v>
          </cell>
        </row>
        <row r="481">
          <cell r="A481" t="str">
            <v>43-6014</v>
          </cell>
          <cell r="B481" t="str">
            <v>Secretaries, Except Legal, Medical, and Executive</v>
          </cell>
          <cell r="C481">
            <v>1.099056</v>
          </cell>
          <cell r="D481">
            <v>39850</v>
          </cell>
          <cell r="E481">
            <v>1706790</v>
          </cell>
          <cell r="F481">
            <v>47540</v>
          </cell>
          <cell r="G481">
            <v>1737820</v>
          </cell>
        </row>
        <row r="482">
          <cell r="A482" t="str">
            <v>43-9021</v>
          </cell>
          <cell r="B482" t="str">
            <v>Data Entry Keyers</v>
          </cell>
          <cell r="C482">
            <v>0.31080809999999998</v>
          </cell>
          <cell r="D482">
            <v>53620</v>
          </cell>
          <cell r="E482">
            <v>127080</v>
          </cell>
          <cell r="F482">
            <v>41340</v>
          </cell>
          <cell r="G482">
            <v>135280</v>
          </cell>
        </row>
        <row r="483">
          <cell r="A483" t="str">
            <v>43-9022</v>
          </cell>
          <cell r="B483" t="str">
            <v>Word Processors and Typists</v>
          </cell>
          <cell r="C483">
            <v>0.62196059999999997</v>
          </cell>
          <cell r="D483">
            <v>48450</v>
          </cell>
          <cell r="E483">
            <v>35010</v>
          </cell>
          <cell r="F483">
            <v>49280</v>
          </cell>
          <cell r="G483">
            <v>36030</v>
          </cell>
        </row>
        <row r="484">
          <cell r="A484" t="str">
            <v>43-9031</v>
          </cell>
          <cell r="B484" t="str">
            <v>Desktop Publishers</v>
          </cell>
          <cell r="C484">
            <v>0.34377429999999998</v>
          </cell>
          <cell r="D484">
            <v>38150</v>
          </cell>
          <cell r="E484">
            <v>3350</v>
          </cell>
          <cell r="F484">
            <v>55290</v>
          </cell>
          <cell r="G484">
            <v>4000</v>
          </cell>
        </row>
        <row r="485">
          <cell r="A485" t="str">
            <v>43-9041</v>
          </cell>
          <cell r="B485" t="str">
            <v>Insurance Claims and Policy Processing Clerks</v>
          </cell>
          <cell r="C485">
            <v>1.2402010000000001</v>
          </cell>
          <cell r="D485">
            <v>43630</v>
          </cell>
          <cell r="E485">
            <v>214260</v>
          </cell>
          <cell r="F485">
            <v>49230</v>
          </cell>
          <cell r="G485">
            <v>229070</v>
          </cell>
        </row>
        <row r="486">
          <cell r="A486" t="str">
            <v>43-9051</v>
          </cell>
          <cell r="B486" t="str">
            <v>Mail Clerks and Mail Machine Operators, Except Postal Service</v>
          </cell>
          <cell r="C486">
            <v>-0.81846759999999996</v>
          </cell>
          <cell r="D486">
            <v>39020</v>
          </cell>
          <cell r="E486">
            <v>55230</v>
          </cell>
          <cell r="F486">
            <v>39280</v>
          </cell>
          <cell r="G486">
            <v>62730</v>
          </cell>
        </row>
        <row r="487">
          <cell r="A487" t="str">
            <v>43-9061</v>
          </cell>
          <cell r="B487" t="str">
            <v>Office Clerks, General</v>
          </cell>
          <cell r="C487">
            <v>0.98889859999999996</v>
          </cell>
          <cell r="D487">
            <v>49210</v>
          </cell>
          <cell r="E487">
            <v>2464940</v>
          </cell>
          <cell r="F487">
            <v>45010</v>
          </cell>
          <cell r="G487">
            <v>2510550</v>
          </cell>
        </row>
        <row r="488">
          <cell r="A488" t="str">
            <v>43-9071</v>
          </cell>
          <cell r="B488" t="str">
            <v>Office Machine Operators, Except Computer</v>
          </cell>
          <cell r="C488">
            <v>-0.51714039999999994</v>
          </cell>
          <cell r="D488">
            <v>51440</v>
          </cell>
          <cell r="E488">
            <v>25130</v>
          </cell>
          <cell r="F488">
            <v>40960</v>
          </cell>
          <cell r="G488">
            <v>24740</v>
          </cell>
        </row>
        <row r="489">
          <cell r="A489" t="str">
            <v>43-9081</v>
          </cell>
          <cell r="B489" t="str">
            <v>Proofreaders and Copy Markers</v>
          </cell>
          <cell r="C489">
            <v>1.288375</v>
          </cell>
          <cell r="D489">
            <v>36750</v>
          </cell>
          <cell r="E489">
            <v>4580</v>
          </cell>
          <cell r="F489">
            <v>51120</v>
          </cell>
          <cell r="G489">
            <v>5160</v>
          </cell>
        </row>
        <row r="490">
          <cell r="A490" t="str">
            <v>43-9111</v>
          </cell>
          <cell r="B490" t="str">
            <v>Statistical Assistants</v>
          </cell>
          <cell r="C490">
            <v>1.3899649999999999</v>
          </cell>
          <cell r="D490">
            <v>59330</v>
          </cell>
          <cell r="E490">
            <v>4710</v>
          </cell>
          <cell r="F490">
            <v>50330</v>
          </cell>
          <cell r="G490">
            <v>5900</v>
          </cell>
        </row>
        <row r="491">
          <cell r="A491" t="str">
            <v>45-0000</v>
          </cell>
          <cell r="B491" t="str">
            <v>Fishers and Related Fishing Workers</v>
          </cell>
          <cell r="C491">
            <v>-1.5132490000000001</v>
          </cell>
          <cell r="D491">
            <v>53900</v>
          </cell>
          <cell r="E491">
            <v>435200</v>
          </cell>
          <cell r="F491">
            <v>36630</v>
          </cell>
          <cell r="G491">
            <v>442050</v>
          </cell>
        </row>
        <row r="492">
          <cell r="A492" t="str">
            <v>45-1011</v>
          </cell>
          <cell r="B492" t="str">
            <v>First-Line Supervisors/Managers of Farming, Fishing, and Forestry Workers</v>
          </cell>
          <cell r="C492">
            <v>-0.47918430000000001</v>
          </cell>
          <cell r="D492">
            <v>50990</v>
          </cell>
          <cell r="E492">
            <v>27960</v>
          </cell>
          <cell r="F492">
            <v>59320</v>
          </cell>
          <cell r="G492">
            <v>29530</v>
          </cell>
        </row>
        <row r="493">
          <cell r="A493" t="str">
            <v>45-2011</v>
          </cell>
          <cell r="B493" t="str">
            <v>Agricultural Inspectors</v>
          </cell>
          <cell r="C493">
            <v>0.17048669999999999</v>
          </cell>
          <cell r="D493">
            <v>52000</v>
          </cell>
          <cell r="E493">
            <v>14410</v>
          </cell>
          <cell r="F493">
            <v>49940</v>
          </cell>
          <cell r="G493">
            <v>12090</v>
          </cell>
        </row>
        <row r="494">
          <cell r="A494" t="str">
            <v>45-2021</v>
          </cell>
          <cell r="B494" t="str">
            <v>Animal Breeders</v>
          </cell>
          <cell r="C494">
            <v>-1.044292</v>
          </cell>
          <cell r="D494">
            <v>35430</v>
          </cell>
          <cell r="E494">
            <v>1330</v>
          </cell>
          <cell r="F494">
            <v>51130</v>
          </cell>
          <cell r="G494">
            <v>1730</v>
          </cell>
        </row>
        <row r="495">
          <cell r="A495" t="str">
            <v>45-2041</v>
          </cell>
          <cell r="B495" t="str">
            <v>Graders and Sorters, Agricultural Products</v>
          </cell>
          <cell r="C495">
            <v>-1.370968</v>
          </cell>
          <cell r="D495">
            <v>42580</v>
          </cell>
          <cell r="E495">
            <v>25180</v>
          </cell>
          <cell r="F495">
            <v>35730</v>
          </cell>
          <cell r="G495">
            <v>26870</v>
          </cell>
        </row>
        <row r="496">
          <cell r="A496" t="str">
            <v>45-2091</v>
          </cell>
          <cell r="B496" t="str">
            <v>Agricultural Equipment Operators</v>
          </cell>
          <cell r="C496">
            <v>-1.1451560000000001</v>
          </cell>
          <cell r="D496">
            <v>35690</v>
          </cell>
          <cell r="E496">
            <v>28500</v>
          </cell>
          <cell r="F496">
            <v>41730</v>
          </cell>
          <cell r="G496">
            <v>30940</v>
          </cell>
        </row>
        <row r="497">
          <cell r="A497" t="str">
            <v>45-2092</v>
          </cell>
          <cell r="B497" t="str">
            <v>Farmworkers and Laborers, Crop, Nursery, and Greenhouse</v>
          </cell>
          <cell r="C497">
            <v>-1.6013489999999999</v>
          </cell>
          <cell r="D497">
            <v>36150</v>
          </cell>
          <cell r="E497">
            <v>265500</v>
          </cell>
          <cell r="F497">
            <v>35660</v>
          </cell>
          <cell r="G497">
            <v>261690</v>
          </cell>
        </row>
        <row r="498">
          <cell r="A498" t="str">
            <v>45-2093</v>
          </cell>
          <cell r="B498" t="str">
            <v>Farmworkers, Farm and Ranch Animals</v>
          </cell>
          <cell r="C498">
            <v>-1.1084320000000001</v>
          </cell>
          <cell r="D498">
            <v>43680</v>
          </cell>
          <cell r="E498">
            <v>32810</v>
          </cell>
          <cell r="F498">
            <v>36670</v>
          </cell>
          <cell r="G498">
            <v>35420</v>
          </cell>
        </row>
        <row r="499">
          <cell r="A499" t="str">
            <v>45-4011</v>
          </cell>
          <cell r="B499" t="str">
            <v>Forest and Conservation Workers</v>
          </cell>
          <cell r="C499">
            <v>-1.0642050000000001</v>
          </cell>
          <cell r="D499">
            <v>49210</v>
          </cell>
          <cell r="E499">
            <v>6050</v>
          </cell>
          <cell r="F499">
            <v>43680</v>
          </cell>
          <cell r="G499">
            <v>5630</v>
          </cell>
        </row>
        <row r="500">
          <cell r="A500" t="str">
            <v>45-4021</v>
          </cell>
          <cell r="B500" t="str">
            <v>Fallers</v>
          </cell>
          <cell r="C500">
            <v>-1.795407</v>
          </cell>
          <cell r="D500">
            <v>46710</v>
          </cell>
          <cell r="E500">
            <v>3130</v>
          </cell>
          <cell r="F500">
            <v>52100</v>
          </cell>
          <cell r="G500">
            <v>4110</v>
          </cell>
        </row>
        <row r="501">
          <cell r="A501" t="str">
            <v>45-4022</v>
          </cell>
          <cell r="B501" t="str">
            <v>Logging Equipment Operators</v>
          </cell>
          <cell r="C501">
            <v>-1.0037020000000001</v>
          </cell>
          <cell r="D501">
            <v>78690</v>
          </cell>
          <cell r="E501">
            <v>21060</v>
          </cell>
          <cell r="F501">
            <v>49740</v>
          </cell>
          <cell r="G501">
            <v>22520</v>
          </cell>
        </row>
        <row r="502">
          <cell r="A502" t="str">
            <v>45-4023</v>
          </cell>
          <cell r="B502" t="str">
            <v>Log Graders and Scalers</v>
          </cell>
          <cell r="C502">
            <v>-0.47683049999999999</v>
          </cell>
          <cell r="D502">
            <v>73340</v>
          </cell>
          <cell r="E502">
            <v>3070</v>
          </cell>
          <cell r="F502">
            <v>46330</v>
          </cell>
          <cell r="G502">
            <v>3310</v>
          </cell>
        </row>
        <row r="503">
          <cell r="A503" t="str">
            <v>47-1011</v>
          </cell>
          <cell r="B503" t="str">
            <v>First-Line Supervisors/Managers of Construction Trades and Extraction Workers</v>
          </cell>
          <cell r="C503">
            <v>-0.30540479999999998</v>
          </cell>
          <cell r="D503">
            <v>60800</v>
          </cell>
          <cell r="E503">
            <v>812210</v>
          </cell>
          <cell r="F503">
            <v>79920</v>
          </cell>
          <cell r="G503">
            <v>806080</v>
          </cell>
        </row>
        <row r="504">
          <cell r="A504" t="str">
            <v>47-2011</v>
          </cell>
          <cell r="B504" t="str">
            <v>Boilermakers</v>
          </cell>
          <cell r="C504">
            <v>-1.097532</v>
          </cell>
          <cell r="D504">
            <v>51990</v>
          </cell>
          <cell r="E504">
            <v>10190</v>
          </cell>
          <cell r="F504">
            <v>76410</v>
          </cell>
          <cell r="G504">
            <v>10170</v>
          </cell>
        </row>
        <row r="505">
          <cell r="A505" t="str">
            <v>47-2021</v>
          </cell>
          <cell r="B505" t="str">
            <v>Brickmasons and Blockmasons</v>
          </cell>
          <cell r="C505">
            <v>-1.75434</v>
          </cell>
          <cell r="D505">
            <v>59310</v>
          </cell>
          <cell r="E505">
            <v>52550</v>
          </cell>
          <cell r="F505">
            <v>62120</v>
          </cell>
          <cell r="G505">
            <v>53520</v>
          </cell>
        </row>
        <row r="506">
          <cell r="A506" t="str">
            <v>47-2022</v>
          </cell>
          <cell r="B506" t="str">
            <v>Stonemasons</v>
          </cell>
          <cell r="C506">
            <v>-1.7147589999999999</v>
          </cell>
          <cell r="D506">
            <v>49850</v>
          </cell>
          <cell r="E506">
            <v>7820</v>
          </cell>
          <cell r="F506">
            <v>57390</v>
          </cell>
          <cell r="G506">
            <v>8750</v>
          </cell>
        </row>
        <row r="507">
          <cell r="A507" t="str">
            <v>47-2031</v>
          </cell>
          <cell r="B507" t="str">
            <v>Carpenters</v>
          </cell>
          <cell r="C507">
            <v>-1.323631</v>
          </cell>
          <cell r="D507">
            <v>54340</v>
          </cell>
          <cell r="E507">
            <v>670090</v>
          </cell>
          <cell r="F507">
            <v>60580</v>
          </cell>
          <cell r="G507">
            <v>697740</v>
          </cell>
        </row>
        <row r="508">
          <cell r="A508" t="str">
            <v>47-2041</v>
          </cell>
          <cell r="B508" t="str">
            <v>Carpet Installers</v>
          </cell>
          <cell r="C508">
            <v>-1.5645770000000001</v>
          </cell>
          <cell r="D508">
            <v>49150</v>
          </cell>
          <cell r="E508">
            <v>13780</v>
          </cell>
          <cell r="F508">
            <v>50340</v>
          </cell>
          <cell r="G508">
            <v>14980</v>
          </cell>
        </row>
        <row r="509">
          <cell r="A509" t="str">
            <v>47-2042</v>
          </cell>
          <cell r="B509" t="str">
            <v>Floor Layers, Except Carpet, Wood, and Hard Tiles</v>
          </cell>
          <cell r="C509">
            <v>-1.301024</v>
          </cell>
          <cell r="D509">
            <v>52240</v>
          </cell>
          <cell r="E509">
            <v>23640</v>
          </cell>
          <cell r="F509">
            <v>56460</v>
          </cell>
          <cell r="G509">
            <v>24850</v>
          </cell>
        </row>
        <row r="510">
          <cell r="A510" t="str">
            <v>47-2043</v>
          </cell>
          <cell r="B510" t="str">
            <v>Floor Sanders and Finishers</v>
          </cell>
          <cell r="C510">
            <v>-1.7487220000000001</v>
          </cell>
          <cell r="D510">
            <v>54660</v>
          </cell>
          <cell r="E510">
            <v>3720</v>
          </cell>
          <cell r="F510">
            <v>50440</v>
          </cell>
          <cell r="G510">
            <v>4140</v>
          </cell>
        </row>
        <row r="511">
          <cell r="A511" t="str">
            <v>47-2044</v>
          </cell>
          <cell r="B511" t="str">
            <v>Tile and Marble Setters</v>
          </cell>
          <cell r="C511">
            <v>-1.22543</v>
          </cell>
          <cell r="D511">
            <v>57260</v>
          </cell>
          <cell r="E511">
            <v>35850</v>
          </cell>
          <cell r="F511">
            <v>55690</v>
          </cell>
          <cell r="G511">
            <v>38740</v>
          </cell>
        </row>
        <row r="512">
          <cell r="A512" t="str">
            <v>47-2051</v>
          </cell>
          <cell r="B512" t="str">
            <v>Cement Masons and Concrete Finishers</v>
          </cell>
          <cell r="C512">
            <v>-1.777407</v>
          </cell>
          <cell r="D512">
            <v>46730</v>
          </cell>
          <cell r="E512">
            <v>206170</v>
          </cell>
          <cell r="F512">
            <v>57020</v>
          </cell>
          <cell r="G512">
            <v>205230</v>
          </cell>
        </row>
        <row r="513">
          <cell r="A513" t="str">
            <v>47-2053</v>
          </cell>
          <cell r="B513" t="str">
            <v>Terrazzo Workers and Finishers</v>
          </cell>
          <cell r="C513">
            <v>-1.776065</v>
          </cell>
          <cell r="D513">
            <v>51650</v>
          </cell>
          <cell r="E513">
            <v>1180</v>
          </cell>
          <cell r="F513">
            <v>76170</v>
          </cell>
          <cell r="G513">
            <v>1450</v>
          </cell>
        </row>
        <row r="514">
          <cell r="A514" t="str">
            <v>47-2061</v>
          </cell>
          <cell r="B514" t="str">
            <v>Construction Laborers</v>
          </cell>
          <cell r="C514">
            <v>-1.6229880000000001</v>
          </cell>
          <cell r="D514">
            <v>51650</v>
          </cell>
          <cell r="E514">
            <v>1096780</v>
          </cell>
          <cell r="F514">
            <v>47120</v>
          </cell>
          <cell r="G514">
            <v>1057660</v>
          </cell>
        </row>
        <row r="515">
          <cell r="A515" t="str">
            <v>47-2071</v>
          </cell>
          <cell r="B515" t="str">
            <v>Segmental Pavers</v>
          </cell>
          <cell r="C515">
            <v>-0.9827304</v>
          </cell>
          <cell r="D515">
            <v>62740</v>
          </cell>
          <cell r="E515">
            <v>41820</v>
          </cell>
          <cell r="F515">
            <v>53340</v>
          </cell>
          <cell r="G515">
            <v>45680</v>
          </cell>
        </row>
        <row r="516">
          <cell r="A516" t="str">
            <v>47-2071</v>
          </cell>
          <cell r="B516" t="str">
            <v>Paving, Surfacing, and Tamping Equipment Operators</v>
          </cell>
          <cell r="C516">
            <v>-1.184739</v>
          </cell>
          <cell r="D516">
            <v>70510</v>
          </cell>
          <cell r="E516">
            <v>41820</v>
          </cell>
          <cell r="F516">
            <v>53340</v>
          </cell>
          <cell r="G516">
            <v>45680</v>
          </cell>
        </row>
        <row r="517">
          <cell r="A517" t="str">
            <v>47-2072</v>
          </cell>
          <cell r="B517" t="str">
            <v>Pile-Driver Operators</v>
          </cell>
          <cell r="C517">
            <v>-1.2200089999999999</v>
          </cell>
          <cell r="D517">
            <v>58710</v>
          </cell>
          <cell r="E517">
            <v>2310</v>
          </cell>
          <cell r="F517">
            <v>73300</v>
          </cell>
          <cell r="G517">
            <v>3040</v>
          </cell>
        </row>
        <row r="518">
          <cell r="A518" t="str">
            <v>47-2073</v>
          </cell>
          <cell r="B518" t="str">
            <v>Operating Engineers and Other Construction Equipment Operators</v>
          </cell>
          <cell r="C518">
            <v>-0.88150779999999995</v>
          </cell>
          <cell r="D518">
            <v>58140</v>
          </cell>
          <cell r="E518">
            <v>478090</v>
          </cell>
          <cell r="F518">
            <v>59850</v>
          </cell>
          <cell r="G518">
            <v>469270</v>
          </cell>
        </row>
        <row r="519">
          <cell r="A519" t="str">
            <v>47-2081</v>
          </cell>
          <cell r="B519" t="str">
            <v>Drywall and Ceiling Tile Installers</v>
          </cell>
          <cell r="C519">
            <v>-1.6479710000000001</v>
          </cell>
          <cell r="D519">
            <v>64700</v>
          </cell>
          <cell r="E519">
            <v>83080</v>
          </cell>
          <cell r="F519">
            <v>58930</v>
          </cell>
          <cell r="G519">
            <v>82900</v>
          </cell>
        </row>
        <row r="520">
          <cell r="A520" t="str">
            <v>47-2082</v>
          </cell>
          <cell r="B520" t="str">
            <v>Tapers</v>
          </cell>
          <cell r="C520">
            <v>-1.5407740000000001</v>
          </cell>
          <cell r="D520">
            <v>62350</v>
          </cell>
          <cell r="E520">
            <v>12840</v>
          </cell>
          <cell r="F520">
            <v>68270</v>
          </cell>
          <cell r="G520">
            <v>12500</v>
          </cell>
        </row>
        <row r="521">
          <cell r="A521" t="str">
            <v>47-2111</v>
          </cell>
          <cell r="B521" t="str">
            <v>Electricians</v>
          </cell>
          <cell r="C521">
            <v>-0.77969049999999995</v>
          </cell>
          <cell r="D521">
            <v>55440</v>
          </cell>
          <cell r="E521">
            <v>757220</v>
          </cell>
          <cell r="F521">
            <v>63190</v>
          </cell>
          <cell r="G521">
            <v>742580</v>
          </cell>
        </row>
        <row r="522">
          <cell r="A522" t="str">
            <v>47-2121</v>
          </cell>
          <cell r="B522" t="str">
            <v>Glaziers</v>
          </cell>
          <cell r="C522">
            <v>-1.3889009999999999</v>
          </cell>
          <cell r="D522">
            <v>48680</v>
          </cell>
          <cell r="E522">
            <v>58480</v>
          </cell>
          <cell r="F522">
            <v>57080</v>
          </cell>
          <cell r="G522">
            <v>57000</v>
          </cell>
        </row>
        <row r="523">
          <cell r="A523" t="str">
            <v>47-2131</v>
          </cell>
          <cell r="B523" t="str">
            <v>Insulation Workers, Floor, Ceiling, and Wall</v>
          </cell>
          <cell r="C523">
            <v>-1.6187720000000001</v>
          </cell>
          <cell r="D523">
            <v>57250</v>
          </cell>
          <cell r="E523">
            <v>44440</v>
          </cell>
          <cell r="F523">
            <v>49120</v>
          </cell>
          <cell r="G523">
            <v>38610</v>
          </cell>
        </row>
        <row r="524">
          <cell r="A524" t="str">
            <v>47-2132</v>
          </cell>
          <cell r="B524" t="str">
            <v>Insulation Workers, Mechanical</v>
          </cell>
          <cell r="C524">
            <v>-1.268615</v>
          </cell>
          <cell r="D524">
            <v>48660</v>
          </cell>
          <cell r="E524">
            <v>25660</v>
          </cell>
          <cell r="F524">
            <v>58340</v>
          </cell>
          <cell r="G524">
            <v>25640</v>
          </cell>
        </row>
        <row r="525">
          <cell r="A525" t="str">
            <v>47-2141</v>
          </cell>
          <cell r="B525" t="str">
            <v>Painters, Construction and Maintenance</v>
          </cell>
          <cell r="C525">
            <v>-1.58799</v>
          </cell>
          <cell r="D525">
            <v>48260</v>
          </cell>
          <cell r="E525">
            <v>225190</v>
          </cell>
          <cell r="F525">
            <v>49400</v>
          </cell>
          <cell r="G525">
            <v>224180</v>
          </cell>
        </row>
        <row r="526">
          <cell r="A526" t="str">
            <v>47-2142</v>
          </cell>
          <cell r="B526" t="str">
            <v>Paperhangers</v>
          </cell>
          <cell r="C526">
            <v>-1.72753</v>
          </cell>
          <cell r="D526">
            <v>48710</v>
          </cell>
          <cell r="E526">
            <v>1570</v>
          </cell>
          <cell r="F526">
            <v>52140</v>
          </cell>
          <cell r="G526">
            <v>1520</v>
          </cell>
        </row>
        <row r="527">
          <cell r="A527" t="str">
            <v>47-2151</v>
          </cell>
          <cell r="B527" t="str">
            <v>Pipelayers</v>
          </cell>
          <cell r="C527">
            <v>-1.225611</v>
          </cell>
          <cell r="D527">
            <v>62970</v>
          </cell>
          <cell r="E527">
            <v>33050</v>
          </cell>
          <cell r="F527">
            <v>49000</v>
          </cell>
          <cell r="G527">
            <v>33580</v>
          </cell>
        </row>
        <row r="528">
          <cell r="A528" t="str">
            <v>47-2152</v>
          </cell>
          <cell r="B528" t="str">
            <v>Plumbers, Pipefitters, and Steamfitters</v>
          </cell>
          <cell r="C528">
            <v>-1.121219</v>
          </cell>
          <cell r="D528">
            <v>56020</v>
          </cell>
          <cell r="E528">
            <v>465840</v>
          </cell>
          <cell r="F528">
            <v>63800</v>
          </cell>
          <cell r="G528">
            <v>455940</v>
          </cell>
        </row>
        <row r="529">
          <cell r="A529" t="str">
            <v>47-2161</v>
          </cell>
          <cell r="B529" t="str">
            <v>Plasterers and Stucco Masons</v>
          </cell>
          <cell r="C529">
            <v>-1.7555879999999999</v>
          </cell>
          <cell r="D529">
            <v>59280</v>
          </cell>
          <cell r="E529">
            <v>19310</v>
          </cell>
          <cell r="F529">
            <v>57660</v>
          </cell>
          <cell r="G529">
            <v>20880</v>
          </cell>
        </row>
        <row r="530">
          <cell r="A530" t="str">
            <v>47-2171</v>
          </cell>
          <cell r="B530" t="str">
            <v>Reinforcing Iron and Rebar Workers</v>
          </cell>
          <cell r="C530">
            <v>-1.9709970000000001</v>
          </cell>
          <cell r="D530">
            <v>50970</v>
          </cell>
          <cell r="E530">
            <v>13800</v>
          </cell>
          <cell r="F530">
            <v>58970</v>
          </cell>
          <cell r="G530">
            <v>14140</v>
          </cell>
        </row>
        <row r="531">
          <cell r="A531" t="str">
            <v>47-2181</v>
          </cell>
          <cell r="B531" t="str">
            <v>Roofers</v>
          </cell>
          <cell r="C531">
            <v>-1.7529410000000001</v>
          </cell>
          <cell r="D531">
            <v>60850</v>
          </cell>
          <cell r="E531">
            <v>135490</v>
          </cell>
          <cell r="F531">
            <v>55440</v>
          </cell>
          <cell r="G531">
            <v>136740</v>
          </cell>
        </row>
        <row r="532">
          <cell r="A532" t="str">
            <v>47-2211</v>
          </cell>
          <cell r="B532" t="str">
            <v>Sheet Metal Workers</v>
          </cell>
          <cell r="C532">
            <v>-1.1749719999999999</v>
          </cell>
          <cell r="D532">
            <v>62700</v>
          </cell>
          <cell r="E532">
            <v>119770</v>
          </cell>
          <cell r="F532">
            <v>61800</v>
          </cell>
          <cell r="G532">
            <v>117470</v>
          </cell>
        </row>
        <row r="533">
          <cell r="A533" t="str">
            <v>47-2221</v>
          </cell>
          <cell r="B533" t="str">
            <v>Structural Iron and Steel Workers</v>
          </cell>
          <cell r="C533">
            <v>-1.780065</v>
          </cell>
          <cell r="D533">
            <v>51860</v>
          </cell>
          <cell r="E533">
            <v>68380</v>
          </cell>
          <cell r="F533">
            <v>62780</v>
          </cell>
          <cell r="G533">
            <v>64720</v>
          </cell>
        </row>
        <row r="534">
          <cell r="A534" t="str">
            <v>47-2231</v>
          </cell>
          <cell r="B534" t="str">
            <v>Solar Photovoltaic Installers</v>
          </cell>
          <cell r="C534">
            <v>-0.94416920000000004</v>
          </cell>
          <cell r="D534">
            <v>46480</v>
          </cell>
          <cell r="E534">
            <v>31350</v>
          </cell>
          <cell r="F534">
            <v>53140</v>
          </cell>
          <cell r="G534">
            <v>28280</v>
          </cell>
        </row>
        <row r="535">
          <cell r="A535" t="str">
            <v>47-3011</v>
          </cell>
          <cell r="B535" t="str">
            <v>Helpers--Brickmasons, Blockmasons, Stonemasons, and Tile and Marble Setters</v>
          </cell>
          <cell r="C535">
            <v>-1.9422900000000001</v>
          </cell>
          <cell r="D535">
            <v>41600</v>
          </cell>
          <cell r="E535">
            <v>14170</v>
          </cell>
          <cell r="F535">
            <v>47550</v>
          </cell>
          <cell r="G535">
            <v>15660</v>
          </cell>
        </row>
        <row r="536">
          <cell r="A536" t="str">
            <v>47-3012</v>
          </cell>
          <cell r="B536" t="str">
            <v>Helpers--Carpenters</v>
          </cell>
          <cell r="C536">
            <v>-1.4252819999999999</v>
          </cell>
          <cell r="D536">
            <v>39890</v>
          </cell>
          <cell r="E536">
            <v>21680</v>
          </cell>
          <cell r="F536">
            <v>43780</v>
          </cell>
          <cell r="G536">
            <v>24610</v>
          </cell>
        </row>
        <row r="537">
          <cell r="A537" t="str">
            <v>47-3013</v>
          </cell>
          <cell r="B537" t="str">
            <v>Helpers--Electricians</v>
          </cell>
          <cell r="C537">
            <v>-1.506896</v>
          </cell>
          <cell r="D537">
            <v>38140</v>
          </cell>
          <cell r="E537">
            <v>63630</v>
          </cell>
          <cell r="F537">
            <v>42670</v>
          </cell>
          <cell r="G537">
            <v>64440</v>
          </cell>
        </row>
        <row r="538">
          <cell r="A538" t="str">
            <v>47-3014</v>
          </cell>
          <cell r="B538" t="str">
            <v>Helpers--Painters, Paperhangers, Plasterers, and Stucco Masons</v>
          </cell>
          <cell r="C538">
            <v>-2.0448400000000002</v>
          </cell>
          <cell r="D538">
            <v>39270</v>
          </cell>
          <cell r="E538">
            <v>7490</v>
          </cell>
          <cell r="F538">
            <v>40470</v>
          </cell>
          <cell r="G538">
            <v>7220</v>
          </cell>
        </row>
        <row r="539">
          <cell r="A539" t="str">
            <v>47-3015</v>
          </cell>
          <cell r="B539" t="str">
            <v>Helpers--Pipelayers, Plumbers, Pipefitters, and Steamfitters</v>
          </cell>
          <cell r="C539">
            <v>-1.678876</v>
          </cell>
          <cell r="D539">
            <v>40590</v>
          </cell>
          <cell r="E539">
            <v>44330</v>
          </cell>
          <cell r="F539">
            <v>42360</v>
          </cell>
          <cell r="G539">
            <v>43640</v>
          </cell>
        </row>
        <row r="540">
          <cell r="A540" t="str">
            <v>47-3016</v>
          </cell>
          <cell r="B540" t="str">
            <v>Helpers--Roofers</v>
          </cell>
          <cell r="C540">
            <v>-1.89822</v>
          </cell>
          <cell r="D540">
            <v>56520</v>
          </cell>
          <cell r="E540">
            <v>6030</v>
          </cell>
          <cell r="F540">
            <v>44160</v>
          </cell>
          <cell r="G540">
            <v>5170</v>
          </cell>
        </row>
        <row r="541">
          <cell r="A541" t="str">
            <v>47-4000</v>
          </cell>
          <cell r="B541" t="str">
            <v>Construction and Related Workers, All Other</v>
          </cell>
          <cell r="C541">
            <v>-0.87284390000000001</v>
          </cell>
          <cell r="D541">
            <v>65010</v>
          </cell>
          <cell r="E541">
            <v>480270</v>
          </cell>
          <cell r="F541">
            <v>58450</v>
          </cell>
          <cell r="G541">
            <v>464570</v>
          </cell>
        </row>
        <row r="542">
          <cell r="A542" t="str">
            <v>47-4011</v>
          </cell>
          <cell r="B542" t="str">
            <v>Construction and Building Inspectors</v>
          </cell>
          <cell r="C542">
            <v>0.28602450000000001</v>
          </cell>
          <cell r="D542">
            <v>72120</v>
          </cell>
          <cell r="E542">
            <v>146720</v>
          </cell>
          <cell r="F542">
            <v>74690</v>
          </cell>
          <cell r="G542">
            <v>137210</v>
          </cell>
        </row>
        <row r="543">
          <cell r="A543" t="str">
            <v>47-4021</v>
          </cell>
          <cell r="B543" t="str">
            <v>Elevator Installers and Repairers</v>
          </cell>
          <cell r="C543">
            <v>-0.86047419999999997</v>
          </cell>
          <cell r="D543">
            <v>106580</v>
          </cell>
          <cell r="E543">
            <v>23790</v>
          </cell>
          <cell r="F543">
            <v>109910</v>
          </cell>
          <cell r="G543">
            <v>23340</v>
          </cell>
        </row>
        <row r="544">
          <cell r="A544" t="str">
            <v>47-4031</v>
          </cell>
          <cell r="B544" t="str">
            <v>Fence Erectors</v>
          </cell>
          <cell r="C544">
            <v>-1.9021129999999999</v>
          </cell>
          <cell r="D544">
            <v>46940</v>
          </cell>
          <cell r="E544">
            <v>24480</v>
          </cell>
          <cell r="F544">
            <v>47980</v>
          </cell>
          <cell r="G544">
            <v>22640</v>
          </cell>
        </row>
        <row r="545">
          <cell r="A545" t="str">
            <v>47-4041</v>
          </cell>
          <cell r="B545" t="str">
            <v>Hazardous Materials Removal Workers</v>
          </cell>
          <cell r="C545">
            <v>-0.68874389999999996</v>
          </cell>
          <cell r="D545">
            <v>48490</v>
          </cell>
          <cell r="E545">
            <v>51710</v>
          </cell>
          <cell r="F545">
            <v>49450</v>
          </cell>
          <cell r="G545">
            <v>50570</v>
          </cell>
        </row>
        <row r="546">
          <cell r="A546" t="str">
            <v>47-4051</v>
          </cell>
          <cell r="B546" t="str">
            <v>Highway Maintenance Workers</v>
          </cell>
          <cell r="C546">
            <v>-1.2790900000000001</v>
          </cell>
          <cell r="D546">
            <v>49070</v>
          </cell>
          <cell r="E546">
            <v>154960</v>
          </cell>
          <cell r="F546">
            <v>50260</v>
          </cell>
          <cell r="G546">
            <v>151750</v>
          </cell>
        </row>
        <row r="547">
          <cell r="A547" t="str">
            <v>47-4061</v>
          </cell>
          <cell r="B547" t="str">
            <v>Rail-Track Laying and Maintenance Equipment Operators</v>
          </cell>
          <cell r="C547">
            <v>-1.39906</v>
          </cell>
          <cell r="D547">
            <v>67370</v>
          </cell>
          <cell r="E547">
            <v>19580</v>
          </cell>
          <cell r="F547">
            <v>70070</v>
          </cell>
          <cell r="G547">
            <v>16480</v>
          </cell>
        </row>
        <row r="548">
          <cell r="A548" t="str">
            <v>47-4071</v>
          </cell>
          <cell r="B548" t="str">
            <v>Septic Tank Servicers and Sewer Pipe Cleaners</v>
          </cell>
          <cell r="C548">
            <v>-1.210591</v>
          </cell>
          <cell r="D548">
            <v>49140</v>
          </cell>
          <cell r="E548">
            <v>30650</v>
          </cell>
          <cell r="F548">
            <v>49880</v>
          </cell>
          <cell r="G548">
            <v>29050</v>
          </cell>
        </row>
        <row r="549">
          <cell r="A549" t="str">
            <v>47-5011</v>
          </cell>
          <cell r="B549" t="str">
            <v>Derrick Operators, Oil and Gas</v>
          </cell>
          <cell r="C549">
            <v>-1.4150020000000001</v>
          </cell>
          <cell r="D549">
            <v>57980</v>
          </cell>
          <cell r="E549">
            <v>10590</v>
          </cell>
          <cell r="F549">
            <v>58620</v>
          </cell>
          <cell r="G549">
            <v>11040</v>
          </cell>
        </row>
        <row r="550">
          <cell r="A550" t="str">
            <v>47-5012</v>
          </cell>
          <cell r="B550" t="str">
            <v>Rotary Drill Operators, Oil and Gas</v>
          </cell>
          <cell r="C550">
            <v>-0.77373259999999999</v>
          </cell>
          <cell r="D550">
            <v>56020</v>
          </cell>
          <cell r="E550">
            <v>12600</v>
          </cell>
          <cell r="F550">
            <v>67890</v>
          </cell>
          <cell r="G550">
            <v>13090</v>
          </cell>
        </row>
        <row r="551">
          <cell r="A551" t="str">
            <v>47-5013</v>
          </cell>
          <cell r="B551" t="str">
            <v>Service Unit Operators, Oil, Gas, and Mining</v>
          </cell>
          <cell r="C551">
            <v>-0.971916</v>
          </cell>
          <cell r="D551">
            <v>52550</v>
          </cell>
          <cell r="E551">
            <v>43140</v>
          </cell>
          <cell r="F551">
            <v>58160</v>
          </cell>
          <cell r="G551">
            <v>44120</v>
          </cell>
        </row>
        <row r="552">
          <cell r="A552" t="str">
            <v>47-5020</v>
          </cell>
          <cell r="B552" t="str">
            <v>Mine Cutting and Channeling Machine Operators</v>
          </cell>
          <cell r="C552">
            <v>-1.2004250000000001</v>
          </cell>
          <cell r="D552">
            <v>76640</v>
          </cell>
          <cell r="E552">
            <v>53920</v>
          </cell>
          <cell r="F552">
            <v>58280</v>
          </cell>
          <cell r="G552">
            <v>51620</v>
          </cell>
        </row>
        <row r="553">
          <cell r="A553" t="str">
            <v>47-5022</v>
          </cell>
          <cell r="B553" t="str">
            <v>Excavating and Loading Machine and Dragline Operators</v>
          </cell>
          <cell r="C553">
            <v>-1.1443559999999999</v>
          </cell>
          <cell r="D553">
            <v>66370</v>
          </cell>
          <cell r="E553">
            <v>34480</v>
          </cell>
          <cell r="F553">
            <v>57430</v>
          </cell>
          <cell r="G553">
            <v>34210</v>
          </cell>
        </row>
        <row r="554">
          <cell r="A554" t="str">
            <v>47-5023</v>
          </cell>
          <cell r="B554" t="str">
            <v>Earth Drillers, Except Oil and Gas</v>
          </cell>
          <cell r="C554">
            <v>-0.70183910000000005</v>
          </cell>
          <cell r="D554">
            <v>59600</v>
          </cell>
          <cell r="E554">
            <v>19450</v>
          </cell>
          <cell r="F554">
            <v>60190</v>
          </cell>
          <cell r="G554">
            <v>17410</v>
          </cell>
        </row>
        <row r="555">
          <cell r="A555" t="str">
            <v>47-5030</v>
          </cell>
          <cell r="B555" t="str">
            <v>Explosives Workers, Ordnance Handling Experts, and Blasters</v>
          </cell>
          <cell r="C555">
            <v>-0.77302700000000002</v>
          </cell>
          <cell r="D555" t="e">
            <v>#N/A</v>
          </cell>
          <cell r="E555">
            <v>5100</v>
          </cell>
          <cell r="F555">
            <v>61390</v>
          </cell>
          <cell r="G555">
            <v>5680</v>
          </cell>
        </row>
        <row r="556">
          <cell r="A556" t="str">
            <v>47-5041</v>
          </cell>
          <cell r="B556" t="str">
            <v>Continuous Mining Machine Operators</v>
          </cell>
          <cell r="C556">
            <v>-1.165492</v>
          </cell>
          <cell r="D556">
            <v>63380</v>
          </cell>
          <cell r="E556">
            <v>14000</v>
          </cell>
          <cell r="F556">
            <v>61810</v>
          </cell>
          <cell r="G556">
            <v>14340</v>
          </cell>
        </row>
        <row r="557">
          <cell r="A557" t="str">
            <v>47-5043</v>
          </cell>
          <cell r="B557" t="str">
            <v>Roof Bolters, Mining</v>
          </cell>
          <cell r="C557">
            <v>-1.6185179999999999</v>
          </cell>
          <cell r="D557">
            <v>47460</v>
          </cell>
          <cell r="E557">
            <v>2160</v>
          </cell>
          <cell r="F557">
            <v>78540</v>
          </cell>
          <cell r="G557">
            <v>2230</v>
          </cell>
        </row>
        <row r="558">
          <cell r="A558" t="str">
            <v>47-5044</v>
          </cell>
          <cell r="B558" t="str">
            <v>Loading Machine Operators, Underground Mining</v>
          </cell>
          <cell r="C558">
            <v>-1.262688</v>
          </cell>
          <cell r="D558">
            <v>48430</v>
          </cell>
          <cell r="E558">
            <v>5930</v>
          </cell>
          <cell r="F558">
            <v>74500</v>
          </cell>
          <cell r="G558">
            <v>6130</v>
          </cell>
        </row>
        <row r="559">
          <cell r="A559" t="str">
            <v>47-5051</v>
          </cell>
          <cell r="B559" t="str">
            <v>Rock Splitters, Quarry</v>
          </cell>
          <cell r="C559">
            <v>-1.7634939999999999</v>
          </cell>
          <cell r="D559">
            <v>68860</v>
          </cell>
          <cell r="E559">
            <v>3320</v>
          </cell>
          <cell r="F559">
            <v>48740</v>
          </cell>
          <cell r="G559">
            <v>3080</v>
          </cell>
        </row>
        <row r="560">
          <cell r="A560" t="str">
            <v>47-5071</v>
          </cell>
          <cell r="B560" t="str">
            <v>Roustabouts, Oil and Gas</v>
          </cell>
          <cell r="C560">
            <v>-1.518977</v>
          </cell>
          <cell r="D560">
            <v>47510</v>
          </cell>
          <cell r="E560">
            <v>44970</v>
          </cell>
          <cell r="F560">
            <v>46960</v>
          </cell>
          <cell r="G560">
            <v>45330</v>
          </cell>
        </row>
        <row r="561">
          <cell r="A561" t="str">
            <v>47-5081</v>
          </cell>
          <cell r="B561" t="str">
            <v>Helpers--Extraction Workers</v>
          </cell>
          <cell r="C561">
            <v>-1.5431539999999999</v>
          </cell>
          <cell r="D561">
            <v>48400</v>
          </cell>
          <cell r="E561">
            <v>6700</v>
          </cell>
          <cell r="F561">
            <v>47730</v>
          </cell>
          <cell r="G561">
            <v>6720</v>
          </cell>
        </row>
        <row r="562">
          <cell r="A562" t="str">
            <v>49-1011</v>
          </cell>
          <cell r="B562" t="str">
            <v>First-Line Supervisors/Managers of Mechanics, Installers, and Repairers</v>
          </cell>
          <cell r="C562">
            <v>-2.0516900000000001E-2</v>
          </cell>
          <cell r="D562">
            <v>78300</v>
          </cell>
          <cell r="E562">
            <v>617500</v>
          </cell>
          <cell r="F562">
            <v>79860</v>
          </cell>
          <cell r="G562">
            <v>600680</v>
          </cell>
        </row>
        <row r="563">
          <cell r="A563" t="str">
            <v>49-2011</v>
          </cell>
          <cell r="B563" t="str">
            <v>Computer, Automated Teller, and Office Machine Repairers</v>
          </cell>
          <cell r="C563">
            <v>-0.34582469999999998</v>
          </cell>
          <cell r="D563">
            <v>46860</v>
          </cell>
          <cell r="E563">
            <v>65600</v>
          </cell>
          <cell r="F563">
            <v>47810</v>
          </cell>
          <cell r="G563">
            <v>73010</v>
          </cell>
        </row>
        <row r="564">
          <cell r="A564" t="str">
            <v>49-2021</v>
          </cell>
          <cell r="B564" t="str">
            <v>Radio Mechanics</v>
          </cell>
          <cell r="C564">
            <v>-0.63353820000000005</v>
          </cell>
          <cell r="D564">
            <v>64190</v>
          </cell>
          <cell r="E564">
            <v>11140</v>
          </cell>
          <cell r="F564">
            <v>63520</v>
          </cell>
          <cell r="G564">
            <v>11400</v>
          </cell>
        </row>
        <row r="565">
          <cell r="A565" t="str">
            <v>49-2022</v>
          </cell>
          <cell r="B565" t="str">
            <v>Telecommunications Equipment Installers and Repairers, Except Line Installers</v>
          </cell>
          <cell r="C565">
            <v>-0.85304800000000003</v>
          </cell>
          <cell r="D565">
            <v>62630</v>
          </cell>
          <cell r="E565">
            <v>140920</v>
          </cell>
          <cell r="F565">
            <v>63890</v>
          </cell>
          <cell r="G565">
            <v>153890</v>
          </cell>
        </row>
        <row r="566">
          <cell r="A566" t="str">
            <v>49-2091</v>
          </cell>
          <cell r="B566" t="str">
            <v>Avionics Technicians</v>
          </cell>
          <cell r="C566">
            <v>-0.17285349999999999</v>
          </cell>
          <cell r="D566">
            <v>81390</v>
          </cell>
          <cell r="E566">
            <v>18830</v>
          </cell>
          <cell r="F566">
            <v>82280</v>
          </cell>
          <cell r="G566">
            <v>20900</v>
          </cell>
        </row>
        <row r="567">
          <cell r="A567" t="str">
            <v>49-2092</v>
          </cell>
          <cell r="B567" t="str">
            <v>Electric Motor, Power Tool, and Related Repairers</v>
          </cell>
          <cell r="C567">
            <v>-0.81063410000000002</v>
          </cell>
          <cell r="D567">
            <v>53990</v>
          </cell>
          <cell r="E567">
            <v>14450</v>
          </cell>
          <cell r="F567">
            <v>56210</v>
          </cell>
          <cell r="G567">
            <v>16570</v>
          </cell>
        </row>
        <row r="568">
          <cell r="A568" t="str">
            <v>49-2093</v>
          </cell>
          <cell r="B568" t="str">
            <v>Electrical and Electronics Installers and Repairers, Transportation Equipment</v>
          </cell>
          <cell r="C568">
            <v>-0.83038749999999995</v>
          </cell>
          <cell r="D568">
            <v>82730</v>
          </cell>
          <cell r="E568">
            <v>6940</v>
          </cell>
          <cell r="F568">
            <v>84890</v>
          </cell>
          <cell r="G568">
            <v>7310</v>
          </cell>
        </row>
        <row r="569">
          <cell r="A569" t="str">
            <v>49-2094</v>
          </cell>
          <cell r="B569" t="str">
            <v>Electrical and Electronics Repairers, Commercial and Industrial Equipment</v>
          </cell>
          <cell r="C569">
            <v>-0.46320309999999998</v>
          </cell>
          <cell r="D569">
            <v>71300</v>
          </cell>
          <cell r="E569">
            <v>65010</v>
          </cell>
          <cell r="F569">
            <v>74090</v>
          </cell>
          <cell r="G569">
            <v>59990</v>
          </cell>
        </row>
        <row r="570">
          <cell r="A570" t="str">
            <v>49-2095</v>
          </cell>
          <cell r="B570" t="str">
            <v>Electrical and Electronics Repairers, Powerhouse, Substation, and Relay</v>
          </cell>
          <cell r="C570">
            <v>-0.55226359999999997</v>
          </cell>
          <cell r="D570">
            <v>100940</v>
          </cell>
          <cell r="E570">
            <v>20720</v>
          </cell>
          <cell r="F570">
            <v>103020</v>
          </cell>
          <cell r="G570">
            <v>23040</v>
          </cell>
        </row>
        <row r="571">
          <cell r="A571" t="str">
            <v>49-2096</v>
          </cell>
          <cell r="B571" t="str">
            <v>Electronic Equipment Installers and Repairers, Motor Vehicles</v>
          </cell>
          <cell r="C571">
            <v>-0.79159679999999999</v>
          </cell>
          <cell r="D571">
            <v>47940</v>
          </cell>
          <cell r="E571">
            <v>8550</v>
          </cell>
          <cell r="F571">
            <v>48420</v>
          </cell>
          <cell r="G571">
            <v>10140</v>
          </cell>
        </row>
        <row r="572">
          <cell r="A572" t="str">
            <v>49-2097</v>
          </cell>
          <cell r="B572" t="str">
            <v>Electronic Home Entertainment Equipment Installers and Repairers</v>
          </cell>
          <cell r="C572">
            <v>-0.57128400000000001</v>
          </cell>
          <cell r="D572">
            <v>50620</v>
          </cell>
          <cell r="E572">
            <v>19780</v>
          </cell>
          <cell r="F572">
            <v>52600</v>
          </cell>
          <cell r="G572">
            <v>22170</v>
          </cell>
        </row>
        <row r="573">
          <cell r="A573" t="str">
            <v>49-2098</v>
          </cell>
          <cell r="B573" t="str">
            <v>Security and Fire Alarm Systems Installers</v>
          </cell>
          <cell r="C573">
            <v>-0.69264840000000005</v>
          </cell>
          <cell r="D573">
            <v>59300</v>
          </cell>
          <cell r="E573">
            <v>86340</v>
          </cell>
          <cell r="F573">
            <v>60070</v>
          </cell>
          <cell r="G573">
            <v>81510</v>
          </cell>
        </row>
        <row r="574">
          <cell r="A574" t="str">
            <v>49-3011</v>
          </cell>
          <cell r="B574" t="str">
            <v>Aircraft Mechanics and Service Technicians</v>
          </cell>
          <cell r="C574">
            <v>-0.65511969999999997</v>
          </cell>
          <cell r="D574">
            <v>78680</v>
          </cell>
          <cell r="E574">
            <v>138090</v>
          </cell>
          <cell r="F574">
            <v>79870</v>
          </cell>
          <cell r="G574">
            <v>136390</v>
          </cell>
        </row>
        <row r="575">
          <cell r="A575" t="str">
            <v>49-3021</v>
          </cell>
          <cell r="B575" t="str">
            <v>Automotive Body and Related Repairers</v>
          </cell>
          <cell r="C575">
            <v>-1.1805890000000001</v>
          </cell>
          <cell r="D575">
            <v>51680</v>
          </cell>
          <cell r="E575">
            <v>149310</v>
          </cell>
          <cell r="F575">
            <v>54890</v>
          </cell>
          <cell r="G575">
            <v>155220</v>
          </cell>
        </row>
        <row r="576">
          <cell r="A576" t="str">
            <v>49-3022</v>
          </cell>
          <cell r="B576" t="str">
            <v>Automotive Glass Installers and Repairers</v>
          </cell>
          <cell r="C576">
            <v>-1.202285</v>
          </cell>
          <cell r="D576">
            <v>47260</v>
          </cell>
          <cell r="E576">
            <v>20310</v>
          </cell>
          <cell r="F576">
            <v>47630</v>
          </cell>
          <cell r="G576">
            <v>18940</v>
          </cell>
        </row>
        <row r="577">
          <cell r="A577" t="str">
            <v>49-3023</v>
          </cell>
          <cell r="B577" t="str">
            <v>Automotive Service Technicians and Mechanics</v>
          </cell>
          <cell r="C577">
            <v>-0.95470549999999998</v>
          </cell>
          <cell r="D577">
            <v>49670</v>
          </cell>
          <cell r="E577">
            <v>704640</v>
          </cell>
          <cell r="F577">
            <v>50620</v>
          </cell>
          <cell r="G577">
            <v>688840</v>
          </cell>
        </row>
        <row r="578">
          <cell r="A578" t="str">
            <v>49-3031</v>
          </cell>
          <cell r="B578" t="str">
            <v>Bus and Truck Mechanics and Diesel Engine Specialists</v>
          </cell>
          <cell r="C578">
            <v>-1.010472</v>
          </cell>
          <cell r="D578">
            <v>60640</v>
          </cell>
          <cell r="E578">
            <v>289960</v>
          </cell>
          <cell r="F578">
            <v>61770</v>
          </cell>
          <cell r="G578">
            <v>287230</v>
          </cell>
        </row>
        <row r="579">
          <cell r="A579" t="str">
            <v>49-3041</v>
          </cell>
          <cell r="B579" t="str">
            <v>Farm Equipment Mechanics</v>
          </cell>
          <cell r="C579">
            <v>-1.20703</v>
          </cell>
          <cell r="D579">
            <v>52080</v>
          </cell>
          <cell r="E579">
            <v>37870</v>
          </cell>
          <cell r="F579">
            <v>56550</v>
          </cell>
          <cell r="G579">
            <v>36880</v>
          </cell>
        </row>
        <row r="580">
          <cell r="A580" t="str">
            <v>49-3042</v>
          </cell>
          <cell r="B580" t="str">
            <v>Mobile Heavy Equipment Mechanics, Except Engines</v>
          </cell>
          <cell r="C580">
            <v>-1.169815</v>
          </cell>
          <cell r="D580">
            <v>63980</v>
          </cell>
          <cell r="E580">
            <v>176600</v>
          </cell>
          <cell r="F580">
            <v>65510</v>
          </cell>
          <cell r="G580">
            <v>180270</v>
          </cell>
        </row>
        <row r="581">
          <cell r="A581" t="str">
            <v>49-3043</v>
          </cell>
          <cell r="B581" t="str">
            <v>Rail Car Repairers</v>
          </cell>
          <cell r="C581">
            <v>-1.448102</v>
          </cell>
          <cell r="D581">
            <v>65680</v>
          </cell>
          <cell r="E581">
            <v>21350</v>
          </cell>
          <cell r="F581">
            <v>67530</v>
          </cell>
          <cell r="G581">
            <v>18300</v>
          </cell>
        </row>
        <row r="582">
          <cell r="A582" t="str">
            <v>49-3051</v>
          </cell>
          <cell r="B582" t="str">
            <v>Motorboat Mechanics</v>
          </cell>
          <cell r="C582">
            <v>-0.88636020000000004</v>
          </cell>
          <cell r="D582">
            <v>54950</v>
          </cell>
          <cell r="E582">
            <v>23220</v>
          </cell>
          <cell r="F582">
            <v>57550</v>
          </cell>
          <cell r="G582">
            <v>24250</v>
          </cell>
        </row>
        <row r="583">
          <cell r="A583" t="str">
            <v>49-3052</v>
          </cell>
          <cell r="B583" t="str">
            <v>Motorcycle Mechanics</v>
          </cell>
          <cell r="C583">
            <v>-0.76372099999999998</v>
          </cell>
          <cell r="D583">
            <v>47200</v>
          </cell>
          <cell r="E583">
            <v>13510</v>
          </cell>
          <cell r="F583">
            <v>48580</v>
          </cell>
          <cell r="G583">
            <v>14010</v>
          </cell>
        </row>
        <row r="584">
          <cell r="A584" t="str">
            <v>49-3053</v>
          </cell>
          <cell r="B584" t="str">
            <v>Outdoor Power Equipment and Other Small Engine Mechanics</v>
          </cell>
          <cell r="C584">
            <v>-0.89414079999999996</v>
          </cell>
          <cell r="D584">
            <v>46560</v>
          </cell>
          <cell r="E584">
            <v>36060</v>
          </cell>
          <cell r="F584">
            <v>47880</v>
          </cell>
          <cell r="G584">
            <v>34240</v>
          </cell>
        </row>
        <row r="585">
          <cell r="A585" t="str">
            <v>49-3091</v>
          </cell>
          <cell r="B585" t="str">
            <v>Bicycle Repairers</v>
          </cell>
          <cell r="C585">
            <v>-0.92260679999999995</v>
          </cell>
          <cell r="D585">
            <v>40360</v>
          </cell>
          <cell r="E585">
            <v>12170</v>
          </cell>
          <cell r="F585">
            <v>42780</v>
          </cell>
          <cell r="G585">
            <v>12590</v>
          </cell>
        </row>
        <row r="586">
          <cell r="A586" t="str">
            <v>49-3092</v>
          </cell>
          <cell r="B586" t="str">
            <v>Recreational Vehicle Service Technicians</v>
          </cell>
          <cell r="C586">
            <v>-0.92440520000000004</v>
          </cell>
          <cell r="D586">
            <v>50540</v>
          </cell>
          <cell r="E586">
            <v>17430</v>
          </cell>
          <cell r="F586">
            <v>52000</v>
          </cell>
          <cell r="G586">
            <v>18710</v>
          </cell>
        </row>
        <row r="587">
          <cell r="A587" t="str">
            <v>49-3093</v>
          </cell>
          <cell r="B587" t="str">
            <v>Tire Repairers and Changers</v>
          </cell>
          <cell r="C587">
            <v>-1.550724</v>
          </cell>
          <cell r="D587">
            <v>37120</v>
          </cell>
          <cell r="E587">
            <v>108410</v>
          </cell>
          <cell r="F587">
            <v>37710</v>
          </cell>
          <cell r="G587">
            <v>106620</v>
          </cell>
        </row>
        <row r="588">
          <cell r="A588" t="str">
            <v>49-9011</v>
          </cell>
          <cell r="B588" t="str">
            <v>Mechanical Door Repairers</v>
          </cell>
          <cell r="C588">
            <v>-1.3831519999999999</v>
          </cell>
          <cell r="D588">
            <v>51050</v>
          </cell>
          <cell r="E588">
            <v>27120</v>
          </cell>
          <cell r="F588">
            <v>55720</v>
          </cell>
          <cell r="G588">
            <v>27970</v>
          </cell>
        </row>
        <row r="589">
          <cell r="A589" t="str">
            <v>49-9012</v>
          </cell>
          <cell r="B589" t="str">
            <v>Control and Valve Installers and Repairers, Except Mechanical Door</v>
          </cell>
          <cell r="C589">
            <v>-0.76069129999999996</v>
          </cell>
          <cell r="D589">
            <v>74690</v>
          </cell>
          <cell r="E589">
            <v>48240</v>
          </cell>
          <cell r="F589">
            <v>74340</v>
          </cell>
          <cell r="G589">
            <v>46920</v>
          </cell>
        </row>
        <row r="590">
          <cell r="A590" t="str">
            <v>49-9021</v>
          </cell>
          <cell r="B590" t="str">
            <v>Heating, Air Conditioning, and Refrigeration Mechanics and Installers</v>
          </cell>
          <cell r="C590">
            <v>-0.84911170000000002</v>
          </cell>
          <cell r="D590">
            <v>59810</v>
          </cell>
          <cell r="E590">
            <v>409670</v>
          </cell>
          <cell r="F590">
            <v>61010</v>
          </cell>
          <cell r="G590">
            <v>396870</v>
          </cell>
        </row>
        <row r="591">
          <cell r="A591" t="str">
            <v>49-9031</v>
          </cell>
          <cell r="B591" t="str">
            <v>Home Appliance Repairers</v>
          </cell>
          <cell r="C591">
            <v>-0.97037989999999996</v>
          </cell>
          <cell r="D591">
            <v>49410</v>
          </cell>
          <cell r="E591">
            <v>32150</v>
          </cell>
          <cell r="F591">
            <v>50990</v>
          </cell>
          <cell r="G591">
            <v>31940</v>
          </cell>
        </row>
        <row r="592">
          <cell r="A592" t="str">
            <v>49-9041</v>
          </cell>
          <cell r="B592" t="str">
            <v>Industrial Machinery Mechanics</v>
          </cell>
          <cell r="C592">
            <v>-1.1331770000000001</v>
          </cell>
          <cell r="D592">
            <v>63760</v>
          </cell>
          <cell r="E592">
            <v>439640</v>
          </cell>
          <cell r="F592">
            <v>64520</v>
          </cell>
          <cell r="G592">
            <v>421940</v>
          </cell>
        </row>
        <row r="593">
          <cell r="A593" t="str">
            <v>49-9043</v>
          </cell>
          <cell r="B593" t="str">
            <v>Maintenance Workers, Machinery</v>
          </cell>
          <cell r="C593">
            <v>-0.9735492</v>
          </cell>
          <cell r="D593">
            <v>60500</v>
          </cell>
          <cell r="E593">
            <v>60020</v>
          </cell>
          <cell r="F593">
            <v>60850</v>
          </cell>
          <cell r="G593">
            <v>56540</v>
          </cell>
        </row>
        <row r="594">
          <cell r="A594" t="str">
            <v>49-9044</v>
          </cell>
          <cell r="B594" t="str">
            <v>Millwrights</v>
          </cell>
          <cell r="C594">
            <v>-1.2660849999999999</v>
          </cell>
          <cell r="D594">
            <v>65170</v>
          </cell>
          <cell r="E594">
            <v>40330</v>
          </cell>
          <cell r="F594">
            <v>65700</v>
          </cell>
          <cell r="G594">
            <v>40660</v>
          </cell>
        </row>
        <row r="595">
          <cell r="A595" t="str">
            <v>49-9045</v>
          </cell>
          <cell r="B595" t="str">
            <v>Refractory Materials Repairers, Except Brickmasons</v>
          </cell>
          <cell r="C595">
            <v>-1.237463</v>
          </cell>
          <cell r="D595">
            <v>58540</v>
          </cell>
          <cell r="E595">
            <v>1080</v>
          </cell>
          <cell r="F595">
            <v>61290</v>
          </cell>
          <cell r="G595">
            <v>1100</v>
          </cell>
        </row>
        <row r="596">
          <cell r="A596" t="str">
            <v>49-9051</v>
          </cell>
          <cell r="B596" t="str">
            <v>Electrical Power-Line Installers and Repairers</v>
          </cell>
          <cell r="C596">
            <v>-1.0813980000000001</v>
          </cell>
          <cell r="D596">
            <v>92560</v>
          </cell>
          <cell r="E596">
            <v>131070</v>
          </cell>
          <cell r="F596">
            <v>95320</v>
          </cell>
          <cell r="G596">
            <v>123680</v>
          </cell>
        </row>
        <row r="597">
          <cell r="A597" t="str">
            <v>49-9052</v>
          </cell>
          <cell r="B597" t="str">
            <v>Telecommunications Line Installers and Repairers</v>
          </cell>
          <cell r="C597">
            <v>-1.0838829999999999</v>
          </cell>
          <cell r="D597">
            <v>70500</v>
          </cell>
          <cell r="E597">
            <v>97720</v>
          </cell>
          <cell r="F597">
            <v>74330</v>
          </cell>
          <cell r="G597">
            <v>98360</v>
          </cell>
        </row>
        <row r="598">
          <cell r="A598" t="str">
            <v>49-9061</v>
          </cell>
          <cell r="B598" t="str">
            <v>Camera and Photographic Equipment Repairers</v>
          </cell>
          <cell r="C598">
            <v>5.4642200000000002E-2</v>
          </cell>
          <cell r="D598">
            <v>49300</v>
          </cell>
          <cell r="E598">
            <v>1650</v>
          </cell>
          <cell r="F598">
            <v>52720</v>
          </cell>
          <cell r="G598">
            <v>2010</v>
          </cell>
        </row>
        <row r="599">
          <cell r="A599" t="str">
            <v>49-9062</v>
          </cell>
          <cell r="B599" t="str">
            <v>Medical Equipment Repairers</v>
          </cell>
          <cell r="C599">
            <v>-0.27688380000000001</v>
          </cell>
          <cell r="D599">
            <v>62630</v>
          </cell>
          <cell r="E599">
            <v>65990</v>
          </cell>
          <cell r="F599">
            <v>61660</v>
          </cell>
          <cell r="G599">
            <v>60830</v>
          </cell>
        </row>
        <row r="600">
          <cell r="A600" t="str">
            <v>49-9063</v>
          </cell>
          <cell r="B600" t="str">
            <v>Musical Instrument Repairers and Tuners</v>
          </cell>
          <cell r="C600">
            <v>-0.53062710000000002</v>
          </cell>
          <cell r="D600">
            <v>45320</v>
          </cell>
          <cell r="E600">
            <v>5380</v>
          </cell>
          <cell r="F600">
            <v>46420</v>
          </cell>
          <cell r="G600">
            <v>5730</v>
          </cell>
        </row>
        <row r="601">
          <cell r="A601" t="str">
            <v>49-9064</v>
          </cell>
          <cell r="B601" t="str">
            <v>Watch Repairers</v>
          </cell>
          <cell r="C601">
            <v>-0.21239959999999999</v>
          </cell>
          <cell r="D601">
            <v>60690</v>
          </cell>
          <cell r="E601">
            <v>1310</v>
          </cell>
          <cell r="F601">
            <v>67230</v>
          </cell>
          <cell r="G601">
            <v>1300</v>
          </cell>
        </row>
        <row r="602">
          <cell r="A602" t="str">
            <v>49-9071</v>
          </cell>
          <cell r="B602" t="str">
            <v>Maintenance and Repair Workers, General</v>
          </cell>
          <cell r="C602">
            <v>-1.014408</v>
          </cell>
          <cell r="D602">
            <v>48620</v>
          </cell>
          <cell r="E602">
            <v>1529700</v>
          </cell>
          <cell r="F602">
            <v>49590</v>
          </cell>
          <cell r="G602">
            <v>1531700</v>
          </cell>
        </row>
        <row r="603">
          <cell r="A603" t="str">
            <v>49-9081</v>
          </cell>
          <cell r="B603" t="str">
            <v>Wind Turbine Service Technicians</v>
          </cell>
          <cell r="C603">
            <v>-0.97099349999999995</v>
          </cell>
          <cell r="D603">
            <v>62580</v>
          </cell>
          <cell r="E603">
            <v>9980</v>
          </cell>
          <cell r="F603">
            <v>64120</v>
          </cell>
          <cell r="G603">
            <v>11220</v>
          </cell>
        </row>
        <row r="604">
          <cell r="A604" t="str">
            <v>49-9091</v>
          </cell>
          <cell r="B604" t="str">
            <v>Coin, Vending, and Amusement Machine Servicers and Repairers</v>
          </cell>
          <cell r="C604">
            <v>-0.72339949999999997</v>
          </cell>
          <cell r="D604">
            <v>47350</v>
          </cell>
          <cell r="E604">
            <v>26410</v>
          </cell>
          <cell r="F604">
            <v>47450</v>
          </cell>
          <cell r="G604">
            <v>28260</v>
          </cell>
        </row>
        <row r="605">
          <cell r="A605" t="str">
            <v>49-9092</v>
          </cell>
          <cell r="B605" t="str">
            <v>Commercial Divers</v>
          </cell>
          <cell r="C605">
            <v>-1.1027279999999999</v>
          </cell>
          <cell r="D605">
            <v>61130</v>
          </cell>
          <cell r="E605">
            <v>3450</v>
          </cell>
          <cell r="F605">
            <v>72990</v>
          </cell>
          <cell r="G605">
            <v>3430</v>
          </cell>
        </row>
        <row r="606">
          <cell r="A606" t="str">
            <v>49-9094</v>
          </cell>
          <cell r="B606" t="str">
            <v>Locksmiths and Safe Repairers</v>
          </cell>
          <cell r="C606">
            <v>-0.86574980000000001</v>
          </cell>
          <cell r="D606">
            <v>41080</v>
          </cell>
          <cell r="E606">
            <v>15040</v>
          </cell>
          <cell r="F606">
            <v>51320</v>
          </cell>
          <cell r="G606">
            <v>15550</v>
          </cell>
        </row>
        <row r="607">
          <cell r="A607" t="str">
            <v>49-9095</v>
          </cell>
          <cell r="B607" t="str">
            <v>Manufactured Building and Mobile Home Installers</v>
          </cell>
          <cell r="C607">
            <v>-1.4140619999999999</v>
          </cell>
          <cell r="D607">
            <v>62060</v>
          </cell>
          <cell r="E607">
            <v>3020</v>
          </cell>
          <cell r="F607">
            <v>45990</v>
          </cell>
          <cell r="G607">
            <v>2610</v>
          </cell>
        </row>
        <row r="608">
          <cell r="A608" t="str">
            <v>49-9096</v>
          </cell>
          <cell r="B608" t="str">
            <v>Riggers</v>
          </cell>
          <cell r="C608">
            <v>-1.221519</v>
          </cell>
          <cell r="D608">
            <v>83600</v>
          </cell>
          <cell r="E608">
            <v>22530</v>
          </cell>
          <cell r="F608">
            <v>62640</v>
          </cell>
          <cell r="G608">
            <v>24190</v>
          </cell>
        </row>
        <row r="609">
          <cell r="A609" t="str">
            <v>49-9097</v>
          </cell>
          <cell r="B609" t="str">
            <v>Signal and Track Switch Repairers</v>
          </cell>
          <cell r="C609">
            <v>-0.85822100000000001</v>
          </cell>
          <cell r="D609">
            <v>38860</v>
          </cell>
          <cell r="E609">
            <v>8720</v>
          </cell>
          <cell r="F609">
            <v>92460</v>
          </cell>
          <cell r="G609">
            <v>8210</v>
          </cell>
        </row>
        <row r="610">
          <cell r="A610" t="str">
            <v>49-9098</v>
          </cell>
          <cell r="B610" t="str">
            <v>Helpers--Installation, Maintenance, and Repair Workers</v>
          </cell>
          <cell r="C610">
            <v>-1.3465549999999999</v>
          </cell>
          <cell r="D610">
            <v>48640</v>
          </cell>
          <cell r="E610">
            <v>95580</v>
          </cell>
          <cell r="F610">
            <v>39630</v>
          </cell>
          <cell r="G610">
            <v>97540</v>
          </cell>
        </row>
        <row r="611">
          <cell r="A611" t="str">
            <v>49-9099</v>
          </cell>
          <cell r="B611" t="str">
            <v>Installation, Maintenance, and Repair Workers, All Other</v>
          </cell>
          <cell r="C611">
            <v>-0.59007909999999997</v>
          </cell>
          <cell r="D611">
            <v>71190</v>
          </cell>
          <cell r="E611">
            <v>176300</v>
          </cell>
          <cell r="F611">
            <v>49230</v>
          </cell>
          <cell r="G611">
            <v>183690</v>
          </cell>
        </row>
        <row r="612">
          <cell r="A612" t="str">
            <v>51-1011</v>
          </cell>
          <cell r="B612" t="str">
            <v>First-Line Supervisors/Managers of Production and Operating Workers</v>
          </cell>
          <cell r="C612">
            <v>-8.4528199999999998E-2</v>
          </cell>
          <cell r="D612">
            <v>61680</v>
          </cell>
          <cell r="E612">
            <v>673430</v>
          </cell>
          <cell r="F612">
            <v>74450</v>
          </cell>
          <cell r="G612">
            <v>685140</v>
          </cell>
        </row>
        <row r="613">
          <cell r="A613" t="str">
            <v>51-2011</v>
          </cell>
          <cell r="B613" t="str">
            <v>Aircraft Structure, Surfaces, Rigging, and Systems Assemblers</v>
          </cell>
          <cell r="C613">
            <v>-0.86847059999999998</v>
          </cell>
          <cell r="D613">
            <v>44210</v>
          </cell>
          <cell r="E613">
            <v>34020</v>
          </cell>
          <cell r="F613">
            <v>65380</v>
          </cell>
          <cell r="G613">
            <v>32890</v>
          </cell>
        </row>
        <row r="614">
          <cell r="A614" t="str">
            <v>51-2020</v>
          </cell>
          <cell r="B614" t="str">
            <v>Electrical and Electronic Equipment Assemblers</v>
          </cell>
          <cell r="C614">
            <v>-0.62488069999999996</v>
          </cell>
          <cell r="D614">
            <v>52540</v>
          </cell>
          <cell r="E614">
            <v>259810</v>
          </cell>
          <cell r="F614">
            <v>45930</v>
          </cell>
          <cell r="G614">
            <v>273300</v>
          </cell>
        </row>
        <row r="615">
          <cell r="A615" t="str">
            <v>51-2021</v>
          </cell>
          <cell r="B615" t="str">
            <v>Coil Winders, Tapers, and Finishers</v>
          </cell>
          <cell r="C615">
            <v>-0.82897220000000005</v>
          </cell>
          <cell r="D615">
            <v>47260</v>
          </cell>
          <cell r="E615">
            <v>12840</v>
          </cell>
          <cell r="F615">
            <v>48220</v>
          </cell>
          <cell r="G615">
            <v>12170</v>
          </cell>
        </row>
        <row r="616">
          <cell r="A616" t="str">
            <v>51-2031</v>
          </cell>
          <cell r="B616" t="str">
            <v>Engine and Other Machine Assemblers</v>
          </cell>
          <cell r="C616">
            <v>-0.95614529999999998</v>
          </cell>
          <cell r="D616">
            <v>49900</v>
          </cell>
          <cell r="E616">
            <v>34000</v>
          </cell>
          <cell r="F616">
            <v>53710</v>
          </cell>
          <cell r="G616">
            <v>38420</v>
          </cell>
        </row>
        <row r="617">
          <cell r="A617" t="str">
            <v>51-2041</v>
          </cell>
          <cell r="B617" t="str">
            <v>Structural Metal Fabricators and Fitters</v>
          </cell>
          <cell r="C617">
            <v>-1.0763069999999999</v>
          </cell>
          <cell r="D617" t="e">
            <v>#N/A</v>
          </cell>
          <cell r="E617">
            <v>52360</v>
          </cell>
          <cell r="F617">
            <v>51330</v>
          </cell>
          <cell r="G617">
            <v>53380</v>
          </cell>
        </row>
        <row r="618">
          <cell r="A618" t="str">
            <v>51-2050</v>
          </cell>
          <cell r="B618" t="str">
            <v>Fiberglass Laminators and Fabricators</v>
          </cell>
          <cell r="C618">
            <v>-1.216496</v>
          </cell>
          <cell r="D618">
            <v>42210</v>
          </cell>
          <cell r="E618">
            <v>16170</v>
          </cell>
          <cell r="F618">
            <v>46880</v>
          </cell>
          <cell r="G618">
            <v>18520</v>
          </cell>
        </row>
        <row r="619">
          <cell r="A619" t="str">
            <v>51-2090</v>
          </cell>
          <cell r="B619" t="str">
            <v>Timing Device Assemblers, Adjusters, and Calibrators</v>
          </cell>
          <cell r="C619">
            <v>-0.2552991</v>
          </cell>
          <cell r="D619">
            <v>36650</v>
          </cell>
          <cell r="E619">
            <v>1405030</v>
          </cell>
          <cell r="F619">
            <v>44650</v>
          </cell>
          <cell r="G619">
            <v>1457800</v>
          </cell>
        </row>
        <row r="620">
          <cell r="A620" t="str">
            <v>51-3011</v>
          </cell>
          <cell r="B620" t="str">
            <v>Bakers</v>
          </cell>
          <cell r="C620">
            <v>-0.3852989</v>
          </cell>
          <cell r="D620">
            <v>38960</v>
          </cell>
          <cell r="E620">
            <v>236200</v>
          </cell>
          <cell r="F620">
            <v>37160</v>
          </cell>
          <cell r="G620">
            <v>231890</v>
          </cell>
        </row>
        <row r="621">
          <cell r="A621" t="str">
            <v>51-3021</v>
          </cell>
          <cell r="B621" t="str">
            <v>Butchers and Meat Cutters</v>
          </cell>
          <cell r="C621">
            <v>-0.97099239999999998</v>
          </cell>
          <cell r="D621">
            <v>37700</v>
          </cell>
          <cell r="E621">
            <v>136430</v>
          </cell>
          <cell r="F621">
            <v>40140</v>
          </cell>
          <cell r="G621">
            <v>140040</v>
          </cell>
        </row>
        <row r="622">
          <cell r="A622" t="str">
            <v>51-3022</v>
          </cell>
          <cell r="B622" t="str">
            <v>Meat, Poultry, and Fish Cutters and Trimmers</v>
          </cell>
          <cell r="C622">
            <v>-1.1056299999999999</v>
          </cell>
          <cell r="D622">
            <v>39790</v>
          </cell>
          <cell r="E622">
            <v>145700</v>
          </cell>
          <cell r="F622">
            <v>38300</v>
          </cell>
          <cell r="G622">
            <v>141090</v>
          </cell>
        </row>
        <row r="623">
          <cell r="A623" t="str">
            <v>51-3023</v>
          </cell>
          <cell r="B623" t="str">
            <v>Slaughterers and Meat Packers</v>
          </cell>
          <cell r="C623">
            <v>-1.834668</v>
          </cell>
          <cell r="D623">
            <v>42730</v>
          </cell>
          <cell r="E623">
            <v>69950</v>
          </cell>
          <cell r="F623">
            <v>40130</v>
          </cell>
          <cell r="G623">
            <v>67500</v>
          </cell>
        </row>
        <row r="624">
          <cell r="A624" t="str">
            <v>51-3091</v>
          </cell>
          <cell r="B624" t="str">
            <v>Food and Tobacco Roasting, Baking, and Drying Machine Operators and Tenders</v>
          </cell>
          <cell r="C624">
            <v>-0.75885899999999995</v>
          </cell>
          <cell r="D624">
            <v>40790</v>
          </cell>
          <cell r="E624">
            <v>20370</v>
          </cell>
          <cell r="F624">
            <v>44810</v>
          </cell>
          <cell r="G624">
            <v>19500</v>
          </cell>
        </row>
        <row r="625">
          <cell r="A625" t="str">
            <v>51-3092</v>
          </cell>
          <cell r="B625" t="str">
            <v>Food Batchmakers</v>
          </cell>
          <cell r="C625">
            <v>-0.37911139999999999</v>
          </cell>
          <cell r="D625">
            <v>40550</v>
          </cell>
          <cell r="E625">
            <v>174520</v>
          </cell>
          <cell r="F625">
            <v>42290</v>
          </cell>
          <cell r="G625">
            <v>171660</v>
          </cell>
        </row>
        <row r="626">
          <cell r="A626" t="str">
            <v>51-3093</v>
          </cell>
          <cell r="B626" t="str">
            <v>Food Cooking Machine Operators and Tenders</v>
          </cell>
          <cell r="C626">
            <v>-0.55598939999999997</v>
          </cell>
          <cell r="D626">
            <v>46980</v>
          </cell>
          <cell r="E626">
            <v>31250</v>
          </cell>
          <cell r="F626">
            <v>41590</v>
          </cell>
          <cell r="G626">
            <v>27660</v>
          </cell>
        </row>
        <row r="627">
          <cell r="A627" t="str">
            <v>51-4021</v>
          </cell>
          <cell r="B627" t="str">
            <v>Extruding and Drawing Machine Setters, Operators, and Tenders, Metal and Plastic</v>
          </cell>
          <cell r="C627">
            <v>-1.2343519999999999</v>
          </cell>
          <cell r="D627">
            <v>48630</v>
          </cell>
          <cell r="E627">
            <v>60840</v>
          </cell>
          <cell r="F627">
            <v>47720</v>
          </cell>
          <cell r="G627">
            <v>65700</v>
          </cell>
        </row>
        <row r="628">
          <cell r="A628" t="str">
            <v>51-4022</v>
          </cell>
          <cell r="B628" t="str">
            <v>Forging Machine Setters, Operators, and Tenders, Metal and Plastic</v>
          </cell>
          <cell r="C628">
            <v>-0.80466769999999999</v>
          </cell>
          <cell r="D628">
            <v>45870</v>
          </cell>
          <cell r="E628">
            <v>8930</v>
          </cell>
          <cell r="F628">
            <v>49030</v>
          </cell>
          <cell r="G628">
            <v>8760</v>
          </cell>
        </row>
        <row r="629">
          <cell r="A629" t="str">
            <v>51-4023</v>
          </cell>
          <cell r="B629" t="str">
            <v>Rolling Machine Setters, Operators, and Tenders, Metal and Plastic</v>
          </cell>
          <cell r="C629">
            <v>-1.08921</v>
          </cell>
          <cell r="D629">
            <v>45590</v>
          </cell>
          <cell r="E629">
            <v>25250</v>
          </cell>
          <cell r="F629">
            <v>50140</v>
          </cell>
          <cell r="G629">
            <v>22350</v>
          </cell>
        </row>
        <row r="630">
          <cell r="A630" t="str">
            <v>51-4030</v>
          </cell>
          <cell r="B630" t="str">
            <v>Computer-Controlled Machine Tool Operators, Metal and Plastic</v>
          </cell>
          <cell r="C630">
            <v>-0.67374440000000002</v>
          </cell>
          <cell r="D630">
            <v>49240</v>
          </cell>
          <cell r="E630">
            <v>272050</v>
          </cell>
          <cell r="F630">
            <v>46760</v>
          </cell>
          <cell r="G630">
            <v>282640</v>
          </cell>
        </row>
        <row r="631">
          <cell r="A631" t="str">
            <v>51-4031</v>
          </cell>
          <cell r="B631" t="str">
            <v>Cutting, Punching, and Press Machine Setters, Operators, and Tenders, Metal and Plastic</v>
          </cell>
          <cell r="C631">
            <v>-1.0365690000000001</v>
          </cell>
          <cell r="D631">
            <v>46630</v>
          </cell>
          <cell r="E631">
            <v>171200</v>
          </cell>
          <cell r="F631">
            <v>46330</v>
          </cell>
          <cell r="G631">
            <v>174430</v>
          </cell>
        </row>
        <row r="632">
          <cell r="A632" t="str">
            <v>51-4032</v>
          </cell>
          <cell r="B632" t="str">
            <v>Drilling and Boring Machine Tool Setters, Operators, and Tenders, Metal and Plastic</v>
          </cell>
          <cell r="C632">
            <v>-0.75981319999999997</v>
          </cell>
          <cell r="D632">
            <v>45190</v>
          </cell>
          <cell r="E632">
            <v>4680</v>
          </cell>
          <cell r="F632">
            <v>49080</v>
          </cell>
          <cell r="G632">
            <v>5310</v>
          </cell>
        </row>
        <row r="633">
          <cell r="A633" t="str">
            <v>51-4033</v>
          </cell>
          <cell r="B633" t="str">
            <v>Grinding, Lapping, Polishing, and Buffing Machine Tool Setters, Operators, and Tenders, Metal and Plastic</v>
          </cell>
          <cell r="C633">
            <v>-0.9901662</v>
          </cell>
          <cell r="D633">
            <v>48620</v>
          </cell>
          <cell r="E633">
            <v>67000</v>
          </cell>
          <cell r="F633">
            <v>46550</v>
          </cell>
          <cell r="G633">
            <v>70110</v>
          </cell>
        </row>
        <row r="634">
          <cell r="A634" t="str">
            <v>51-4034</v>
          </cell>
          <cell r="B634" t="str">
            <v>Lathe and Turning Machine Tool Setters, Operators, and Tenders, Metal and Plastic</v>
          </cell>
          <cell r="C634">
            <v>-1.06734</v>
          </cell>
          <cell r="D634">
            <v>48310</v>
          </cell>
          <cell r="E634">
            <v>16710</v>
          </cell>
          <cell r="F634">
            <v>50620</v>
          </cell>
          <cell r="G634">
            <v>18970</v>
          </cell>
        </row>
        <row r="635">
          <cell r="A635" t="str">
            <v>51-4035</v>
          </cell>
          <cell r="B635" t="str">
            <v>Milling and Planing Machine Setters, Operators, and Tenders, Metal and Plastic</v>
          </cell>
          <cell r="C635">
            <v>-0.87032189999999998</v>
          </cell>
          <cell r="D635">
            <v>56150</v>
          </cell>
          <cell r="E635">
            <v>12460</v>
          </cell>
          <cell r="F635">
            <v>52800</v>
          </cell>
          <cell r="G635">
            <v>13810</v>
          </cell>
        </row>
        <row r="636">
          <cell r="A636" t="str">
            <v>51-4041</v>
          </cell>
          <cell r="B636" t="str">
            <v>Machinists</v>
          </cell>
          <cell r="C636">
            <v>-0.86755349999999998</v>
          </cell>
          <cell r="D636">
            <v>55770</v>
          </cell>
          <cell r="E636">
            <v>287050</v>
          </cell>
          <cell r="F636">
            <v>58750</v>
          </cell>
          <cell r="G636">
            <v>298790</v>
          </cell>
        </row>
        <row r="637">
          <cell r="A637" t="str">
            <v>51-4051</v>
          </cell>
          <cell r="B637" t="str">
            <v>Metal-Refining Furnace Operators and Tenders</v>
          </cell>
          <cell r="C637">
            <v>-1.167465</v>
          </cell>
          <cell r="D637">
            <v>48940</v>
          </cell>
          <cell r="E637">
            <v>16780</v>
          </cell>
          <cell r="F637">
            <v>54430</v>
          </cell>
          <cell r="G637">
            <v>20330</v>
          </cell>
        </row>
        <row r="638">
          <cell r="A638" t="str">
            <v>51-4052</v>
          </cell>
          <cell r="B638" t="str">
            <v>Pourers and Casters, Metal</v>
          </cell>
          <cell r="C638">
            <v>-1.0091399999999999</v>
          </cell>
          <cell r="D638">
            <v>62700</v>
          </cell>
          <cell r="E638">
            <v>4560</v>
          </cell>
          <cell r="F638">
            <v>51810</v>
          </cell>
          <cell r="G638">
            <v>5830</v>
          </cell>
        </row>
        <row r="639">
          <cell r="A639" t="str">
            <v>51-4061</v>
          </cell>
          <cell r="B639" t="str">
            <v>Model Makers, Metal and Plastic</v>
          </cell>
          <cell r="C639">
            <v>-0.74219769999999996</v>
          </cell>
          <cell r="D639">
            <v>54540</v>
          </cell>
          <cell r="E639">
            <v>2610</v>
          </cell>
          <cell r="F639">
            <v>63340</v>
          </cell>
          <cell r="G639">
            <v>3230</v>
          </cell>
        </row>
        <row r="640">
          <cell r="A640" t="str">
            <v>51-4062</v>
          </cell>
          <cell r="B640" t="str">
            <v>Patternmakers, Metal and Plastic</v>
          </cell>
          <cell r="C640">
            <v>-0.61313309999999999</v>
          </cell>
          <cell r="D640">
            <v>45700</v>
          </cell>
          <cell r="E640">
            <v>1470</v>
          </cell>
          <cell r="F640">
            <v>58000</v>
          </cell>
          <cell r="G640">
            <v>1570</v>
          </cell>
        </row>
        <row r="641">
          <cell r="A641" t="str">
            <v>51-4071</v>
          </cell>
          <cell r="B641" t="str">
            <v>Foundry Mold and Coremakers</v>
          </cell>
          <cell r="C641">
            <v>-1.7403489999999999</v>
          </cell>
          <cell r="D641">
            <v>41230</v>
          </cell>
          <cell r="E641">
            <v>12790</v>
          </cell>
          <cell r="F641">
            <v>48110</v>
          </cell>
          <cell r="G641">
            <v>12720</v>
          </cell>
        </row>
        <row r="642">
          <cell r="A642" t="str">
            <v>51-4072</v>
          </cell>
          <cell r="B642" t="str">
            <v>Molding, Coremaking, and Casting Machine Setters, Operators, and Tenders, Metal and Plastic</v>
          </cell>
          <cell r="C642">
            <v>-1.146139</v>
          </cell>
          <cell r="D642">
            <v>46060</v>
          </cell>
          <cell r="E642">
            <v>150470</v>
          </cell>
          <cell r="F642">
            <v>44350</v>
          </cell>
          <cell r="G642">
            <v>154820</v>
          </cell>
        </row>
        <row r="643">
          <cell r="A643" t="str">
            <v>51-4081</v>
          </cell>
          <cell r="B643" t="str">
            <v>Multiple Machine Tool Setters, Operators, and Tenders, Metal and Plastic</v>
          </cell>
          <cell r="C643">
            <v>-0.74265999999999999</v>
          </cell>
          <cell r="D643">
            <v>63180</v>
          </cell>
          <cell r="E643">
            <v>124590</v>
          </cell>
          <cell r="F643">
            <v>47180</v>
          </cell>
          <cell r="G643">
            <v>129850</v>
          </cell>
        </row>
        <row r="644">
          <cell r="A644" t="str">
            <v>51-4111</v>
          </cell>
          <cell r="B644" t="str">
            <v>Tool and Die Makers</v>
          </cell>
          <cell r="C644">
            <v>-0.53178970000000003</v>
          </cell>
          <cell r="D644">
            <v>51000</v>
          </cell>
          <cell r="E644">
            <v>56930</v>
          </cell>
          <cell r="F644">
            <v>64050</v>
          </cell>
          <cell r="G644">
            <v>55130</v>
          </cell>
        </row>
        <row r="645">
          <cell r="A645" t="str">
            <v>51-4121</v>
          </cell>
          <cell r="B645" t="str">
            <v>Welders, Cutters, Solderers, and Brazers</v>
          </cell>
          <cell r="C645">
            <v>-1.1975960000000001</v>
          </cell>
          <cell r="D645">
            <v>47060</v>
          </cell>
          <cell r="E645">
            <v>416210</v>
          </cell>
          <cell r="F645">
            <v>53750</v>
          </cell>
          <cell r="G645">
            <v>424040</v>
          </cell>
        </row>
        <row r="646">
          <cell r="A646" t="str">
            <v>51-4122</v>
          </cell>
          <cell r="B646" t="str">
            <v>Welding, Soldering, and Brazing Machine Setters, Operators, and Tenders</v>
          </cell>
          <cell r="C646">
            <v>-1.0024109999999999</v>
          </cell>
          <cell r="D646">
            <v>47450</v>
          </cell>
          <cell r="E646">
            <v>31600</v>
          </cell>
          <cell r="F646">
            <v>47920</v>
          </cell>
          <cell r="G646">
            <v>36290</v>
          </cell>
        </row>
        <row r="647">
          <cell r="A647" t="str">
            <v>51-4191</v>
          </cell>
          <cell r="B647" t="str">
            <v>Heat Treating Equipment Setters, Operators, and Tenders, Metal and Plastic</v>
          </cell>
          <cell r="C647">
            <v>-1.0924860000000001</v>
          </cell>
          <cell r="D647">
            <v>61870</v>
          </cell>
          <cell r="E647">
            <v>14000</v>
          </cell>
          <cell r="F647">
            <v>48750</v>
          </cell>
          <cell r="G647">
            <v>14590</v>
          </cell>
        </row>
        <row r="648">
          <cell r="A648" t="str">
            <v>51-4192</v>
          </cell>
          <cell r="B648" t="str">
            <v>Lay-Out Workers, Metal and Plastic</v>
          </cell>
          <cell r="C648">
            <v>-0.72213530000000004</v>
          </cell>
          <cell r="D648">
            <v>41600</v>
          </cell>
          <cell r="E648">
            <v>5970</v>
          </cell>
          <cell r="F648">
            <v>63870</v>
          </cell>
          <cell r="G648">
            <v>5610</v>
          </cell>
        </row>
        <row r="649">
          <cell r="A649" t="str">
            <v>51-4193</v>
          </cell>
          <cell r="B649" t="str">
            <v>Plating and Coating Machine Setters, Operators, and Tenders, Metal and Plastic</v>
          </cell>
          <cell r="C649">
            <v>-0.8999876</v>
          </cell>
          <cell r="D649">
            <v>48970</v>
          </cell>
          <cell r="E649">
            <v>32410</v>
          </cell>
          <cell r="F649">
            <v>43960</v>
          </cell>
          <cell r="G649">
            <v>31510</v>
          </cell>
        </row>
        <row r="650">
          <cell r="A650" t="str">
            <v>51-4194</v>
          </cell>
          <cell r="B650" t="str">
            <v>Tool Grinders, Filers, and Sharpeners</v>
          </cell>
          <cell r="C650">
            <v>-0.88092380000000003</v>
          </cell>
          <cell r="D650">
            <v>47300</v>
          </cell>
          <cell r="E650">
            <v>5600</v>
          </cell>
          <cell r="F650">
            <v>50060</v>
          </cell>
          <cell r="G650">
            <v>5730</v>
          </cell>
        </row>
        <row r="651">
          <cell r="A651" t="str">
            <v>51-5111</v>
          </cell>
          <cell r="B651" t="str">
            <v>Prepress Technicians and Workers</v>
          </cell>
          <cell r="C651">
            <v>0.41079729999999998</v>
          </cell>
          <cell r="D651">
            <v>45160</v>
          </cell>
          <cell r="E651">
            <v>23840</v>
          </cell>
          <cell r="F651">
            <v>48690</v>
          </cell>
          <cell r="G651">
            <v>23070</v>
          </cell>
        </row>
        <row r="652">
          <cell r="A652" t="str">
            <v>51-5112</v>
          </cell>
          <cell r="B652" t="str">
            <v>Printing Press Operators</v>
          </cell>
          <cell r="C652">
            <v>-0.70938809999999997</v>
          </cell>
          <cell r="D652">
            <v>39820</v>
          </cell>
          <cell r="E652">
            <v>144260</v>
          </cell>
          <cell r="F652">
            <v>45780</v>
          </cell>
          <cell r="G652">
            <v>145110</v>
          </cell>
        </row>
        <row r="653">
          <cell r="A653" t="str">
            <v>51-5113</v>
          </cell>
          <cell r="B653" t="str">
            <v>Print Binding and Finishing Workers</v>
          </cell>
          <cell r="C653">
            <v>-0.90620889999999998</v>
          </cell>
          <cell r="D653">
            <v>33800</v>
          </cell>
          <cell r="E653">
            <v>33180</v>
          </cell>
          <cell r="F653">
            <v>42290</v>
          </cell>
          <cell r="G653">
            <v>36470</v>
          </cell>
        </row>
        <row r="654">
          <cell r="A654" t="str">
            <v>51-6011</v>
          </cell>
          <cell r="B654" t="str">
            <v>Laundry and Dry-Cleaning Workers</v>
          </cell>
          <cell r="C654">
            <v>-1.0543990000000001</v>
          </cell>
          <cell r="D654">
            <v>33880</v>
          </cell>
          <cell r="E654">
            <v>198040</v>
          </cell>
          <cell r="F654">
            <v>34890</v>
          </cell>
          <cell r="G654">
            <v>195360</v>
          </cell>
        </row>
        <row r="655">
          <cell r="A655" t="str">
            <v>51-6021</v>
          </cell>
          <cell r="B655" t="str">
            <v>Pressers, Textile, Garment, and Related Materials</v>
          </cell>
          <cell r="C655">
            <v>-1.9500630000000001</v>
          </cell>
          <cell r="D655">
            <v>36000</v>
          </cell>
          <cell r="E655">
            <v>26120</v>
          </cell>
          <cell r="F655">
            <v>35060</v>
          </cell>
          <cell r="G655">
            <v>26830</v>
          </cell>
        </row>
        <row r="656">
          <cell r="A656" t="str">
            <v>51-6031</v>
          </cell>
          <cell r="B656" t="str">
            <v>Sewing Machine Operators</v>
          </cell>
          <cell r="C656">
            <v>-0.96396610000000005</v>
          </cell>
          <cell r="D656">
            <v>35950</v>
          </cell>
          <cell r="E656">
            <v>104880</v>
          </cell>
          <cell r="F656">
            <v>36670</v>
          </cell>
          <cell r="G656">
            <v>109590</v>
          </cell>
        </row>
        <row r="657">
          <cell r="A657" t="str">
            <v>51-6041</v>
          </cell>
          <cell r="B657" t="str">
            <v>Shoe and Leather Workers and Repairers</v>
          </cell>
          <cell r="C657">
            <v>-0.99091200000000002</v>
          </cell>
          <cell r="D657">
            <v>38160</v>
          </cell>
          <cell r="E657">
            <v>7450</v>
          </cell>
          <cell r="F657">
            <v>37800</v>
          </cell>
          <cell r="G657">
            <v>7640</v>
          </cell>
        </row>
        <row r="658">
          <cell r="A658" t="str">
            <v>51-6042</v>
          </cell>
          <cell r="B658" t="str">
            <v>Shoe Machine Operators and Tenders</v>
          </cell>
          <cell r="C658">
            <v>-1.029855</v>
          </cell>
          <cell r="D658">
            <v>33760</v>
          </cell>
          <cell r="E658">
            <v>3280</v>
          </cell>
          <cell r="F658">
            <v>35650</v>
          </cell>
          <cell r="G658">
            <v>3270</v>
          </cell>
        </row>
        <row r="659">
          <cell r="A659" t="str">
            <v>51-6051</v>
          </cell>
          <cell r="B659" t="str">
            <v>Sewers, Hand</v>
          </cell>
          <cell r="C659">
            <v>-0.59872179999999997</v>
          </cell>
          <cell r="D659">
            <v>40860</v>
          </cell>
          <cell r="E659">
            <v>2190</v>
          </cell>
          <cell r="F659">
            <v>36480</v>
          </cell>
          <cell r="G659">
            <v>2240</v>
          </cell>
        </row>
        <row r="660">
          <cell r="A660" t="str">
            <v>51-6052</v>
          </cell>
          <cell r="B660" t="str">
            <v>Tailors, Dressmakers, and Custom Sewers</v>
          </cell>
          <cell r="C660">
            <v>-0.43052679999999999</v>
          </cell>
          <cell r="D660">
            <v>37320</v>
          </cell>
          <cell r="E660">
            <v>13920</v>
          </cell>
          <cell r="F660">
            <v>41640</v>
          </cell>
          <cell r="G660">
            <v>16290</v>
          </cell>
        </row>
        <row r="661">
          <cell r="A661" t="str">
            <v>51-6061</v>
          </cell>
          <cell r="B661" t="str">
            <v>Textile Bleaching and Dyeing Machine Operators and Tenders</v>
          </cell>
          <cell r="C661">
            <v>-0.86093120000000001</v>
          </cell>
          <cell r="D661">
            <v>37940</v>
          </cell>
          <cell r="E661">
            <v>5310</v>
          </cell>
          <cell r="F661">
            <v>38180</v>
          </cell>
          <cell r="G661">
            <v>5820</v>
          </cell>
        </row>
        <row r="662">
          <cell r="A662" t="str">
            <v>51-6062</v>
          </cell>
          <cell r="B662" t="str">
            <v>Textile Cutting Machine Setters, Operators, and Tenders</v>
          </cell>
          <cell r="C662">
            <v>-1.0229490000000001</v>
          </cell>
          <cell r="D662">
            <v>38260</v>
          </cell>
          <cell r="E662">
            <v>9000</v>
          </cell>
          <cell r="F662">
            <v>38760</v>
          </cell>
          <cell r="G662">
            <v>8960</v>
          </cell>
        </row>
        <row r="663">
          <cell r="A663" t="str">
            <v>51-6063</v>
          </cell>
          <cell r="B663" t="str">
            <v>Textile Knitting and Weaving Machine Setters, Operators, and Tenders</v>
          </cell>
          <cell r="C663">
            <v>-1.241662</v>
          </cell>
          <cell r="D663">
            <v>37660</v>
          </cell>
          <cell r="E663">
            <v>13030</v>
          </cell>
          <cell r="F663">
            <v>39530</v>
          </cell>
          <cell r="G663">
            <v>14530</v>
          </cell>
        </row>
        <row r="664">
          <cell r="A664" t="str">
            <v>51-6064</v>
          </cell>
          <cell r="B664" t="str">
            <v>Textile Winding, Twisting, and Drawing Out Machine Setters, Operators, and Tenders</v>
          </cell>
          <cell r="C664">
            <v>-1.3929290000000001</v>
          </cell>
          <cell r="D664">
            <v>44980</v>
          </cell>
          <cell r="E664">
            <v>22020</v>
          </cell>
          <cell r="F664">
            <v>38670</v>
          </cell>
          <cell r="G664">
            <v>20600</v>
          </cell>
        </row>
        <row r="665">
          <cell r="A665" t="str">
            <v>51-6091</v>
          </cell>
          <cell r="B665" t="str">
            <v>Extruding and Forming Machine Setters, Operators, and Tenders, Synthetic and Glass Fibers</v>
          </cell>
          <cell r="C665">
            <v>-0.85969249999999997</v>
          </cell>
          <cell r="D665">
            <v>67670</v>
          </cell>
          <cell r="E665">
            <v>12850</v>
          </cell>
          <cell r="F665">
            <v>46350</v>
          </cell>
          <cell r="G665">
            <v>14900</v>
          </cell>
        </row>
        <row r="666">
          <cell r="A666" t="str">
            <v>51-6092</v>
          </cell>
          <cell r="B666" t="str">
            <v>Fabric and Apparel Patternmakers</v>
          </cell>
          <cell r="C666">
            <v>-8.3109600000000006E-2</v>
          </cell>
          <cell r="D666">
            <v>67670</v>
          </cell>
          <cell r="E666">
            <v>2950</v>
          </cell>
          <cell r="F666">
            <v>62750</v>
          </cell>
          <cell r="G666">
            <v>2860</v>
          </cell>
        </row>
        <row r="667">
          <cell r="A667" t="str">
            <v>51-6092</v>
          </cell>
          <cell r="B667" t="str">
            <v>Fabric Menders, Except Garment</v>
          </cell>
          <cell r="C667">
            <v>-1.3728389999999999</v>
          </cell>
          <cell r="D667">
            <v>50490</v>
          </cell>
          <cell r="E667">
            <v>2950</v>
          </cell>
          <cell r="F667">
            <v>62750</v>
          </cell>
          <cell r="G667">
            <v>2860</v>
          </cell>
        </row>
        <row r="668">
          <cell r="A668" t="str">
            <v>51-6093</v>
          </cell>
          <cell r="B668" t="str">
            <v>Upholsterers</v>
          </cell>
          <cell r="C668">
            <v>-1.3137350000000001</v>
          </cell>
          <cell r="D668">
            <v>46190</v>
          </cell>
          <cell r="E668">
            <v>20140</v>
          </cell>
          <cell r="F668">
            <v>46340</v>
          </cell>
          <cell r="G668">
            <v>20990</v>
          </cell>
        </row>
        <row r="669">
          <cell r="A669" t="str">
            <v>51-7011</v>
          </cell>
          <cell r="B669" t="str">
            <v>Cabinetmakers and Bench Carpenters</v>
          </cell>
          <cell r="C669">
            <v>-1.3274889999999999</v>
          </cell>
          <cell r="D669">
            <v>46020</v>
          </cell>
          <cell r="E669">
            <v>77170</v>
          </cell>
          <cell r="F669">
            <v>46680</v>
          </cell>
          <cell r="G669">
            <v>79540</v>
          </cell>
        </row>
        <row r="670">
          <cell r="A670" t="str">
            <v>51-7021</v>
          </cell>
          <cell r="B670" t="str">
            <v>Furniture Finishers</v>
          </cell>
          <cell r="C670">
            <v>-1.197727</v>
          </cell>
          <cell r="D670">
            <v>42530</v>
          </cell>
          <cell r="E670">
            <v>14480</v>
          </cell>
          <cell r="F670">
            <v>44540</v>
          </cell>
          <cell r="G670">
            <v>14230</v>
          </cell>
        </row>
        <row r="671">
          <cell r="A671" t="str">
            <v>51-7031</v>
          </cell>
          <cell r="B671" t="str">
            <v>Model Makers, Wood</v>
          </cell>
          <cell r="C671">
            <v>-0.7278869</v>
          </cell>
          <cell r="D671">
            <v>51850</v>
          </cell>
          <cell r="E671">
            <v>280</v>
          </cell>
          <cell r="F671">
            <v>56550</v>
          </cell>
          <cell r="G671">
            <v>360</v>
          </cell>
        </row>
        <row r="672">
          <cell r="A672" t="str">
            <v>51-7032</v>
          </cell>
          <cell r="B672" t="str">
            <v>Patternmakers, Wood</v>
          </cell>
          <cell r="C672">
            <v>-1.0578970000000001</v>
          </cell>
          <cell r="D672">
            <v>52520</v>
          </cell>
          <cell r="E672">
            <v>220</v>
          </cell>
          <cell r="F672">
            <v>49630</v>
          </cell>
          <cell r="G672">
            <v>180</v>
          </cell>
        </row>
        <row r="673">
          <cell r="A673" t="str">
            <v>51-7041</v>
          </cell>
          <cell r="B673" t="str">
            <v>Sawing Machine Setters, Operators, and Tenders, Wood</v>
          </cell>
          <cell r="C673">
            <v>-1.1650309999999999</v>
          </cell>
          <cell r="D673">
            <v>39950</v>
          </cell>
          <cell r="E673">
            <v>40850</v>
          </cell>
          <cell r="F673">
            <v>42770</v>
          </cell>
          <cell r="G673">
            <v>43140</v>
          </cell>
        </row>
        <row r="674">
          <cell r="A674" t="str">
            <v>51-7042</v>
          </cell>
          <cell r="B674" t="str">
            <v>Woodworking Machine Setters, Operators, and Tenders, Except Sawing</v>
          </cell>
          <cell r="C674">
            <v>-1.1303570000000001</v>
          </cell>
          <cell r="D674">
            <v>40440</v>
          </cell>
          <cell r="E674">
            <v>61420</v>
          </cell>
          <cell r="F674">
            <v>43380</v>
          </cell>
          <cell r="G674">
            <v>63350</v>
          </cell>
        </row>
        <row r="675">
          <cell r="A675" t="str">
            <v>51-8011</v>
          </cell>
          <cell r="B675" t="str">
            <v>Nuclear Power Reactor Operators</v>
          </cell>
          <cell r="C675">
            <v>0.77053020000000005</v>
          </cell>
          <cell r="D675">
            <v>122610</v>
          </cell>
          <cell r="E675">
            <v>5150</v>
          </cell>
          <cell r="F675">
            <v>122890</v>
          </cell>
          <cell r="G675">
            <v>5720</v>
          </cell>
        </row>
        <row r="676">
          <cell r="A676" t="str">
            <v>51-8012</v>
          </cell>
          <cell r="B676" t="str">
            <v>Power Distributors and Dispatchers</v>
          </cell>
          <cell r="C676">
            <v>0.50122140000000004</v>
          </cell>
          <cell r="D676">
            <v>107240</v>
          </cell>
          <cell r="E676">
            <v>8520</v>
          </cell>
          <cell r="F676">
            <v>106730</v>
          </cell>
          <cell r="G676">
            <v>9180</v>
          </cell>
        </row>
        <row r="677">
          <cell r="A677" t="str">
            <v>51-8013</v>
          </cell>
          <cell r="B677" t="str">
            <v>Power Plant Operators</v>
          </cell>
          <cell r="C677">
            <v>-0.34827789999999997</v>
          </cell>
          <cell r="D677">
            <v>99670</v>
          </cell>
          <cell r="E677">
            <v>29320</v>
          </cell>
          <cell r="F677">
            <v>102040</v>
          </cell>
          <cell r="G677">
            <v>30720</v>
          </cell>
        </row>
        <row r="678">
          <cell r="A678" t="str">
            <v>51-8021</v>
          </cell>
          <cell r="B678" t="str">
            <v>Stationary Engineers and Boiler Operators</v>
          </cell>
          <cell r="C678">
            <v>-0.50324959999999996</v>
          </cell>
          <cell r="D678">
            <v>75190</v>
          </cell>
          <cell r="E678">
            <v>28250</v>
          </cell>
          <cell r="F678">
            <v>78620</v>
          </cell>
          <cell r="G678">
            <v>30780</v>
          </cell>
        </row>
        <row r="679">
          <cell r="A679" t="str">
            <v>51-8031</v>
          </cell>
          <cell r="B679" t="str">
            <v>Water and Liquid Waste Treatment Plant and System Operators</v>
          </cell>
          <cell r="C679">
            <v>-0.44501000000000002</v>
          </cell>
          <cell r="D679">
            <v>58260</v>
          </cell>
          <cell r="E679">
            <v>128490</v>
          </cell>
          <cell r="F679">
            <v>60020</v>
          </cell>
          <cell r="G679">
            <v>126750</v>
          </cell>
        </row>
        <row r="680">
          <cell r="A680" t="str">
            <v>51-8091</v>
          </cell>
          <cell r="B680" t="str">
            <v>Chemical Plant and System Operators</v>
          </cell>
          <cell r="C680">
            <v>-0.38312819999999997</v>
          </cell>
          <cell r="D680">
            <v>73540</v>
          </cell>
          <cell r="E680">
            <v>16610</v>
          </cell>
          <cell r="F680">
            <v>78120</v>
          </cell>
          <cell r="G680">
            <v>17840</v>
          </cell>
        </row>
        <row r="681">
          <cell r="A681" t="str">
            <v>51-8092</v>
          </cell>
          <cell r="B681" t="str">
            <v>Gas Plant Operators</v>
          </cell>
          <cell r="C681">
            <v>-0.29820819999999998</v>
          </cell>
          <cell r="D681">
            <v>83400</v>
          </cell>
          <cell r="E681">
            <v>18030</v>
          </cell>
          <cell r="F681">
            <v>87820</v>
          </cell>
          <cell r="G681">
            <v>15910</v>
          </cell>
        </row>
        <row r="682">
          <cell r="A682" t="str">
            <v>51-8093</v>
          </cell>
          <cell r="B682" t="str">
            <v>Petroleum Pump System Operators, Refinery Operators, and Gaugers</v>
          </cell>
          <cell r="C682">
            <v>-0.37003599999999998</v>
          </cell>
          <cell r="D682">
            <v>97540</v>
          </cell>
          <cell r="E682">
            <v>33160</v>
          </cell>
          <cell r="F682">
            <v>96710</v>
          </cell>
          <cell r="G682">
            <v>34860</v>
          </cell>
        </row>
        <row r="683">
          <cell r="A683" t="str">
            <v>51-8099</v>
          </cell>
          <cell r="B683" t="str">
            <v>Plant and System Operators, All Other</v>
          </cell>
          <cell r="C683">
            <v>-0.67023869999999997</v>
          </cell>
          <cell r="D683">
            <v>61710</v>
          </cell>
          <cell r="E683">
            <v>14080</v>
          </cell>
          <cell r="F683">
            <v>62470</v>
          </cell>
          <cell r="G683">
            <v>15950</v>
          </cell>
        </row>
        <row r="684">
          <cell r="A684" t="str">
            <v>51-9011</v>
          </cell>
          <cell r="B684" t="str">
            <v>Chemical Equipment Operators and Tenders</v>
          </cell>
          <cell r="C684">
            <v>-0.511521</v>
          </cell>
          <cell r="D684">
            <v>57090</v>
          </cell>
          <cell r="E684">
            <v>139630</v>
          </cell>
          <cell r="F684">
            <v>58040</v>
          </cell>
          <cell r="G684">
            <v>127410</v>
          </cell>
        </row>
        <row r="685">
          <cell r="A685" t="str">
            <v>51-9012</v>
          </cell>
          <cell r="B685" t="str">
            <v>Separating, Filtering, Clarifying, Precipitating, and Still Machine Setters, Operators, and Tenders</v>
          </cell>
          <cell r="C685">
            <v>-0.93791409999999997</v>
          </cell>
          <cell r="D685">
            <v>49500</v>
          </cell>
          <cell r="E685">
            <v>60100</v>
          </cell>
          <cell r="F685">
            <v>51610</v>
          </cell>
          <cell r="G685">
            <v>54200</v>
          </cell>
        </row>
        <row r="686">
          <cell r="A686" t="str">
            <v>51-9021</v>
          </cell>
          <cell r="B686" t="str">
            <v>Crushing, Grinding, and Polishing Machine Setters, Operators, and Tenders</v>
          </cell>
          <cell r="C686">
            <v>-1.0434760000000001</v>
          </cell>
          <cell r="D686">
            <v>46890</v>
          </cell>
          <cell r="E686">
            <v>26000</v>
          </cell>
          <cell r="F686">
            <v>48540</v>
          </cell>
          <cell r="G686">
            <v>28550</v>
          </cell>
        </row>
        <row r="687">
          <cell r="A687" t="str">
            <v>51-9022</v>
          </cell>
          <cell r="B687" t="str">
            <v>Grinding and Polishing Workers, Hand</v>
          </cell>
          <cell r="C687">
            <v>-1.1465240000000001</v>
          </cell>
          <cell r="D687">
            <v>41690</v>
          </cell>
          <cell r="E687">
            <v>10510</v>
          </cell>
          <cell r="F687">
            <v>42660</v>
          </cell>
          <cell r="G687">
            <v>11850</v>
          </cell>
        </row>
        <row r="688">
          <cell r="A688" t="str">
            <v>51-9023</v>
          </cell>
          <cell r="B688" t="str">
            <v>Mixing and Blending Machine Setters, Operators, and Tenders</v>
          </cell>
          <cell r="C688">
            <v>-0.81966399999999995</v>
          </cell>
          <cell r="D688">
            <v>47680</v>
          </cell>
          <cell r="E688">
            <v>94920</v>
          </cell>
          <cell r="F688">
            <v>48990</v>
          </cell>
          <cell r="G688">
            <v>100840</v>
          </cell>
        </row>
        <row r="689">
          <cell r="A689" t="str">
            <v>51-9031</v>
          </cell>
          <cell r="B689" t="str">
            <v>Cutters and Trimmers, Hand</v>
          </cell>
          <cell r="C689">
            <v>-0.94798389999999999</v>
          </cell>
          <cell r="D689">
            <v>38800</v>
          </cell>
          <cell r="E689">
            <v>6060</v>
          </cell>
          <cell r="F689">
            <v>38020</v>
          </cell>
          <cell r="G689">
            <v>7070</v>
          </cell>
        </row>
        <row r="690">
          <cell r="A690" t="str">
            <v>51-9032</v>
          </cell>
          <cell r="B690" t="str">
            <v>Cutting and Slicing Machine Setters, Operators, and Tenders</v>
          </cell>
          <cell r="C690">
            <v>-1.0792820000000001</v>
          </cell>
          <cell r="D690">
            <v>45700</v>
          </cell>
          <cell r="E690">
            <v>44980</v>
          </cell>
          <cell r="F690">
            <v>46570</v>
          </cell>
          <cell r="G690">
            <v>47540</v>
          </cell>
        </row>
        <row r="691">
          <cell r="A691" t="str">
            <v>51-9041</v>
          </cell>
          <cell r="B691" t="str">
            <v>Extruding, Forming, Pressing, and Compacting Machine Setters, Operators, and Tenders</v>
          </cell>
          <cell r="C691">
            <v>-1.042151</v>
          </cell>
          <cell r="D691">
            <v>45130</v>
          </cell>
          <cell r="E691">
            <v>58770</v>
          </cell>
          <cell r="F691">
            <v>45760</v>
          </cell>
          <cell r="G691">
            <v>57310</v>
          </cell>
        </row>
        <row r="692">
          <cell r="A692" t="str">
            <v>51-9051</v>
          </cell>
          <cell r="B692" t="str">
            <v>Furnace, Kiln, Oven, Drier, and Kettle Operators and Tenders</v>
          </cell>
          <cell r="C692">
            <v>-0.95823460000000005</v>
          </cell>
          <cell r="D692">
            <v>47010</v>
          </cell>
          <cell r="E692">
            <v>14280</v>
          </cell>
          <cell r="F692">
            <v>48040</v>
          </cell>
          <cell r="G692">
            <v>16160</v>
          </cell>
        </row>
        <row r="693">
          <cell r="A693" t="str">
            <v>51-9061</v>
          </cell>
          <cell r="B693" t="str">
            <v>Inspectors, Testers, Sorters, Samplers, and Weighers</v>
          </cell>
          <cell r="C693">
            <v>-2.9339500000000001E-2</v>
          </cell>
          <cell r="D693">
            <v>47460</v>
          </cell>
          <cell r="E693">
            <v>597370</v>
          </cell>
          <cell r="F693">
            <v>48570</v>
          </cell>
          <cell r="G693">
            <v>591180</v>
          </cell>
        </row>
        <row r="694">
          <cell r="A694" t="str">
            <v>51-9071</v>
          </cell>
          <cell r="B694" t="str">
            <v>Jewelers and Precious Stone and Metal Workers</v>
          </cell>
          <cell r="C694">
            <v>-0.15601970000000001</v>
          </cell>
          <cell r="D694">
            <v>49140</v>
          </cell>
          <cell r="E694">
            <v>22440</v>
          </cell>
          <cell r="F694">
            <v>52540</v>
          </cell>
          <cell r="G694">
            <v>23420</v>
          </cell>
        </row>
        <row r="695">
          <cell r="A695" t="str">
            <v>51-9081</v>
          </cell>
          <cell r="B695" t="str">
            <v>Dental Laboratory Technicians</v>
          </cell>
          <cell r="C695">
            <v>1.3205999999999999E-3</v>
          </cell>
          <cell r="D695">
            <v>48310</v>
          </cell>
          <cell r="E695">
            <v>34410</v>
          </cell>
          <cell r="F695">
            <v>49610</v>
          </cell>
          <cell r="G695">
            <v>33920</v>
          </cell>
        </row>
        <row r="696">
          <cell r="A696" t="str">
            <v>51-9082</v>
          </cell>
          <cell r="B696" t="str">
            <v>Medical Appliance Technicians</v>
          </cell>
          <cell r="C696">
            <v>-0.4949538</v>
          </cell>
          <cell r="D696">
            <v>47060</v>
          </cell>
          <cell r="E696">
            <v>11280</v>
          </cell>
          <cell r="F696">
            <v>48030</v>
          </cell>
          <cell r="G696">
            <v>11490</v>
          </cell>
        </row>
        <row r="697">
          <cell r="A697" t="str">
            <v>51-9083</v>
          </cell>
          <cell r="B697" t="str">
            <v>Ophthalmic Laboratory Technicians</v>
          </cell>
          <cell r="C697">
            <v>-0.59667590000000004</v>
          </cell>
          <cell r="D697">
            <v>38420</v>
          </cell>
          <cell r="E697">
            <v>18660</v>
          </cell>
          <cell r="F697">
            <v>39460</v>
          </cell>
          <cell r="G697">
            <v>18740</v>
          </cell>
        </row>
        <row r="698">
          <cell r="A698" t="str">
            <v>51-9111</v>
          </cell>
          <cell r="B698" t="str">
            <v>Packaging and Filling Machine Operators and Tenders</v>
          </cell>
          <cell r="C698">
            <v>-0.97860800000000003</v>
          </cell>
          <cell r="D698">
            <v>40900</v>
          </cell>
          <cell r="E698">
            <v>379060</v>
          </cell>
          <cell r="F698">
            <v>43220</v>
          </cell>
          <cell r="G698">
            <v>383860</v>
          </cell>
        </row>
        <row r="699">
          <cell r="A699" t="str">
            <v>51-9123</v>
          </cell>
          <cell r="B699" t="str">
            <v>Painting, Coating, and Decorating Workers</v>
          </cell>
          <cell r="C699">
            <v>-0.9705587</v>
          </cell>
          <cell r="D699">
            <v>47590</v>
          </cell>
          <cell r="E699">
            <v>7940</v>
          </cell>
          <cell r="F699">
            <v>41600</v>
          </cell>
          <cell r="G699">
            <v>8470</v>
          </cell>
        </row>
        <row r="700">
          <cell r="A700" t="str">
            <v>51-9123</v>
          </cell>
          <cell r="B700" t="str">
            <v>Painters, Transportation Equipment</v>
          </cell>
          <cell r="C700">
            <v>-1.4475530000000001</v>
          </cell>
          <cell r="D700">
            <v>40860</v>
          </cell>
          <cell r="E700">
            <v>7940</v>
          </cell>
          <cell r="F700">
            <v>41600</v>
          </cell>
          <cell r="G700">
            <v>8470</v>
          </cell>
        </row>
        <row r="701">
          <cell r="A701" t="str">
            <v>51-9124</v>
          </cell>
          <cell r="B701" t="str">
            <v>Coating, Painting, and Spraying Machine Setters, Operators, and Tenders</v>
          </cell>
          <cell r="C701">
            <v>-1.1213310000000001</v>
          </cell>
          <cell r="D701">
            <v>40860</v>
          </cell>
          <cell r="E701">
            <v>158740</v>
          </cell>
          <cell r="F701">
            <v>48250</v>
          </cell>
          <cell r="G701">
            <v>159500</v>
          </cell>
        </row>
        <row r="702">
          <cell r="A702" t="str">
            <v>51-9141</v>
          </cell>
          <cell r="B702" t="str">
            <v>Semiconductor Processors</v>
          </cell>
          <cell r="C702">
            <v>-0.6372312</v>
          </cell>
          <cell r="D702">
            <v>51180</v>
          </cell>
          <cell r="E702">
            <v>31460</v>
          </cell>
          <cell r="F702">
            <v>51430</v>
          </cell>
          <cell r="G702">
            <v>32150</v>
          </cell>
        </row>
        <row r="703">
          <cell r="A703" t="str">
            <v>51-9151</v>
          </cell>
          <cell r="B703" t="str">
            <v>Photographic Process Workers and Processing Machine Operators</v>
          </cell>
          <cell r="C703">
            <v>-0.36158059999999997</v>
          </cell>
          <cell r="D703">
            <v>40100</v>
          </cell>
          <cell r="E703">
            <v>4800</v>
          </cell>
          <cell r="F703">
            <v>40610</v>
          </cell>
          <cell r="G703">
            <v>5550</v>
          </cell>
        </row>
        <row r="704">
          <cell r="A704" t="str">
            <v>51-9161</v>
          </cell>
          <cell r="B704" t="str">
            <v>Computer Operators</v>
          </cell>
          <cell r="C704">
            <v>0.70405189999999995</v>
          </cell>
          <cell r="D704">
            <v>47850</v>
          </cell>
          <cell r="E704">
            <v>169450</v>
          </cell>
          <cell r="F704">
            <v>50690</v>
          </cell>
          <cell r="G704">
            <v>176950</v>
          </cell>
        </row>
        <row r="705">
          <cell r="A705" t="str">
            <v>51-9191</v>
          </cell>
          <cell r="B705" t="str">
            <v>Cementing and Gluing Machine Operators and Tenders</v>
          </cell>
          <cell r="C705">
            <v>-1.311418</v>
          </cell>
          <cell r="D705">
            <v>49970</v>
          </cell>
          <cell r="E705">
            <v>11500</v>
          </cell>
          <cell r="F705">
            <v>46460</v>
          </cell>
          <cell r="G705">
            <v>12170</v>
          </cell>
        </row>
        <row r="706">
          <cell r="A706" t="str">
            <v>51-9192</v>
          </cell>
          <cell r="B706" t="str">
            <v>Cleaning, Washing, and Metal Pickling Equipment Operators and Tenders</v>
          </cell>
          <cell r="C706">
            <v>-1.141885</v>
          </cell>
          <cell r="D706">
            <v>45210</v>
          </cell>
          <cell r="E706">
            <v>14760</v>
          </cell>
          <cell r="F706">
            <v>43530</v>
          </cell>
          <cell r="G706">
            <v>13890</v>
          </cell>
        </row>
        <row r="707">
          <cell r="A707" t="str">
            <v>51-9193</v>
          </cell>
          <cell r="B707" t="str">
            <v>Cooling and Freezing Equipment Operators and Tenders</v>
          </cell>
          <cell r="C707">
            <v>-0.96049519999999999</v>
          </cell>
          <cell r="D707">
            <v>41460</v>
          </cell>
          <cell r="E707">
            <v>6900</v>
          </cell>
          <cell r="F707">
            <v>41330</v>
          </cell>
          <cell r="G707">
            <v>6590</v>
          </cell>
        </row>
        <row r="708">
          <cell r="A708" t="str">
            <v>51-9194</v>
          </cell>
          <cell r="B708" t="str">
            <v>Etchers and Engravers</v>
          </cell>
          <cell r="C708">
            <v>-0.63952260000000005</v>
          </cell>
          <cell r="D708">
            <v>40160</v>
          </cell>
          <cell r="E708">
            <v>7750</v>
          </cell>
          <cell r="F708">
            <v>43310</v>
          </cell>
          <cell r="G708">
            <v>8390</v>
          </cell>
        </row>
        <row r="709">
          <cell r="A709" t="str">
            <v>51-9195</v>
          </cell>
          <cell r="B709" t="str">
            <v>Molders, Shapers, and Casters, Except Metal and Plastic</v>
          </cell>
          <cell r="C709">
            <v>-1.183408</v>
          </cell>
          <cell r="D709">
            <v>40450</v>
          </cell>
          <cell r="E709">
            <v>33190</v>
          </cell>
          <cell r="F709">
            <v>46170</v>
          </cell>
          <cell r="G709">
            <v>34750</v>
          </cell>
        </row>
        <row r="710">
          <cell r="A710" t="str">
            <v>51-9196</v>
          </cell>
          <cell r="B710" t="str">
            <v>Paper Goods Machine Setters, Operators, and Tenders</v>
          </cell>
          <cell r="C710">
            <v>-0.8740445</v>
          </cell>
          <cell r="D710">
            <v>45690</v>
          </cell>
          <cell r="E710">
            <v>96130</v>
          </cell>
          <cell r="F710">
            <v>50270</v>
          </cell>
          <cell r="G710">
            <v>96950</v>
          </cell>
        </row>
        <row r="711">
          <cell r="A711" t="str">
            <v>51-9197</v>
          </cell>
          <cell r="B711" t="str">
            <v>Tire Builders</v>
          </cell>
          <cell r="C711">
            <v>-1.6109150000000001</v>
          </cell>
          <cell r="D711">
            <v>49390</v>
          </cell>
          <cell r="E711">
            <v>20770</v>
          </cell>
          <cell r="F711">
            <v>57390</v>
          </cell>
          <cell r="G711">
            <v>20970</v>
          </cell>
        </row>
        <row r="712">
          <cell r="A712" t="str">
            <v>51-9198</v>
          </cell>
          <cell r="B712" t="str">
            <v>Helpers--Production Workers</v>
          </cell>
          <cell r="C712">
            <v>-1.4113039999999999</v>
          </cell>
          <cell r="D712">
            <v>55580</v>
          </cell>
          <cell r="E712">
            <v>165700</v>
          </cell>
          <cell r="F712">
            <v>39070</v>
          </cell>
          <cell r="G712">
            <v>167490</v>
          </cell>
        </row>
        <row r="713">
          <cell r="A713" t="str">
            <v>51-9199</v>
          </cell>
          <cell r="B713" t="str">
            <v>Production Workers, All Other</v>
          </cell>
          <cell r="C713">
            <v>-1.290964</v>
          </cell>
          <cell r="D713">
            <v>38220</v>
          </cell>
          <cell r="E713">
            <v>251700</v>
          </cell>
          <cell r="F713">
            <v>40110</v>
          </cell>
          <cell r="G713">
            <v>277060</v>
          </cell>
        </row>
        <row r="714">
          <cell r="A714" t="str">
            <v>53-1040</v>
          </cell>
          <cell r="B714" t="str">
            <v>First-Line Supervisors/Managers of Transportation and Material-Moving Machine and Vehicle Operators</v>
          </cell>
          <cell r="C714">
            <v>0.14662449999999999</v>
          </cell>
          <cell r="D714">
            <v>63940</v>
          </cell>
          <cell r="E714">
            <v>633400</v>
          </cell>
          <cell r="F714">
            <v>62840</v>
          </cell>
          <cell r="G714">
            <v>615680</v>
          </cell>
        </row>
        <row r="715">
          <cell r="A715" t="str">
            <v>53-1041</v>
          </cell>
          <cell r="B715" t="str">
            <v>Aircraft Cargo Handling Supervisors</v>
          </cell>
          <cell r="C715">
            <v>-0.70919019999999999</v>
          </cell>
          <cell r="D715">
            <v>38820</v>
          </cell>
          <cell r="E715">
            <v>9760</v>
          </cell>
          <cell r="F715">
            <v>58170</v>
          </cell>
          <cell r="G715">
            <v>10160</v>
          </cell>
        </row>
        <row r="716">
          <cell r="A716" t="str">
            <v>53-1047</v>
          </cell>
          <cell r="B716" t="str">
            <v>First-Line Supervisors/Managers of Helpers, Laborers, and Material Movers, Hand</v>
          </cell>
          <cell r="C716">
            <v>0.1160332</v>
          </cell>
          <cell r="D716" t="e">
            <v>#N/A</v>
          </cell>
          <cell r="E716">
            <v>623640</v>
          </cell>
          <cell r="F716">
            <v>62890</v>
          </cell>
          <cell r="G716">
            <v>605510</v>
          </cell>
        </row>
        <row r="717">
          <cell r="A717" t="str">
            <v>53-2011</v>
          </cell>
          <cell r="B717" t="str">
            <v>Airline Pilots, Copilots, and Flight Engineers</v>
          </cell>
          <cell r="C717">
            <v>-0.20706260000000001</v>
          </cell>
          <cell r="D717">
            <v>61890</v>
          </cell>
          <cell r="E717">
            <v>103560</v>
          </cell>
          <cell r="F717">
            <v>232140</v>
          </cell>
          <cell r="G717">
            <v>99300</v>
          </cell>
        </row>
        <row r="718">
          <cell r="A718" t="str">
            <v>53-2012</v>
          </cell>
          <cell r="B718" t="str">
            <v>Commercial Pilots</v>
          </cell>
          <cell r="C718">
            <v>-0.18173320000000001</v>
          </cell>
          <cell r="D718">
            <v>226600</v>
          </cell>
          <cell r="E718">
            <v>47630</v>
          </cell>
          <cell r="F718">
            <v>123220</v>
          </cell>
          <cell r="G718">
            <v>51830</v>
          </cell>
        </row>
        <row r="719">
          <cell r="A719" t="str">
            <v>53-2021</v>
          </cell>
          <cell r="B719" t="str">
            <v>Air Traffic Controllers</v>
          </cell>
          <cell r="C719">
            <v>1.152798</v>
          </cell>
          <cell r="D719">
            <v>122670</v>
          </cell>
          <cell r="E719">
            <v>22510</v>
          </cell>
          <cell r="F719">
            <v>148080</v>
          </cell>
          <cell r="G719">
            <v>22400</v>
          </cell>
        </row>
        <row r="720">
          <cell r="A720" t="str">
            <v>53-2022</v>
          </cell>
          <cell r="B720" t="str">
            <v>Airfield Operations Specialists</v>
          </cell>
          <cell r="C720">
            <v>0.4845738</v>
          </cell>
          <cell r="D720">
            <v>144580</v>
          </cell>
          <cell r="E720">
            <v>15190</v>
          </cell>
          <cell r="F720">
            <v>56850</v>
          </cell>
          <cell r="G720">
            <v>16640</v>
          </cell>
        </row>
        <row r="721">
          <cell r="A721" t="str">
            <v>53-2031</v>
          </cell>
          <cell r="B721" t="str">
            <v>Flight Attendants</v>
          </cell>
          <cell r="C721">
            <v>-0.76211830000000003</v>
          </cell>
          <cell r="D721">
            <v>56750</v>
          </cell>
          <cell r="E721">
            <v>131650</v>
          </cell>
          <cell r="F721">
            <v>63580</v>
          </cell>
          <cell r="G721">
            <v>130110</v>
          </cell>
        </row>
        <row r="722">
          <cell r="A722" t="str">
            <v>53-3011</v>
          </cell>
          <cell r="B722" t="str">
            <v>Ambulance Drivers and Attendants, Except Emergency Medical Technicians</v>
          </cell>
          <cell r="C722">
            <v>-0.82987029999999995</v>
          </cell>
          <cell r="D722">
            <v>67130</v>
          </cell>
          <cell r="E722">
            <v>12630</v>
          </cell>
          <cell r="F722">
            <v>35450</v>
          </cell>
          <cell r="G722">
            <v>12080</v>
          </cell>
        </row>
        <row r="723">
          <cell r="A723" t="str">
            <v>53-3031</v>
          </cell>
          <cell r="B723" t="str">
            <v>Driver/Sales Workers</v>
          </cell>
          <cell r="C723">
            <v>-0.72930870000000003</v>
          </cell>
          <cell r="D723">
            <v>57440</v>
          </cell>
          <cell r="E723">
            <v>409180</v>
          </cell>
          <cell r="F723">
            <v>38770</v>
          </cell>
          <cell r="G723">
            <v>417420</v>
          </cell>
        </row>
        <row r="724">
          <cell r="A724" t="str">
            <v>53-3032</v>
          </cell>
          <cell r="B724" t="str">
            <v>Truck Drivers, Heavy and Tractor-Trailer</v>
          </cell>
          <cell r="C724">
            <v>-1.149057</v>
          </cell>
          <cell r="D724">
            <v>44140</v>
          </cell>
          <cell r="E724">
            <v>2062040</v>
          </cell>
          <cell r="F724">
            <v>58640</v>
          </cell>
          <cell r="G724">
            <v>2070480</v>
          </cell>
        </row>
        <row r="725">
          <cell r="A725" t="str">
            <v>53-3033</v>
          </cell>
          <cell r="B725" t="str">
            <v>Truck Drivers, Light or Delivery Services</v>
          </cell>
          <cell r="C725">
            <v>-1.120501</v>
          </cell>
          <cell r="D725">
            <v>47040</v>
          </cell>
          <cell r="E725">
            <v>983300</v>
          </cell>
          <cell r="F725">
            <v>44860</v>
          </cell>
          <cell r="G725">
            <v>994410</v>
          </cell>
        </row>
        <row r="726">
          <cell r="A726" t="str">
            <v>53-3051</v>
          </cell>
          <cell r="B726" t="str">
            <v>Bus Drivers, School</v>
          </cell>
          <cell r="C726">
            <v>-0.29770459999999999</v>
          </cell>
          <cell r="D726">
            <v>37130</v>
          </cell>
          <cell r="E726">
            <v>402930</v>
          </cell>
          <cell r="F726">
            <v>47920</v>
          </cell>
          <cell r="G726">
            <v>387920</v>
          </cell>
        </row>
        <row r="727">
          <cell r="A727" t="str">
            <v>53-3052</v>
          </cell>
          <cell r="B727" t="str">
            <v>Bus Drivers, Transit and Intercity</v>
          </cell>
          <cell r="C727">
            <v>-0.60545300000000002</v>
          </cell>
          <cell r="D727">
            <v>34330</v>
          </cell>
          <cell r="E727">
            <v>159240</v>
          </cell>
          <cell r="F727">
            <v>59050</v>
          </cell>
          <cell r="G727">
            <v>148980</v>
          </cell>
        </row>
        <row r="728">
          <cell r="A728" t="str">
            <v>53-3053</v>
          </cell>
          <cell r="B728" t="str">
            <v>Shuttle Car Operators</v>
          </cell>
          <cell r="C728">
            <v>-1.351998</v>
          </cell>
          <cell r="D728">
            <v>48350</v>
          </cell>
          <cell r="E728">
            <v>248530</v>
          </cell>
          <cell r="F728">
            <v>37290</v>
          </cell>
          <cell r="G728">
            <v>229630</v>
          </cell>
        </row>
        <row r="729">
          <cell r="A729" t="str">
            <v>53-3054</v>
          </cell>
          <cell r="B729" t="str">
            <v>Taxi Drivers and Chauffeurs</v>
          </cell>
          <cell r="C729">
            <v>-0.6322603</v>
          </cell>
          <cell r="D729">
            <v>57440</v>
          </cell>
          <cell r="E729">
            <v>41050</v>
          </cell>
          <cell r="F729">
            <v>42100</v>
          </cell>
          <cell r="G729">
            <v>17510</v>
          </cell>
        </row>
        <row r="730">
          <cell r="A730" t="str">
            <v>53-4010</v>
          </cell>
          <cell r="B730" t="str">
            <v>Locomotive Firers</v>
          </cell>
          <cell r="C730">
            <v>-0.77107099999999995</v>
          </cell>
          <cell r="D730">
            <v>36220</v>
          </cell>
          <cell r="E730">
            <v>37380</v>
          </cell>
          <cell r="F730">
            <v>79940</v>
          </cell>
          <cell r="G730">
            <v>35300</v>
          </cell>
        </row>
        <row r="731">
          <cell r="A731" t="str">
            <v>53-4011</v>
          </cell>
          <cell r="B731" t="str">
            <v>Locomotive Engineers</v>
          </cell>
          <cell r="C731">
            <v>-0.49774030000000002</v>
          </cell>
          <cell r="D731">
            <v>36670</v>
          </cell>
          <cell r="E731">
            <v>33470</v>
          </cell>
          <cell r="F731">
            <v>81410</v>
          </cell>
          <cell r="G731">
            <v>31990</v>
          </cell>
        </row>
        <row r="732">
          <cell r="A732" t="str">
            <v>53-4013</v>
          </cell>
          <cell r="B732" t="str">
            <v>Rail Yard Engineers, Dinkey Operators, and Hostlers</v>
          </cell>
          <cell r="C732">
            <v>-0.83209069999999996</v>
          </cell>
          <cell r="D732">
            <v>77400</v>
          </cell>
          <cell r="E732">
            <v>3920</v>
          </cell>
          <cell r="F732">
            <v>60600</v>
          </cell>
          <cell r="G732">
            <v>3300</v>
          </cell>
        </row>
        <row r="733">
          <cell r="A733" t="str">
            <v>53-4020</v>
          </cell>
          <cell r="B733" t="str">
            <v>Railroad Brake, Signal, and Switch Operators</v>
          </cell>
          <cell r="C733">
            <v>-1.2176469999999999</v>
          </cell>
          <cell r="D733">
            <v>77400</v>
          </cell>
          <cell r="E733">
            <v>12400</v>
          </cell>
          <cell r="F733">
            <v>68840</v>
          </cell>
          <cell r="G733">
            <v>12460</v>
          </cell>
        </row>
        <row r="734">
          <cell r="A734" t="str">
            <v>53-4031</v>
          </cell>
          <cell r="B734" t="str">
            <v>Railroad Conductors and Yardmasters</v>
          </cell>
          <cell r="C734">
            <v>-0.4662731</v>
          </cell>
          <cell r="D734">
            <v>58030</v>
          </cell>
          <cell r="E734">
            <v>46440</v>
          </cell>
          <cell r="F734">
            <v>78000</v>
          </cell>
          <cell r="G734">
            <v>42710</v>
          </cell>
        </row>
        <row r="735">
          <cell r="A735" t="str">
            <v>53-4041</v>
          </cell>
          <cell r="B735" t="str">
            <v>Subway and Streetcar Operators</v>
          </cell>
          <cell r="C735">
            <v>-0.6155429</v>
          </cell>
          <cell r="D735" t="e">
            <v>#N/A</v>
          </cell>
          <cell r="E735">
            <v>10200</v>
          </cell>
          <cell r="F735">
            <v>86380</v>
          </cell>
          <cell r="G735">
            <v>9200</v>
          </cell>
        </row>
        <row r="736">
          <cell r="A736" t="str">
            <v>53-5011</v>
          </cell>
          <cell r="B736" t="str">
            <v>Sailors and Marine Oilers</v>
          </cell>
          <cell r="C736">
            <v>-1.1500010000000001</v>
          </cell>
          <cell r="D736">
            <v>74080</v>
          </cell>
          <cell r="E736">
            <v>31670</v>
          </cell>
          <cell r="F736">
            <v>51520</v>
          </cell>
          <cell r="G736">
            <v>31360</v>
          </cell>
        </row>
        <row r="737">
          <cell r="A737" t="str">
            <v>53-5021</v>
          </cell>
          <cell r="B737" t="str">
            <v>Captains, Mates, and Pilots of Water Vessels</v>
          </cell>
          <cell r="C737">
            <v>-0.42818679999999998</v>
          </cell>
          <cell r="D737">
            <v>84830</v>
          </cell>
          <cell r="E737">
            <v>36850</v>
          </cell>
          <cell r="F737">
            <v>92460</v>
          </cell>
          <cell r="G737">
            <v>35390</v>
          </cell>
        </row>
        <row r="738">
          <cell r="A738" t="str">
            <v>53-5022</v>
          </cell>
          <cell r="B738" t="str">
            <v>Motorboat Operators</v>
          </cell>
          <cell r="C738">
            <v>-0.88711859999999998</v>
          </cell>
          <cell r="D738">
            <v>49610</v>
          </cell>
          <cell r="E738">
            <v>2480</v>
          </cell>
          <cell r="F738">
            <v>47520</v>
          </cell>
          <cell r="G738">
            <v>2380</v>
          </cell>
        </row>
        <row r="739">
          <cell r="A739" t="str">
            <v>53-5031</v>
          </cell>
          <cell r="B739" t="str">
            <v>Ship Engineers</v>
          </cell>
          <cell r="C739">
            <v>-0.52649509999999999</v>
          </cell>
          <cell r="D739">
            <v>85540</v>
          </cell>
          <cell r="E739">
            <v>8400</v>
          </cell>
          <cell r="F739">
            <v>109530</v>
          </cell>
          <cell r="G739">
            <v>8580</v>
          </cell>
        </row>
        <row r="740">
          <cell r="A740" t="str">
            <v>53-6011</v>
          </cell>
          <cell r="B740" t="str">
            <v>Bridge and Lock Tenders</v>
          </cell>
          <cell r="C740">
            <v>-0.63221590000000005</v>
          </cell>
          <cell r="D740">
            <v>51880</v>
          </cell>
          <cell r="E740">
            <v>3040</v>
          </cell>
          <cell r="F740">
            <v>57700</v>
          </cell>
          <cell r="G740">
            <v>2720</v>
          </cell>
        </row>
        <row r="741">
          <cell r="A741" t="str">
            <v>53-6021</v>
          </cell>
          <cell r="B741" t="str">
            <v>Parking Lot Attendants</v>
          </cell>
          <cell r="C741">
            <v>-0.8353891</v>
          </cell>
          <cell r="D741">
            <v>101320</v>
          </cell>
          <cell r="E741">
            <v>137880</v>
          </cell>
          <cell r="F741">
            <v>35150</v>
          </cell>
          <cell r="G741">
            <v>134650</v>
          </cell>
        </row>
        <row r="742">
          <cell r="A742" t="str">
            <v>53-6031</v>
          </cell>
          <cell r="B742" t="str">
            <v>Service Station Attendants</v>
          </cell>
          <cell r="C742">
            <v>-1.221489</v>
          </cell>
          <cell r="D742">
            <v>58490</v>
          </cell>
          <cell r="E742">
            <v>102010</v>
          </cell>
          <cell r="F742">
            <v>35670</v>
          </cell>
          <cell r="G742">
            <v>98270</v>
          </cell>
        </row>
        <row r="743">
          <cell r="A743" t="str">
            <v>53-6041</v>
          </cell>
          <cell r="B743" t="str">
            <v>Traffic Technicians</v>
          </cell>
          <cell r="C743">
            <v>0.39958719999999998</v>
          </cell>
          <cell r="D743">
            <v>34600</v>
          </cell>
          <cell r="E743">
            <v>7860</v>
          </cell>
          <cell r="F743">
            <v>59090</v>
          </cell>
          <cell r="G743">
            <v>7580</v>
          </cell>
        </row>
        <row r="744">
          <cell r="A744" t="str">
            <v>53-6051</v>
          </cell>
          <cell r="B744" t="str">
            <v>Transportation Inspectors</v>
          </cell>
          <cell r="C744">
            <v>-0.18376000000000001</v>
          </cell>
          <cell r="D744">
            <v>34850</v>
          </cell>
          <cell r="E744">
            <v>24500</v>
          </cell>
          <cell r="F744">
            <v>92100</v>
          </cell>
          <cell r="G744">
            <v>23320</v>
          </cell>
        </row>
        <row r="745">
          <cell r="A745" t="str">
            <v>53-6061</v>
          </cell>
          <cell r="B745" t="str">
            <v>Transportation Attendants, Except Flight Attendants</v>
          </cell>
          <cell r="C745">
            <v>-0.37522489999999997</v>
          </cell>
          <cell r="D745">
            <v>58480</v>
          </cell>
          <cell r="E745">
            <v>27110</v>
          </cell>
          <cell r="F745">
            <v>37720</v>
          </cell>
          <cell r="G745">
            <v>25340</v>
          </cell>
        </row>
        <row r="746">
          <cell r="A746" t="str">
            <v>53-7011</v>
          </cell>
          <cell r="B746" t="str">
            <v>Conveyor Operators and Tenders</v>
          </cell>
          <cell r="C746">
            <v>-0.75544319999999998</v>
          </cell>
          <cell r="D746">
            <v>85750</v>
          </cell>
          <cell r="E746">
            <v>22930</v>
          </cell>
          <cell r="F746">
            <v>42420</v>
          </cell>
          <cell r="G746">
            <v>26060</v>
          </cell>
        </row>
        <row r="747">
          <cell r="A747" t="str">
            <v>53-7021</v>
          </cell>
          <cell r="B747" t="str">
            <v>Crane and Tower Operators</v>
          </cell>
          <cell r="C747">
            <v>-1.030619</v>
          </cell>
          <cell r="D747">
            <v>37560</v>
          </cell>
          <cell r="E747">
            <v>42890</v>
          </cell>
          <cell r="F747">
            <v>68080</v>
          </cell>
          <cell r="G747">
            <v>42000</v>
          </cell>
        </row>
        <row r="748">
          <cell r="A748" t="str">
            <v>53-7031</v>
          </cell>
          <cell r="B748" t="str">
            <v>Dredge Operators</v>
          </cell>
          <cell r="C748">
            <v>-1.016648</v>
          </cell>
          <cell r="D748">
            <v>41230</v>
          </cell>
          <cell r="E748">
            <v>1040</v>
          </cell>
          <cell r="F748">
            <v>49640</v>
          </cell>
          <cell r="G748">
            <v>1030</v>
          </cell>
        </row>
        <row r="749">
          <cell r="A749" t="str">
            <v>53-7041</v>
          </cell>
          <cell r="B749" t="str">
            <v>Hoist and Winch Operators</v>
          </cell>
          <cell r="C749">
            <v>-0.97819970000000001</v>
          </cell>
          <cell r="D749">
            <v>52310</v>
          </cell>
          <cell r="E749">
            <v>2600</v>
          </cell>
          <cell r="F749">
            <v>56450</v>
          </cell>
          <cell r="G749">
            <v>2480</v>
          </cell>
        </row>
        <row r="750">
          <cell r="A750" t="str">
            <v>53-7051</v>
          </cell>
          <cell r="B750" t="str">
            <v>Industrial Truck and Tractor Operators</v>
          </cell>
          <cell r="C750">
            <v>-1.39869</v>
          </cell>
          <cell r="D750">
            <v>46390</v>
          </cell>
          <cell r="E750">
            <v>774420</v>
          </cell>
          <cell r="F750">
            <v>46420</v>
          </cell>
          <cell r="G750">
            <v>805770</v>
          </cell>
        </row>
        <row r="751">
          <cell r="A751" t="str">
            <v>53-7061</v>
          </cell>
          <cell r="B751" t="str">
            <v>Cleaners of Vehicles and Equipment</v>
          </cell>
          <cell r="C751">
            <v>-1.6298969999999999</v>
          </cell>
          <cell r="D751">
            <v>35270</v>
          </cell>
          <cell r="E751">
            <v>380430</v>
          </cell>
          <cell r="F751">
            <v>35830</v>
          </cell>
          <cell r="G751">
            <v>373960</v>
          </cell>
        </row>
        <row r="752">
          <cell r="A752" t="str">
            <v>53-7062</v>
          </cell>
          <cell r="B752" t="str">
            <v>Laborers and Freight, Stock, and Material Movers, Hand</v>
          </cell>
          <cell r="C752">
            <v>-1.7091829999999999</v>
          </cell>
          <cell r="D752">
            <v>38940</v>
          </cell>
          <cell r="E752">
            <v>2950280</v>
          </cell>
          <cell r="F752">
            <v>40240</v>
          </cell>
          <cell r="G752">
            <v>2982530</v>
          </cell>
        </row>
        <row r="753">
          <cell r="A753" t="str">
            <v>53-7063</v>
          </cell>
          <cell r="B753" t="str">
            <v>Machine Feeders and Offbearers</v>
          </cell>
          <cell r="C753">
            <v>-1.0374129999999999</v>
          </cell>
          <cell r="D753">
            <v>39700</v>
          </cell>
          <cell r="E753">
            <v>42330</v>
          </cell>
          <cell r="F753">
            <v>41220</v>
          </cell>
          <cell r="G753">
            <v>46690</v>
          </cell>
        </row>
        <row r="754">
          <cell r="A754" t="str">
            <v>53-7064</v>
          </cell>
          <cell r="B754" t="str">
            <v>Packers and Packagers, Hand</v>
          </cell>
          <cell r="C754">
            <v>-1.51362</v>
          </cell>
          <cell r="D754">
            <v>35580</v>
          </cell>
          <cell r="E754">
            <v>559820</v>
          </cell>
          <cell r="F754">
            <v>36280</v>
          </cell>
          <cell r="G754">
            <v>601440</v>
          </cell>
        </row>
        <row r="755">
          <cell r="A755" t="str">
            <v>53-7065</v>
          </cell>
          <cell r="B755" t="str">
            <v>Stock Clerks and Order Fillers</v>
          </cell>
          <cell r="C755">
            <v>-0.78929479999999996</v>
          </cell>
          <cell r="D755">
            <v>45650</v>
          </cell>
          <cell r="E755">
            <v>2833810</v>
          </cell>
          <cell r="F755">
            <v>37330</v>
          </cell>
          <cell r="G755">
            <v>2779530</v>
          </cell>
        </row>
        <row r="756">
          <cell r="A756" t="str">
            <v>53-7071</v>
          </cell>
          <cell r="B756" t="str">
            <v>Gas Compressor and Gas Pumping Station Operators</v>
          </cell>
          <cell r="C756">
            <v>-0.69099920000000004</v>
          </cell>
          <cell r="D756">
            <v>37090</v>
          </cell>
          <cell r="E756">
            <v>3510</v>
          </cell>
          <cell r="F756">
            <v>77320</v>
          </cell>
          <cell r="G756">
            <v>5110</v>
          </cell>
        </row>
        <row r="757">
          <cell r="A757" t="str">
            <v>53-7072</v>
          </cell>
          <cell r="B757" t="str">
            <v>Pump Operators, Except Wellhead Pumpers</v>
          </cell>
          <cell r="C757">
            <v>-0.84229270000000001</v>
          </cell>
          <cell r="D757">
            <v>71510</v>
          </cell>
          <cell r="E757">
            <v>9780</v>
          </cell>
          <cell r="F757">
            <v>61770</v>
          </cell>
          <cell r="G757">
            <v>12600</v>
          </cell>
        </row>
        <row r="758">
          <cell r="A758" t="str">
            <v>53-7073</v>
          </cell>
          <cell r="B758" t="str">
            <v>Wellhead Pumpers</v>
          </cell>
          <cell r="C758">
            <v>-1.091197</v>
          </cell>
          <cell r="D758">
            <v>60020</v>
          </cell>
          <cell r="E758">
            <v>17990</v>
          </cell>
          <cell r="F758">
            <v>69960</v>
          </cell>
          <cell r="G758">
            <v>17350</v>
          </cell>
        </row>
        <row r="759">
          <cell r="A759" t="str">
            <v>53-7081</v>
          </cell>
          <cell r="B759" t="str">
            <v>Refuse and Recyclable Material Collectors</v>
          </cell>
          <cell r="C759">
            <v>-1.2833730000000001</v>
          </cell>
          <cell r="D759">
            <v>70010</v>
          </cell>
          <cell r="E759">
            <v>147240</v>
          </cell>
          <cell r="F759">
            <v>49690</v>
          </cell>
          <cell r="G759">
            <v>139180</v>
          </cell>
        </row>
        <row r="760">
          <cell r="A760" t="str">
            <v>53-7121</v>
          </cell>
          <cell r="B760" t="str">
            <v>Tank Car, Truck, and Ship Loaders</v>
          </cell>
          <cell r="C760">
            <v>-1.3877600000000001</v>
          </cell>
          <cell r="D760">
            <v>58070</v>
          </cell>
          <cell r="E760">
            <v>10700</v>
          </cell>
          <cell r="F760">
            <v>58870</v>
          </cell>
          <cell r="G760">
            <v>10920</v>
          </cell>
        </row>
      </sheetData>
      <sheetData sheetId="6">
        <row r="1">
          <cell r="A1" t="str">
            <v>2024 National Employment Matrix code</v>
          </cell>
          <cell r="B1" t="str">
            <v>2024 National Employment Matrix title</v>
          </cell>
          <cell r="C1" t="str">
            <v>Occupation type</v>
          </cell>
          <cell r="D1" t="str">
            <v>Median annual wage, dollars, 2024</v>
          </cell>
          <cell r="E1" t="str">
            <v>Employment, 2024</v>
          </cell>
          <cell r="F1" t="str">
            <v>Employment, 2034</v>
          </cell>
          <cell r="G1" t="str">
            <v>Employment change, numeric, 2024–34</v>
          </cell>
          <cell r="H1" t="str">
            <v>Employment change, percent, 2024–34</v>
          </cell>
          <cell r="I1" t="str">
            <v>Occupational openings, 2024–34 annual average</v>
          </cell>
          <cell r="J1" t="str">
            <v>Typical education needed for entry</v>
          </cell>
          <cell r="K1" t="str">
            <v>Work experience in a related occupation</v>
          </cell>
          <cell r="L1" t="str">
            <v>Typical on-the-job training needed to attain competency in the occupation</v>
          </cell>
          <cell r="M1" t="str">
            <v>Related Occupational Outlook Handbook (OOH) content xlsx</v>
          </cell>
        </row>
        <row r="2">
          <cell r="A2" t="str">
            <v>00-0000</v>
          </cell>
          <cell r="B2" t="str">
            <v>Total, all occupations</v>
          </cell>
          <cell r="C2" t="str">
            <v>Summary</v>
          </cell>
          <cell r="D2">
            <v>49500</v>
          </cell>
          <cell r="E2">
            <v>169956.1</v>
          </cell>
          <cell r="F2">
            <v>175167.9</v>
          </cell>
          <cell r="G2">
            <v>5211.8</v>
          </cell>
          <cell r="H2">
            <v>3.1</v>
          </cell>
          <cell r="I2">
            <v>18863.3</v>
          </cell>
          <cell r="J2" t="str">
            <v>—</v>
          </cell>
          <cell r="K2" t="str">
            <v>—</v>
          </cell>
          <cell r="L2" t="str">
            <v>—</v>
          </cell>
          <cell r="M2" t="str">
            <v>—</v>
          </cell>
        </row>
        <row r="3">
          <cell r="A3" t="str">
            <v>11-0000</v>
          </cell>
          <cell r="B3" t="str">
            <v xml:space="preserve">  Management occupations</v>
          </cell>
          <cell r="C3" t="str">
            <v>Summary</v>
          </cell>
          <cell r="D3">
            <v>122090</v>
          </cell>
          <cell r="E3">
            <v>13607.6</v>
          </cell>
          <cell r="F3">
            <v>14441</v>
          </cell>
          <cell r="G3">
            <v>833.4</v>
          </cell>
          <cell r="H3">
            <v>6.1</v>
          </cell>
          <cell r="I3">
            <v>1147.9000000000001</v>
          </cell>
          <cell r="J3" t="str">
            <v>—</v>
          </cell>
          <cell r="K3" t="str">
            <v>—</v>
          </cell>
          <cell r="L3" t="str">
            <v>—</v>
          </cell>
          <cell r="M3" t="str">
            <v>—</v>
          </cell>
        </row>
        <row r="4">
          <cell r="A4" t="str">
            <v>11-1000</v>
          </cell>
          <cell r="B4" t="str">
            <v xml:space="preserve">    Top executives</v>
          </cell>
          <cell r="C4" t="str">
            <v>Summary</v>
          </cell>
          <cell r="D4">
            <v>104990</v>
          </cell>
          <cell r="E4">
            <v>4049.9</v>
          </cell>
          <cell r="F4">
            <v>4228.1000000000004</v>
          </cell>
          <cell r="G4">
            <v>178.2</v>
          </cell>
          <cell r="H4">
            <v>4.4000000000000004</v>
          </cell>
          <cell r="I4">
            <v>333.1</v>
          </cell>
          <cell r="J4" t="str">
            <v>—</v>
          </cell>
          <cell r="K4" t="str">
            <v>—</v>
          </cell>
          <cell r="L4" t="str">
            <v>—</v>
          </cell>
          <cell r="M4" t="str">
            <v>—</v>
          </cell>
        </row>
        <row r="5">
          <cell r="A5" t="str">
            <v>11-1011</v>
          </cell>
          <cell r="B5" t="str">
            <v xml:space="preserve">      Chief executives</v>
          </cell>
          <cell r="C5" t="str">
            <v>Line item</v>
          </cell>
          <cell r="D5">
            <v>206420</v>
          </cell>
          <cell r="E5">
            <v>309.39999999999998</v>
          </cell>
          <cell r="F5">
            <v>322.7</v>
          </cell>
          <cell r="G5">
            <v>13.3</v>
          </cell>
          <cell r="H5">
            <v>4.3</v>
          </cell>
          <cell r="I5">
            <v>22.2</v>
          </cell>
          <cell r="J5" t="str">
            <v>Bachelor's degree</v>
          </cell>
          <cell r="K5" t="str">
            <v>5 years or more</v>
          </cell>
          <cell r="L5" t="str">
            <v>None</v>
          </cell>
          <cell r="M5" t="str">
            <v>OOH Content</v>
          </cell>
        </row>
        <row r="6">
          <cell r="A6" t="str">
            <v>11-1021</v>
          </cell>
          <cell r="B6" t="str">
            <v xml:space="preserve">      General and operations managers</v>
          </cell>
          <cell r="C6" t="str">
            <v>Line item</v>
          </cell>
          <cell r="D6">
            <v>102950</v>
          </cell>
          <cell r="E6">
            <v>3712.9</v>
          </cell>
          <cell r="F6">
            <v>3876.8</v>
          </cell>
          <cell r="G6">
            <v>164</v>
          </cell>
          <cell r="H6">
            <v>4.4000000000000004</v>
          </cell>
          <cell r="I6">
            <v>308.7</v>
          </cell>
          <cell r="J6" t="str">
            <v>Bachelor's degree</v>
          </cell>
          <cell r="K6" t="str">
            <v>5 years or more</v>
          </cell>
          <cell r="L6" t="str">
            <v>None</v>
          </cell>
          <cell r="M6" t="str">
            <v>OOH Content</v>
          </cell>
        </row>
        <row r="7">
          <cell r="A7" t="str">
            <v>11-1031</v>
          </cell>
          <cell r="B7" t="str">
            <v xml:space="preserve">      Legislators</v>
          </cell>
          <cell r="C7" t="str">
            <v>Line item</v>
          </cell>
          <cell r="D7">
            <v>44810</v>
          </cell>
          <cell r="E7">
            <v>27.7</v>
          </cell>
          <cell r="F7">
            <v>28.6</v>
          </cell>
          <cell r="G7">
            <v>0.9</v>
          </cell>
          <cell r="H7">
            <v>3.4</v>
          </cell>
          <cell r="I7">
            <v>2.2000000000000002</v>
          </cell>
          <cell r="J7" t="str">
            <v>Bachelor's degree</v>
          </cell>
          <cell r="K7" t="str">
            <v>Less than 5 years</v>
          </cell>
          <cell r="L7" t="str">
            <v>None</v>
          </cell>
          <cell r="M7" t="str">
            <v>—</v>
          </cell>
        </row>
        <row r="8">
          <cell r="A8" t="str">
            <v>11-2000</v>
          </cell>
          <cell r="B8" t="str">
            <v xml:space="preserve">    Advertising, marketing, promotions, public relations, and sales managers</v>
          </cell>
          <cell r="C8" t="str">
            <v>Summary</v>
          </cell>
          <cell r="D8">
            <v>144530</v>
          </cell>
          <cell r="E8">
            <v>1182.4000000000001</v>
          </cell>
          <cell r="F8">
            <v>1243.5</v>
          </cell>
          <cell r="G8">
            <v>61.2</v>
          </cell>
          <cell r="H8">
            <v>5.2</v>
          </cell>
          <cell r="I8">
            <v>95.6</v>
          </cell>
          <cell r="J8" t="str">
            <v>—</v>
          </cell>
          <cell r="K8" t="str">
            <v>—</v>
          </cell>
          <cell r="L8" t="str">
            <v>—</v>
          </cell>
          <cell r="M8" t="str">
            <v>—</v>
          </cell>
        </row>
        <row r="9">
          <cell r="A9" t="str">
            <v>11-2011</v>
          </cell>
          <cell r="B9" t="str">
            <v xml:space="preserve">      Advertising and promotions managers</v>
          </cell>
          <cell r="C9" t="str">
            <v>Line item</v>
          </cell>
          <cell r="D9">
            <v>126960</v>
          </cell>
          <cell r="E9">
            <v>27</v>
          </cell>
          <cell r="F9">
            <v>26.4</v>
          </cell>
          <cell r="G9">
            <v>-0.6</v>
          </cell>
          <cell r="H9">
            <v>-2.2000000000000002</v>
          </cell>
          <cell r="I9">
            <v>2.1</v>
          </cell>
          <cell r="J9" t="str">
            <v>Bachelor's degree</v>
          </cell>
          <cell r="K9" t="str">
            <v>Less than 5 years</v>
          </cell>
          <cell r="L9" t="str">
            <v>None</v>
          </cell>
          <cell r="M9" t="str">
            <v>OOH Content</v>
          </cell>
        </row>
        <row r="10">
          <cell r="A10" t="str">
            <v>11-2020</v>
          </cell>
          <cell r="B10" t="str">
            <v xml:space="preserve">      Marketing and sales managers</v>
          </cell>
          <cell r="C10" t="str">
            <v>Summary</v>
          </cell>
          <cell r="D10">
            <v>148870</v>
          </cell>
          <cell r="E10">
            <v>1026.5</v>
          </cell>
          <cell r="F10">
            <v>1082.2</v>
          </cell>
          <cell r="G10">
            <v>55.7</v>
          </cell>
          <cell r="H10">
            <v>5.4</v>
          </cell>
          <cell r="I10">
            <v>83.3</v>
          </cell>
          <cell r="J10" t="str">
            <v>—</v>
          </cell>
          <cell r="K10" t="str">
            <v>—</v>
          </cell>
          <cell r="L10" t="str">
            <v>—</v>
          </cell>
          <cell r="M10" t="str">
            <v>—</v>
          </cell>
        </row>
        <row r="11">
          <cell r="A11" t="str">
            <v>11-2021</v>
          </cell>
          <cell r="B11" t="str">
            <v xml:space="preserve">        Marketing managers</v>
          </cell>
          <cell r="C11" t="str">
            <v>Line item</v>
          </cell>
          <cell r="D11">
            <v>161030</v>
          </cell>
          <cell r="E11">
            <v>407</v>
          </cell>
          <cell r="F11">
            <v>433.7</v>
          </cell>
          <cell r="G11">
            <v>26.7</v>
          </cell>
          <cell r="H11">
            <v>6.6</v>
          </cell>
          <cell r="I11">
            <v>34.299999999999997</v>
          </cell>
          <cell r="J11" t="str">
            <v>Bachelor's degree</v>
          </cell>
          <cell r="K11" t="str">
            <v>5 years or more</v>
          </cell>
          <cell r="L11" t="str">
            <v>None</v>
          </cell>
          <cell r="M11" t="str">
            <v>OOH Content</v>
          </cell>
        </row>
        <row r="12">
          <cell r="A12" t="str">
            <v>11-2022</v>
          </cell>
          <cell r="B12" t="str">
            <v xml:space="preserve">        Sales managers</v>
          </cell>
          <cell r="C12" t="str">
            <v>Line item</v>
          </cell>
          <cell r="D12">
            <v>138060</v>
          </cell>
          <cell r="E12">
            <v>619.5</v>
          </cell>
          <cell r="F12">
            <v>648.5</v>
          </cell>
          <cell r="G12">
            <v>29</v>
          </cell>
          <cell r="H12">
            <v>4.7</v>
          </cell>
          <cell r="I12">
            <v>49</v>
          </cell>
          <cell r="J12" t="str">
            <v>Bachelor's degree</v>
          </cell>
          <cell r="K12" t="str">
            <v>Less than 5 years</v>
          </cell>
          <cell r="L12" t="str">
            <v>None</v>
          </cell>
          <cell r="M12" t="str">
            <v>OOH Content</v>
          </cell>
        </row>
        <row r="13">
          <cell r="A13" t="str">
            <v>11-2030</v>
          </cell>
          <cell r="B13" t="str">
            <v xml:space="preserve">      Public relations and fundraising managers</v>
          </cell>
          <cell r="C13" t="str">
            <v>Summary</v>
          </cell>
          <cell r="D13">
            <v>132870</v>
          </cell>
          <cell r="E13">
            <v>128.9</v>
          </cell>
          <cell r="F13">
            <v>134.9</v>
          </cell>
          <cell r="G13">
            <v>6.1</v>
          </cell>
          <cell r="H13">
            <v>4.7</v>
          </cell>
          <cell r="I13">
            <v>10.199999999999999</v>
          </cell>
          <cell r="J13" t="str">
            <v>—</v>
          </cell>
          <cell r="K13" t="str">
            <v>—</v>
          </cell>
          <cell r="L13" t="str">
            <v>—</v>
          </cell>
          <cell r="M13" t="str">
            <v>—</v>
          </cell>
        </row>
        <row r="14">
          <cell r="A14" t="str">
            <v>11-2032</v>
          </cell>
          <cell r="B14" t="str">
            <v xml:space="preserve">        Public relations managers</v>
          </cell>
          <cell r="C14" t="str">
            <v>Line item</v>
          </cell>
          <cell r="D14">
            <v>138520</v>
          </cell>
          <cell r="E14">
            <v>83.2</v>
          </cell>
          <cell r="F14">
            <v>87.3</v>
          </cell>
          <cell r="G14">
            <v>4.0999999999999996</v>
          </cell>
          <cell r="H14">
            <v>5</v>
          </cell>
          <cell r="I14">
            <v>6.6</v>
          </cell>
          <cell r="J14" t="str">
            <v>Bachelor's degree</v>
          </cell>
          <cell r="K14" t="str">
            <v>5 years or more</v>
          </cell>
          <cell r="L14" t="str">
            <v>None</v>
          </cell>
          <cell r="M14" t="str">
            <v>OOH Content</v>
          </cell>
        </row>
        <row r="15">
          <cell r="A15" t="str">
            <v>11-2033</v>
          </cell>
          <cell r="B15" t="str">
            <v xml:space="preserve">        Fundraising managers</v>
          </cell>
          <cell r="C15" t="str">
            <v>Line item</v>
          </cell>
          <cell r="D15">
            <v>123480</v>
          </cell>
          <cell r="E15">
            <v>45.7</v>
          </cell>
          <cell r="F15">
            <v>47.6</v>
          </cell>
          <cell r="G15">
            <v>1.9</v>
          </cell>
          <cell r="H15">
            <v>4.2</v>
          </cell>
          <cell r="I15">
            <v>3.6</v>
          </cell>
          <cell r="J15" t="str">
            <v>Bachelor's degree</v>
          </cell>
          <cell r="K15" t="str">
            <v>5 years or more</v>
          </cell>
          <cell r="L15" t="str">
            <v>None</v>
          </cell>
          <cell r="M15" t="str">
            <v>OOH Content</v>
          </cell>
        </row>
        <row r="16">
          <cell r="A16" t="str">
            <v>11-3000</v>
          </cell>
          <cell r="B16" t="str">
            <v xml:space="preserve">    Operations specialties managers</v>
          </cell>
          <cell r="C16" t="str">
            <v>Summary</v>
          </cell>
          <cell r="D16">
            <v>140330</v>
          </cell>
          <cell r="E16">
            <v>2789.5</v>
          </cell>
          <cell r="F16">
            <v>3072.3</v>
          </cell>
          <cell r="G16">
            <v>282.7</v>
          </cell>
          <cell r="H16">
            <v>10.1</v>
          </cell>
          <cell r="I16">
            <v>231.7</v>
          </cell>
          <cell r="J16" t="str">
            <v>—</v>
          </cell>
          <cell r="K16" t="str">
            <v>—</v>
          </cell>
          <cell r="L16" t="str">
            <v>—</v>
          </cell>
          <cell r="M16" t="str">
            <v>—</v>
          </cell>
        </row>
        <row r="17">
          <cell r="A17" t="str">
            <v>11-3010</v>
          </cell>
          <cell r="B17" t="str">
            <v xml:space="preserve">      Administrative services and facilities managers</v>
          </cell>
          <cell r="C17" t="str">
            <v>Summary</v>
          </cell>
          <cell r="D17">
            <v>106880</v>
          </cell>
          <cell r="E17">
            <v>422.6</v>
          </cell>
          <cell r="F17">
            <v>440.9</v>
          </cell>
          <cell r="G17">
            <v>18.3</v>
          </cell>
          <cell r="H17">
            <v>4.3</v>
          </cell>
          <cell r="I17">
            <v>36.4</v>
          </cell>
          <cell r="J17" t="str">
            <v>—</v>
          </cell>
          <cell r="K17" t="str">
            <v>—</v>
          </cell>
          <cell r="L17" t="str">
            <v>—</v>
          </cell>
          <cell r="M17" t="str">
            <v>—</v>
          </cell>
        </row>
        <row r="18">
          <cell r="A18" t="str">
            <v>11-3012</v>
          </cell>
          <cell r="B18" t="str">
            <v xml:space="preserve">        Administrative services managers</v>
          </cell>
          <cell r="C18" t="str">
            <v>Line item</v>
          </cell>
          <cell r="D18">
            <v>108390</v>
          </cell>
          <cell r="E18">
            <v>271.2</v>
          </cell>
          <cell r="F18">
            <v>283.8</v>
          </cell>
          <cell r="G18">
            <v>12.6</v>
          </cell>
          <cell r="H18">
            <v>4.5999999999999996</v>
          </cell>
          <cell r="I18">
            <v>23.2</v>
          </cell>
          <cell r="J18" t="str">
            <v>Bachelor's degree</v>
          </cell>
          <cell r="K18" t="str">
            <v>Less than 5 years</v>
          </cell>
          <cell r="L18" t="str">
            <v>None</v>
          </cell>
          <cell r="M18" t="str">
            <v>OOH Content</v>
          </cell>
        </row>
        <row r="19">
          <cell r="A19" t="str">
            <v>11-3013</v>
          </cell>
          <cell r="B19" t="str">
            <v xml:space="preserve">        Facilities managers</v>
          </cell>
          <cell r="C19" t="str">
            <v>Line item</v>
          </cell>
          <cell r="D19">
            <v>104690</v>
          </cell>
          <cell r="E19">
            <v>151.4</v>
          </cell>
          <cell r="F19">
            <v>157.1</v>
          </cell>
          <cell r="G19">
            <v>5.7</v>
          </cell>
          <cell r="H19">
            <v>3.8</v>
          </cell>
          <cell r="I19">
            <v>13.2</v>
          </cell>
          <cell r="J19" t="str">
            <v>Bachelor's degree</v>
          </cell>
          <cell r="K19" t="str">
            <v>Less than 5 years</v>
          </cell>
          <cell r="L19" t="str">
            <v>None</v>
          </cell>
          <cell r="M19" t="str">
            <v>OOH Content</v>
          </cell>
        </row>
        <row r="20">
          <cell r="A20" t="str">
            <v>11-3021</v>
          </cell>
          <cell r="B20" t="str">
            <v xml:space="preserve">      Computer and information systems managers</v>
          </cell>
          <cell r="C20" t="str">
            <v>Line item</v>
          </cell>
          <cell r="D20">
            <v>171200</v>
          </cell>
          <cell r="E20">
            <v>667.1</v>
          </cell>
          <cell r="F20">
            <v>768.7</v>
          </cell>
          <cell r="G20">
            <v>101.6</v>
          </cell>
          <cell r="H20">
            <v>15.2</v>
          </cell>
          <cell r="I20">
            <v>55.6</v>
          </cell>
          <cell r="J20" t="str">
            <v>Bachelor's degree</v>
          </cell>
          <cell r="K20" t="str">
            <v>5 years or more</v>
          </cell>
          <cell r="L20" t="str">
            <v>None</v>
          </cell>
          <cell r="M20" t="str">
            <v>OOH Content</v>
          </cell>
        </row>
        <row r="21">
          <cell r="A21" t="str">
            <v>11-3031</v>
          </cell>
          <cell r="B21" t="str">
            <v xml:space="preserve">      Financial managers</v>
          </cell>
          <cell r="C21" t="str">
            <v>Line item</v>
          </cell>
          <cell r="D21">
            <v>161700</v>
          </cell>
          <cell r="E21">
            <v>868.6</v>
          </cell>
          <cell r="F21">
            <v>997.4</v>
          </cell>
          <cell r="G21">
            <v>128.80000000000001</v>
          </cell>
          <cell r="H21">
            <v>14.8</v>
          </cell>
          <cell r="I21">
            <v>74.599999999999994</v>
          </cell>
          <cell r="J21" t="str">
            <v>Bachelor's degree</v>
          </cell>
          <cell r="K21" t="str">
            <v>5 years or more</v>
          </cell>
          <cell r="L21" t="str">
            <v>None</v>
          </cell>
          <cell r="M21" t="str">
            <v>OOH Content</v>
          </cell>
        </row>
        <row r="22">
          <cell r="A22" t="str">
            <v>11-3051</v>
          </cell>
          <cell r="B22" t="str">
            <v xml:space="preserve">      Industrial production managers</v>
          </cell>
          <cell r="C22" t="str">
            <v>Line item</v>
          </cell>
          <cell r="D22">
            <v>121440</v>
          </cell>
          <cell r="E22">
            <v>241.9</v>
          </cell>
          <cell r="F22">
            <v>246.5</v>
          </cell>
          <cell r="G22">
            <v>4.5999999999999996</v>
          </cell>
          <cell r="H22">
            <v>1.9</v>
          </cell>
          <cell r="I22">
            <v>17.100000000000001</v>
          </cell>
          <cell r="J22" t="str">
            <v>Bachelor's degree</v>
          </cell>
          <cell r="K22" t="str">
            <v>5 years or more</v>
          </cell>
          <cell r="L22" t="str">
            <v>None</v>
          </cell>
          <cell r="M22" t="str">
            <v>OOH Content</v>
          </cell>
        </row>
        <row r="23">
          <cell r="A23" t="str">
            <v>11-3061</v>
          </cell>
          <cell r="B23" t="str">
            <v xml:space="preserve">      Purchasing managers</v>
          </cell>
          <cell r="C23" t="str">
            <v>Line item</v>
          </cell>
          <cell r="D23">
            <v>139510</v>
          </cell>
          <cell r="E23">
            <v>83.5</v>
          </cell>
          <cell r="F23">
            <v>86.1</v>
          </cell>
          <cell r="G23">
            <v>2.6</v>
          </cell>
          <cell r="H23">
            <v>3.1</v>
          </cell>
          <cell r="I23">
            <v>6.4</v>
          </cell>
          <cell r="J23" t="str">
            <v>Bachelor's degree</v>
          </cell>
          <cell r="K23" t="str">
            <v>5 years or more</v>
          </cell>
          <cell r="L23" t="str">
            <v>None</v>
          </cell>
          <cell r="M23" t="str">
            <v>OOH Content</v>
          </cell>
        </row>
        <row r="24">
          <cell r="A24" t="str">
            <v>11-3071</v>
          </cell>
          <cell r="B24" t="str">
            <v xml:space="preserve">      Transportation, storage, and distribution managers</v>
          </cell>
          <cell r="C24" t="str">
            <v>Line item</v>
          </cell>
          <cell r="D24">
            <v>102010</v>
          </cell>
          <cell r="E24">
            <v>216.7</v>
          </cell>
          <cell r="F24">
            <v>229.8</v>
          </cell>
          <cell r="G24">
            <v>13.1</v>
          </cell>
          <cell r="H24">
            <v>6.1</v>
          </cell>
          <cell r="I24">
            <v>18.5</v>
          </cell>
          <cell r="J24" t="str">
            <v>High school diploma or equivalent</v>
          </cell>
          <cell r="K24" t="str">
            <v>5 years or more</v>
          </cell>
          <cell r="L24" t="str">
            <v>None</v>
          </cell>
          <cell r="M24" t="str">
            <v>OOH Content</v>
          </cell>
        </row>
        <row r="25">
          <cell r="A25" t="str">
            <v>11-3111</v>
          </cell>
          <cell r="B25" t="str">
            <v xml:space="preserve">      Compensation and benefits managers</v>
          </cell>
          <cell r="C25" t="str">
            <v>Line item</v>
          </cell>
          <cell r="D25">
            <v>140360</v>
          </cell>
          <cell r="E25">
            <v>20.9</v>
          </cell>
          <cell r="F25">
            <v>20.9</v>
          </cell>
          <cell r="G25">
            <v>0</v>
          </cell>
          <cell r="H25">
            <v>0.2</v>
          </cell>
          <cell r="I25">
            <v>1.5</v>
          </cell>
          <cell r="J25" t="str">
            <v>Bachelor's degree</v>
          </cell>
          <cell r="K25" t="str">
            <v>5 years or more</v>
          </cell>
          <cell r="L25" t="str">
            <v>None</v>
          </cell>
          <cell r="M25" t="str">
            <v>OOH Content</v>
          </cell>
        </row>
        <row r="26">
          <cell r="A26" t="str">
            <v>11-3121</v>
          </cell>
          <cell r="B26" t="str">
            <v xml:space="preserve">      Human resources managers</v>
          </cell>
          <cell r="C26" t="str">
            <v>Line item</v>
          </cell>
          <cell r="D26">
            <v>140030</v>
          </cell>
          <cell r="E26">
            <v>221.9</v>
          </cell>
          <cell r="F26">
            <v>233</v>
          </cell>
          <cell r="G26">
            <v>11.1</v>
          </cell>
          <cell r="H26">
            <v>5</v>
          </cell>
          <cell r="I26">
            <v>17.899999999999999</v>
          </cell>
          <cell r="J26" t="str">
            <v>Bachelor's degree</v>
          </cell>
          <cell r="K26" t="str">
            <v>5 years or more</v>
          </cell>
          <cell r="L26" t="str">
            <v>None</v>
          </cell>
          <cell r="M26" t="str">
            <v>OOH Content</v>
          </cell>
        </row>
        <row r="27">
          <cell r="A27" t="str">
            <v>11-3131</v>
          </cell>
          <cell r="B27" t="str">
            <v xml:space="preserve">      Training and development managers</v>
          </cell>
          <cell r="C27" t="str">
            <v>Line item</v>
          </cell>
          <cell r="D27">
            <v>127090</v>
          </cell>
          <cell r="E27">
            <v>46.4</v>
          </cell>
          <cell r="F27">
            <v>49.2</v>
          </cell>
          <cell r="G27">
            <v>2.7</v>
          </cell>
          <cell r="H27">
            <v>5.8</v>
          </cell>
          <cell r="I27">
            <v>3.8</v>
          </cell>
          <cell r="J27" t="str">
            <v>Bachelor's degree</v>
          </cell>
          <cell r="K27" t="str">
            <v>5 years or more</v>
          </cell>
          <cell r="L27" t="str">
            <v>None</v>
          </cell>
          <cell r="M27" t="str">
            <v>OOH Content</v>
          </cell>
        </row>
        <row r="28">
          <cell r="A28" t="str">
            <v>11-9000</v>
          </cell>
          <cell r="B28" t="str">
            <v xml:space="preserve">    Other management occupations</v>
          </cell>
          <cell r="C28" t="str">
            <v>Summary</v>
          </cell>
          <cell r="D28">
            <v>104030</v>
          </cell>
          <cell r="E28">
            <v>5585.8</v>
          </cell>
          <cell r="F28">
            <v>5897.1</v>
          </cell>
          <cell r="G28">
            <v>311.3</v>
          </cell>
          <cell r="H28">
            <v>5.6</v>
          </cell>
          <cell r="I28">
            <v>487.4</v>
          </cell>
          <cell r="J28" t="str">
            <v>—</v>
          </cell>
          <cell r="K28" t="str">
            <v>—</v>
          </cell>
          <cell r="L28" t="str">
            <v>—</v>
          </cell>
          <cell r="M28" t="str">
            <v>—</v>
          </cell>
        </row>
        <row r="29">
          <cell r="A29" t="str">
            <v>11-9013</v>
          </cell>
          <cell r="B29" t="str">
            <v xml:space="preserve">      Farmers, ranchers, and other agricultural managers</v>
          </cell>
          <cell r="C29" t="str">
            <v>Line item</v>
          </cell>
          <cell r="D29">
            <v>87980</v>
          </cell>
          <cell r="E29">
            <v>836.1</v>
          </cell>
          <cell r="F29">
            <v>825</v>
          </cell>
          <cell r="G29">
            <v>-11.1</v>
          </cell>
          <cell r="H29">
            <v>-1.3</v>
          </cell>
          <cell r="I29">
            <v>85.5</v>
          </cell>
          <cell r="J29" t="str">
            <v>High school diploma or equivalent</v>
          </cell>
          <cell r="K29" t="str">
            <v>5 years or more</v>
          </cell>
          <cell r="L29" t="str">
            <v>None</v>
          </cell>
          <cell r="M29" t="str">
            <v>OOH Content</v>
          </cell>
        </row>
        <row r="30">
          <cell r="A30" t="str">
            <v>11-9021</v>
          </cell>
          <cell r="B30" t="str">
            <v xml:space="preserve">      Construction managers</v>
          </cell>
          <cell r="C30" t="str">
            <v>Line item</v>
          </cell>
          <cell r="D30">
            <v>106980</v>
          </cell>
          <cell r="E30">
            <v>550.29999999999995</v>
          </cell>
          <cell r="F30">
            <v>598.4</v>
          </cell>
          <cell r="G30">
            <v>48.1</v>
          </cell>
          <cell r="H30">
            <v>8.6999999999999993</v>
          </cell>
          <cell r="I30">
            <v>46.8</v>
          </cell>
          <cell r="J30" t="str">
            <v>Bachelor's degree</v>
          </cell>
          <cell r="K30" t="str">
            <v>None</v>
          </cell>
          <cell r="L30" t="str">
            <v>Moderate-term on-the-job training</v>
          </cell>
          <cell r="M30" t="str">
            <v>OOH Content</v>
          </cell>
        </row>
        <row r="31">
          <cell r="A31" t="str">
            <v>11-9030</v>
          </cell>
          <cell r="B31" t="str">
            <v xml:space="preserve">      Education and childcare administrators</v>
          </cell>
          <cell r="C31" t="str">
            <v>Summary</v>
          </cell>
          <cell r="D31">
            <v>100650</v>
          </cell>
          <cell r="E31">
            <v>710.2</v>
          </cell>
          <cell r="F31">
            <v>708.2</v>
          </cell>
          <cell r="G31">
            <v>-2</v>
          </cell>
          <cell r="H31">
            <v>-0.3</v>
          </cell>
          <cell r="I31">
            <v>45.6</v>
          </cell>
          <cell r="J31" t="str">
            <v>—</v>
          </cell>
          <cell r="K31" t="str">
            <v>—</v>
          </cell>
          <cell r="L31" t="str">
            <v>—</v>
          </cell>
          <cell r="M31" t="str">
            <v>—</v>
          </cell>
        </row>
        <row r="32">
          <cell r="A32" t="str">
            <v>11-9031</v>
          </cell>
          <cell r="B32" t="str">
            <v xml:space="preserve">        Education and childcare administrators, preschool and daycare</v>
          </cell>
          <cell r="C32" t="str">
            <v>Line item</v>
          </cell>
          <cell r="D32">
            <v>56270</v>
          </cell>
          <cell r="E32">
            <v>90.2</v>
          </cell>
          <cell r="F32">
            <v>87.9</v>
          </cell>
          <cell r="G32">
            <v>-2.2999999999999998</v>
          </cell>
          <cell r="H32">
            <v>-2.5</v>
          </cell>
          <cell r="I32">
            <v>5.5</v>
          </cell>
          <cell r="J32" t="str">
            <v>Bachelor's degree</v>
          </cell>
          <cell r="K32" t="str">
            <v>Less than 5 years</v>
          </cell>
          <cell r="L32" t="str">
            <v>None</v>
          </cell>
          <cell r="M32" t="str">
            <v>OOH Content</v>
          </cell>
        </row>
        <row r="33">
          <cell r="A33" t="str">
            <v>11-9032</v>
          </cell>
          <cell r="B33" t="str">
            <v xml:space="preserve">        Education administrators, kindergarten through secondary</v>
          </cell>
          <cell r="C33" t="str">
            <v>Line item</v>
          </cell>
          <cell r="D33">
            <v>104070</v>
          </cell>
          <cell r="E33">
            <v>333.3</v>
          </cell>
          <cell r="F33">
            <v>328.1</v>
          </cell>
          <cell r="G33">
            <v>-5.0999999999999996</v>
          </cell>
          <cell r="H33">
            <v>-1.5</v>
          </cell>
          <cell r="I33">
            <v>20.8</v>
          </cell>
          <cell r="J33" t="str">
            <v>Master's degree</v>
          </cell>
          <cell r="K33" t="str">
            <v>5 years or more</v>
          </cell>
          <cell r="L33" t="str">
            <v>None</v>
          </cell>
          <cell r="M33" t="str">
            <v>OOH Content</v>
          </cell>
        </row>
        <row r="34">
          <cell r="A34" t="str">
            <v>11-9033</v>
          </cell>
          <cell r="B34" t="str">
            <v xml:space="preserve">        Education administrators, postsecondary</v>
          </cell>
          <cell r="C34" t="str">
            <v>Line item</v>
          </cell>
          <cell r="D34">
            <v>103960</v>
          </cell>
          <cell r="E34">
            <v>226.6</v>
          </cell>
          <cell r="F34">
            <v>230.5</v>
          </cell>
          <cell r="G34">
            <v>4</v>
          </cell>
          <cell r="H34">
            <v>1.7</v>
          </cell>
          <cell r="I34">
            <v>15.1</v>
          </cell>
          <cell r="J34" t="str">
            <v>Master's degree</v>
          </cell>
          <cell r="K34" t="str">
            <v>Less than 5 years</v>
          </cell>
          <cell r="L34" t="str">
            <v>None</v>
          </cell>
          <cell r="M34" t="str">
            <v>OOH Content</v>
          </cell>
        </row>
        <row r="35">
          <cell r="A35" t="str">
            <v>11-9039</v>
          </cell>
          <cell r="B35" t="str">
            <v xml:space="preserve">        Education administrators, all other</v>
          </cell>
          <cell r="C35" t="str">
            <v>Line item</v>
          </cell>
          <cell r="D35">
            <v>89040</v>
          </cell>
          <cell r="E35">
            <v>60.2</v>
          </cell>
          <cell r="F35">
            <v>61.7</v>
          </cell>
          <cell r="G35">
            <v>1.5</v>
          </cell>
          <cell r="H35">
            <v>2.5</v>
          </cell>
          <cell r="I35">
            <v>4.0999999999999996</v>
          </cell>
          <cell r="J35" t="str">
            <v>Bachelor's degree</v>
          </cell>
          <cell r="K35" t="str">
            <v>Less than 5 years</v>
          </cell>
          <cell r="L35" t="str">
            <v>None</v>
          </cell>
          <cell r="M35" t="str">
            <v>—</v>
          </cell>
        </row>
        <row r="36">
          <cell r="A36" t="str">
            <v>11-9041</v>
          </cell>
          <cell r="B36" t="str">
            <v xml:space="preserve">      Architectural and engineering managers</v>
          </cell>
          <cell r="C36" t="str">
            <v>Line item</v>
          </cell>
          <cell r="D36">
            <v>167740</v>
          </cell>
          <cell r="E36">
            <v>212.5</v>
          </cell>
          <cell r="F36">
            <v>220.5</v>
          </cell>
          <cell r="G36">
            <v>8</v>
          </cell>
          <cell r="H36">
            <v>3.8</v>
          </cell>
          <cell r="I36">
            <v>14.5</v>
          </cell>
          <cell r="J36" t="str">
            <v>Bachelor's degree</v>
          </cell>
          <cell r="K36" t="str">
            <v>5 years or more</v>
          </cell>
          <cell r="L36" t="str">
            <v>None</v>
          </cell>
          <cell r="M36" t="str">
            <v>OOH Content</v>
          </cell>
        </row>
        <row r="37">
          <cell r="A37" t="str">
            <v>11-9051</v>
          </cell>
          <cell r="B37" t="str">
            <v xml:space="preserve">      Food service managers</v>
          </cell>
          <cell r="C37" t="str">
            <v>Line item</v>
          </cell>
          <cell r="D37">
            <v>65310</v>
          </cell>
          <cell r="E37">
            <v>352.8</v>
          </cell>
          <cell r="F37">
            <v>375.3</v>
          </cell>
          <cell r="G37">
            <v>22.6</v>
          </cell>
          <cell r="H37">
            <v>6.4</v>
          </cell>
          <cell r="I37">
            <v>42</v>
          </cell>
          <cell r="J37" t="str">
            <v>High school diploma or equivalent</v>
          </cell>
          <cell r="K37" t="str">
            <v>Less than 5 years</v>
          </cell>
          <cell r="L37" t="str">
            <v>Short-term on-the-job training</v>
          </cell>
          <cell r="M37" t="str">
            <v>OOH Content</v>
          </cell>
        </row>
        <row r="38">
          <cell r="A38" t="str">
            <v>11-9070</v>
          </cell>
          <cell r="B38" t="str">
            <v xml:space="preserve">      Entertainment and recreation managers</v>
          </cell>
          <cell r="C38" t="str">
            <v>Summary</v>
          </cell>
          <cell r="D38">
            <v>77650</v>
          </cell>
          <cell r="E38">
            <v>48.3</v>
          </cell>
          <cell r="F38">
            <v>51.7</v>
          </cell>
          <cell r="G38">
            <v>3.4</v>
          </cell>
          <cell r="H38">
            <v>7</v>
          </cell>
          <cell r="I38">
            <v>6.1</v>
          </cell>
          <cell r="J38" t="str">
            <v>—</v>
          </cell>
          <cell r="K38" t="str">
            <v>—</v>
          </cell>
          <cell r="L38" t="str">
            <v>—</v>
          </cell>
          <cell r="M38" t="str">
            <v>—</v>
          </cell>
        </row>
        <row r="39">
          <cell r="A39" t="str">
            <v>11-9071</v>
          </cell>
          <cell r="B39" t="str">
            <v xml:space="preserve">        Gambling managers</v>
          </cell>
          <cell r="C39" t="str">
            <v>Line item</v>
          </cell>
          <cell r="D39">
            <v>85580</v>
          </cell>
          <cell r="E39">
            <v>5.0999999999999996</v>
          </cell>
          <cell r="F39">
            <v>5.2</v>
          </cell>
          <cell r="G39">
            <v>0.1</v>
          </cell>
          <cell r="H39">
            <v>1.2</v>
          </cell>
          <cell r="I39">
            <v>0.6</v>
          </cell>
          <cell r="J39" t="str">
            <v>High school diploma or equivalent</v>
          </cell>
          <cell r="K39" t="str">
            <v>Less than 5 years</v>
          </cell>
          <cell r="L39" t="str">
            <v>None</v>
          </cell>
          <cell r="M39" t="str">
            <v>OOH Content</v>
          </cell>
        </row>
        <row r="40">
          <cell r="A40" t="str">
            <v>11-9072</v>
          </cell>
          <cell r="B40" t="str">
            <v xml:space="preserve">        Entertainment and recreation managers, except gambling</v>
          </cell>
          <cell r="C40" t="str">
            <v>Line item</v>
          </cell>
          <cell r="D40">
            <v>77180</v>
          </cell>
          <cell r="E40">
            <v>43.2</v>
          </cell>
          <cell r="F40">
            <v>46.5</v>
          </cell>
          <cell r="G40">
            <v>3.3</v>
          </cell>
          <cell r="H40">
            <v>7.7</v>
          </cell>
          <cell r="I40">
            <v>5.5</v>
          </cell>
          <cell r="J40" t="str">
            <v>Bachelor's degree</v>
          </cell>
          <cell r="K40" t="str">
            <v>Less than 5 years</v>
          </cell>
          <cell r="L40" t="str">
            <v>None</v>
          </cell>
          <cell r="M40" t="str">
            <v>OOH Content</v>
          </cell>
        </row>
        <row r="41">
          <cell r="A41" t="str">
            <v>11-9081</v>
          </cell>
          <cell r="B41" t="str">
            <v xml:space="preserve">      Lodging managers</v>
          </cell>
          <cell r="C41" t="str">
            <v>Line item</v>
          </cell>
          <cell r="D41">
            <v>68130</v>
          </cell>
          <cell r="E41">
            <v>52</v>
          </cell>
          <cell r="F41">
            <v>53.8</v>
          </cell>
          <cell r="G41">
            <v>1.8</v>
          </cell>
          <cell r="H41">
            <v>3.4</v>
          </cell>
          <cell r="I41">
            <v>5.4</v>
          </cell>
          <cell r="J41" t="str">
            <v>High school diploma or equivalent</v>
          </cell>
          <cell r="K41" t="str">
            <v>Less than 5 years</v>
          </cell>
          <cell r="L41" t="str">
            <v>None</v>
          </cell>
          <cell r="M41" t="str">
            <v>OOH Content</v>
          </cell>
        </row>
        <row r="42">
          <cell r="A42" t="str">
            <v>11-9111</v>
          </cell>
          <cell r="B42" t="str">
            <v xml:space="preserve">      Medical and health services managers</v>
          </cell>
          <cell r="C42" t="str">
            <v>Line item</v>
          </cell>
          <cell r="D42">
            <v>117960</v>
          </cell>
          <cell r="E42">
            <v>616.20000000000005</v>
          </cell>
          <cell r="F42">
            <v>759.1</v>
          </cell>
          <cell r="G42">
            <v>142.9</v>
          </cell>
          <cell r="H42">
            <v>23.2</v>
          </cell>
          <cell r="I42">
            <v>62.1</v>
          </cell>
          <cell r="J42" t="str">
            <v>Bachelor's degree</v>
          </cell>
          <cell r="K42" t="str">
            <v>Less than 5 years</v>
          </cell>
          <cell r="L42" t="str">
            <v>None</v>
          </cell>
          <cell r="M42" t="str">
            <v>OOH Content</v>
          </cell>
        </row>
        <row r="43">
          <cell r="A43" t="str">
            <v>11-9121</v>
          </cell>
          <cell r="B43" t="str">
            <v xml:space="preserve">      Natural sciences managers</v>
          </cell>
          <cell r="C43" t="str">
            <v>Line item</v>
          </cell>
          <cell r="D43">
            <v>161180</v>
          </cell>
          <cell r="E43">
            <v>104.3</v>
          </cell>
          <cell r="F43">
            <v>108.2</v>
          </cell>
          <cell r="G43">
            <v>3.9</v>
          </cell>
          <cell r="H43">
            <v>3.7</v>
          </cell>
          <cell r="I43">
            <v>8.5</v>
          </cell>
          <cell r="J43" t="str">
            <v>Bachelor's degree</v>
          </cell>
          <cell r="K43" t="str">
            <v>5 years or more</v>
          </cell>
          <cell r="L43" t="str">
            <v>None</v>
          </cell>
          <cell r="M43" t="str">
            <v>OOH Content</v>
          </cell>
        </row>
        <row r="44">
          <cell r="A44" t="str">
            <v>11-9131</v>
          </cell>
          <cell r="B44" t="str">
            <v xml:space="preserve">      Postmasters and mail superintendents</v>
          </cell>
          <cell r="C44" t="str">
            <v>Line item</v>
          </cell>
          <cell r="D44">
            <v>92730</v>
          </cell>
          <cell r="E44">
            <v>13.1</v>
          </cell>
          <cell r="F44">
            <v>12.7</v>
          </cell>
          <cell r="G44">
            <v>-0.5</v>
          </cell>
          <cell r="H44">
            <v>-3.5</v>
          </cell>
          <cell r="I44">
            <v>0.9</v>
          </cell>
          <cell r="J44" t="str">
            <v>High school diploma or equivalent</v>
          </cell>
          <cell r="K44" t="str">
            <v>Less than 5 years</v>
          </cell>
          <cell r="L44" t="str">
            <v>Moderate-term on-the-job training</v>
          </cell>
          <cell r="M44" t="str">
            <v>—</v>
          </cell>
        </row>
        <row r="45">
          <cell r="A45" t="str">
            <v>11-9141</v>
          </cell>
          <cell r="B45" t="str">
            <v xml:space="preserve">      Property, real estate, and community association managers</v>
          </cell>
          <cell r="C45" t="str">
            <v>Line item</v>
          </cell>
          <cell r="D45">
            <v>66700</v>
          </cell>
          <cell r="E45">
            <v>466.1</v>
          </cell>
          <cell r="F45">
            <v>483.1</v>
          </cell>
          <cell r="G45">
            <v>17</v>
          </cell>
          <cell r="H45">
            <v>3.6</v>
          </cell>
          <cell r="I45">
            <v>39</v>
          </cell>
          <cell r="J45" t="str">
            <v>High school diploma or equivalent</v>
          </cell>
          <cell r="K45" t="str">
            <v>Less than 5 years</v>
          </cell>
          <cell r="L45" t="str">
            <v>Short-term on-the-job training</v>
          </cell>
          <cell r="M45" t="str">
            <v>OOH Content</v>
          </cell>
        </row>
        <row r="46">
          <cell r="A46" t="str">
            <v>11-9151</v>
          </cell>
          <cell r="B46" t="str">
            <v xml:space="preserve">      Social and community service managers</v>
          </cell>
          <cell r="C46" t="str">
            <v>Line item</v>
          </cell>
          <cell r="D46">
            <v>78240</v>
          </cell>
          <cell r="E46">
            <v>219.8</v>
          </cell>
          <cell r="F46">
            <v>233.9</v>
          </cell>
          <cell r="G46">
            <v>14.1</v>
          </cell>
          <cell r="H46">
            <v>6.4</v>
          </cell>
          <cell r="I46">
            <v>18.600000000000001</v>
          </cell>
          <cell r="J46" t="str">
            <v>Bachelor's degree</v>
          </cell>
          <cell r="K46" t="str">
            <v>Less than 5 years</v>
          </cell>
          <cell r="L46" t="str">
            <v>None</v>
          </cell>
          <cell r="M46" t="str">
            <v>OOH Content</v>
          </cell>
        </row>
        <row r="47">
          <cell r="A47" t="str">
            <v>11-9161</v>
          </cell>
          <cell r="B47" t="str">
            <v xml:space="preserve">      Emergency management directors</v>
          </cell>
          <cell r="C47" t="str">
            <v>Line item</v>
          </cell>
          <cell r="D47">
            <v>86130</v>
          </cell>
          <cell r="E47">
            <v>13.2</v>
          </cell>
          <cell r="F47">
            <v>13.6</v>
          </cell>
          <cell r="G47">
            <v>0.4</v>
          </cell>
          <cell r="H47">
            <v>3</v>
          </cell>
          <cell r="I47">
            <v>1</v>
          </cell>
          <cell r="J47" t="str">
            <v>Bachelor's degree</v>
          </cell>
          <cell r="K47" t="str">
            <v>5 years or more</v>
          </cell>
          <cell r="L47" t="str">
            <v>None</v>
          </cell>
          <cell r="M47" t="str">
            <v>OOH Content</v>
          </cell>
        </row>
        <row r="48">
          <cell r="A48" t="str">
            <v>11-9170</v>
          </cell>
          <cell r="B48" t="str">
            <v xml:space="preserve">      Personal service managers</v>
          </cell>
          <cell r="C48" t="str">
            <v>Summary</v>
          </cell>
          <cell r="D48">
            <v>70560</v>
          </cell>
          <cell r="E48">
            <v>57.1</v>
          </cell>
          <cell r="F48">
            <v>60.1</v>
          </cell>
          <cell r="G48">
            <v>3</v>
          </cell>
          <cell r="H48">
            <v>5.2</v>
          </cell>
          <cell r="I48">
            <v>4.5999999999999996</v>
          </cell>
          <cell r="J48" t="str">
            <v>—</v>
          </cell>
          <cell r="K48" t="str">
            <v>—</v>
          </cell>
          <cell r="L48" t="str">
            <v>—</v>
          </cell>
          <cell r="M48" t="str">
            <v>—</v>
          </cell>
        </row>
        <row r="49">
          <cell r="A49" t="str">
            <v>11-9171</v>
          </cell>
          <cell r="B49" t="str">
            <v xml:space="preserve">        Funeral home managers</v>
          </cell>
          <cell r="C49" t="str">
            <v>Line item</v>
          </cell>
          <cell r="D49">
            <v>76830</v>
          </cell>
          <cell r="E49">
            <v>32.1</v>
          </cell>
          <cell r="F49">
            <v>33.4</v>
          </cell>
          <cell r="G49">
            <v>1.3</v>
          </cell>
          <cell r="H49">
            <v>4.0999999999999996</v>
          </cell>
          <cell r="I49">
            <v>2.6</v>
          </cell>
          <cell r="J49" t="str">
            <v>Associate's degree</v>
          </cell>
          <cell r="K49" t="str">
            <v>Less than 5 years</v>
          </cell>
          <cell r="L49" t="str">
            <v>None</v>
          </cell>
          <cell r="M49" t="str">
            <v>OOH Content</v>
          </cell>
        </row>
        <row r="50">
          <cell r="A50" t="str">
            <v>11-9179</v>
          </cell>
          <cell r="B50" t="str">
            <v xml:space="preserve">        Personal service managers, all other</v>
          </cell>
          <cell r="C50" t="str">
            <v>Line item</v>
          </cell>
          <cell r="D50">
            <v>61340</v>
          </cell>
          <cell r="E50">
            <v>25.1</v>
          </cell>
          <cell r="F50">
            <v>26.7</v>
          </cell>
          <cell r="G50">
            <v>1.6</v>
          </cell>
          <cell r="H50">
            <v>6.5</v>
          </cell>
          <cell r="I50">
            <v>2.1</v>
          </cell>
          <cell r="J50" t="str">
            <v>High school diploma or equivalent</v>
          </cell>
          <cell r="K50" t="str">
            <v>Less than 5 years</v>
          </cell>
          <cell r="L50" t="str">
            <v>None</v>
          </cell>
          <cell r="M50" t="str">
            <v>—</v>
          </cell>
        </row>
        <row r="51">
          <cell r="A51" t="str">
            <v>11-9199</v>
          </cell>
          <cell r="B51" t="str">
            <v xml:space="preserve">      Managers, all other</v>
          </cell>
          <cell r="C51" t="str">
            <v>Line item</v>
          </cell>
          <cell r="D51">
            <v>136550</v>
          </cell>
          <cell r="E51">
            <v>1333.7</v>
          </cell>
          <cell r="F51">
            <v>1393.5</v>
          </cell>
          <cell r="G51">
            <v>59.8</v>
          </cell>
          <cell r="H51">
            <v>4.5</v>
          </cell>
          <cell r="I51">
            <v>106.7</v>
          </cell>
          <cell r="J51" t="str">
            <v>Bachelor's degree</v>
          </cell>
          <cell r="K51" t="str">
            <v>Less than 5 years</v>
          </cell>
          <cell r="L51" t="str">
            <v>None</v>
          </cell>
          <cell r="M51" t="str">
            <v>—</v>
          </cell>
        </row>
        <row r="52">
          <cell r="A52" t="str">
            <v>13-0000</v>
          </cell>
          <cell r="B52" t="str">
            <v xml:space="preserve">  Business and financial operations occupations</v>
          </cell>
          <cell r="C52" t="str">
            <v>Summary</v>
          </cell>
          <cell r="D52">
            <v>80920</v>
          </cell>
          <cell r="E52">
            <v>11262</v>
          </cell>
          <cell r="F52">
            <v>11848.9</v>
          </cell>
          <cell r="G52">
            <v>586.9</v>
          </cell>
          <cell r="H52">
            <v>5.2</v>
          </cell>
          <cell r="I52">
            <v>942.5</v>
          </cell>
          <cell r="J52" t="str">
            <v>—</v>
          </cell>
          <cell r="K52" t="str">
            <v>—</v>
          </cell>
          <cell r="L52" t="str">
            <v>—</v>
          </cell>
          <cell r="M52" t="str">
            <v>—</v>
          </cell>
        </row>
        <row r="53">
          <cell r="A53" t="str">
            <v>13-1000</v>
          </cell>
          <cell r="B53" t="str">
            <v xml:space="preserve">    Business operations specialists</v>
          </cell>
          <cell r="C53" t="str">
            <v>Summary</v>
          </cell>
          <cell r="D53">
            <v>80410</v>
          </cell>
          <cell r="E53">
            <v>7921.1</v>
          </cell>
          <cell r="F53">
            <v>8356.2999999999993</v>
          </cell>
          <cell r="G53">
            <v>435.2</v>
          </cell>
          <cell r="H53">
            <v>5.5</v>
          </cell>
          <cell r="I53">
            <v>689.9</v>
          </cell>
          <cell r="J53" t="str">
            <v>—</v>
          </cell>
          <cell r="K53" t="str">
            <v>—</v>
          </cell>
          <cell r="L53" t="str">
            <v>—</v>
          </cell>
          <cell r="M53" t="str">
            <v>—</v>
          </cell>
        </row>
        <row r="54">
          <cell r="A54" t="str">
            <v>13-1011</v>
          </cell>
          <cell r="B54" t="str">
            <v xml:space="preserve">      Agents and business managers of artists, performers, and athletes</v>
          </cell>
          <cell r="C54" t="str">
            <v>Line item</v>
          </cell>
          <cell r="D54">
            <v>96310</v>
          </cell>
          <cell r="E54">
            <v>21.4</v>
          </cell>
          <cell r="F54">
            <v>23.2</v>
          </cell>
          <cell r="G54">
            <v>1.9</v>
          </cell>
          <cell r="H54">
            <v>8.6999999999999993</v>
          </cell>
          <cell r="I54">
            <v>2.2000000000000002</v>
          </cell>
          <cell r="J54" t="str">
            <v>Bachelor's degree</v>
          </cell>
          <cell r="K54" t="str">
            <v>Less than 5 years</v>
          </cell>
          <cell r="L54" t="str">
            <v>None</v>
          </cell>
          <cell r="M54" t="str">
            <v>—</v>
          </cell>
        </row>
        <row r="55">
          <cell r="A55" t="str">
            <v>13-1020</v>
          </cell>
          <cell r="B55" t="str">
            <v xml:space="preserve">      Buyers and purchasing agents</v>
          </cell>
          <cell r="C55" t="str">
            <v>Line item</v>
          </cell>
          <cell r="D55">
            <v>75650</v>
          </cell>
          <cell r="E55">
            <v>522.20000000000005</v>
          </cell>
          <cell r="F55">
            <v>552.29999999999995</v>
          </cell>
          <cell r="G55">
            <v>30.1</v>
          </cell>
          <cell r="H55">
            <v>5.8</v>
          </cell>
          <cell r="I55">
            <v>52.2</v>
          </cell>
          <cell r="J55" t="str">
            <v>Bachelor's degree</v>
          </cell>
          <cell r="K55" t="str">
            <v>None</v>
          </cell>
          <cell r="L55" t="str">
            <v>Moderate-term on-the-job training</v>
          </cell>
          <cell r="M55" t="str">
            <v>OOH Content</v>
          </cell>
        </row>
        <row r="56">
          <cell r="A56" t="str">
            <v>13-1030</v>
          </cell>
          <cell r="B56" t="str">
            <v xml:space="preserve">      Claims adjusters, appraisers, examiners, and investigators</v>
          </cell>
          <cell r="C56" t="str">
            <v>Summary</v>
          </cell>
          <cell r="D56">
            <v>76790</v>
          </cell>
          <cell r="E56">
            <v>365.3</v>
          </cell>
          <cell r="F56">
            <v>346.3</v>
          </cell>
          <cell r="G56">
            <v>-18.899999999999999</v>
          </cell>
          <cell r="H56">
            <v>-5.2</v>
          </cell>
          <cell r="I56">
            <v>21.6</v>
          </cell>
          <cell r="J56" t="str">
            <v>—</v>
          </cell>
          <cell r="K56" t="str">
            <v>—</v>
          </cell>
          <cell r="L56" t="str">
            <v>—</v>
          </cell>
          <cell r="M56" t="str">
            <v>—</v>
          </cell>
        </row>
        <row r="57">
          <cell r="A57" t="str">
            <v>13-1031</v>
          </cell>
          <cell r="B57" t="str">
            <v xml:space="preserve">        Claims adjusters, examiners, and investigators</v>
          </cell>
          <cell r="C57" t="str">
            <v>Line item</v>
          </cell>
          <cell r="D57">
            <v>76790</v>
          </cell>
          <cell r="E57">
            <v>356.1</v>
          </cell>
          <cell r="F57">
            <v>337.9</v>
          </cell>
          <cell r="G57">
            <v>-18.2</v>
          </cell>
          <cell r="H57">
            <v>-5.0999999999999996</v>
          </cell>
          <cell r="I57">
            <v>21.1</v>
          </cell>
          <cell r="J57" t="str">
            <v>High school diploma or equivalent</v>
          </cell>
          <cell r="K57" t="str">
            <v>None</v>
          </cell>
          <cell r="L57" t="str">
            <v>Long-term on-the-job training</v>
          </cell>
          <cell r="M57" t="str">
            <v>OOH Content</v>
          </cell>
        </row>
        <row r="58">
          <cell r="A58" t="str">
            <v>13-1032</v>
          </cell>
          <cell r="B58" t="str">
            <v xml:space="preserve">        Insurance appraisers, auto damage</v>
          </cell>
          <cell r="C58" t="str">
            <v>Line item</v>
          </cell>
          <cell r="D58">
            <v>76650</v>
          </cell>
          <cell r="E58">
            <v>9.1999999999999993</v>
          </cell>
          <cell r="F58">
            <v>8.4</v>
          </cell>
          <cell r="G58">
            <v>-0.8</v>
          </cell>
          <cell r="H58">
            <v>-8.1999999999999993</v>
          </cell>
          <cell r="I58">
            <v>0.5</v>
          </cell>
          <cell r="J58" t="str">
            <v>Postsecondary nondegree award</v>
          </cell>
          <cell r="K58" t="str">
            <v>None</v>
          </cell>
          <cell r="L58" t="str">
            <v>Moderate-term on-the-job training</v>
          </cell>
          <cell r="M58" t="str">
            <v>OOH Content</v>
          </cell>
        </row>
        <row r="59">
          <cell r="A59" t="str">
            <v>13-1041</v>
          </cell>
          <cell r="B59" t="str">
            <v xml:space="preserve">      Compliance officers</v>
          </cell>
          <cell r="C59" t="str">
            <v>Line item</v>
          </cell>
          <cell r="D59">
            <v>78420</v>
          </cell>
          <cell r="E59">
            <v>418</v>
          </cell>
          <cell r="F59">
            <v>430.3</v>
          </cell>
          <cell r="G59">
            <v>12.3</v>
          </cell>
          <cell r="H59">
            <v>3</v>
          </cell>
          <cell r="I59">
            <v>33.299999999999997</v>
          </cell>
          <cell r="J59" t="str">
            <v>Bachelor's degree</v>
          </cell>
          <cell r="K59" t="str">
            <v>None</v>
          </cell>
          <cell r="L59" t="str">
            <v>Moderate-term on-the-job training</v>
          </cell>
          <cell r="M59" t="str">
            <v>OOH Content</v>
          </cell>
        </row>
        <row r="60">
          <cell r="A60" t="str">
            <v>13-1051</v>
          </cell>
          <cell r="B60" t="str">
            <v xml:space="preserve">      Cost estimators</v>
          </cell>
          <cell r="C60" t="str">
            <v>Line item</v>
          </cell>
          <cell r="D60">
            <v>77070</v>
          </cell>
          <cell r="E60">
            <v>221.4</v>
          </cell>
          <cell r="F60">
            <v>212.1</v>
          </cell>
          <cell r="G60">
            <v>-9.3000000000000007</v>
          </cell>
          <cell r="H60">
            <v>-4.2</v>
          </cell>
          <cell r="I60">
            <v>16.899999999999999</v>
          </cell>
          <cell r="J60" t="str">
            <v>Bachelor's degree</v>
          </cell>
          <cell r="K60" t="str">
            <v>None</v>
          </cell>
          <cell r="L60" t="str">
            <v>Moderate-term on-the-job training</v>
          </cell>
          <cell r="M60" t="str">
            <v>OOH Content</v>
          </cell>
        </row>
        <row r="61">
          <cell r="A61" t="str">
            <v>13-1070</v>
          </cell>
          <cell r="B61" t="str">
            <v xml:space="preserve">      Human resources workers</v>
          </cell>
          <cell r="C61" t="str">
            <v>Summary</v>
          </cell>
          <cell r="D61">
            <v>74220</v>
          </cell>
          <cell r="E61">
            <v>1013.7</v>
          </cell>
          <cell r="F61">
            <v>1072.3</v>
          </cell>
          <cell r="G61">
            <v>58.6</v>
          </cell>
          <cell r="H61">
            <v>5.8</v>
          </cell>
          <cell r="I61">
            <v>87.2</v>
          </cell>
          <cell r="J61" t="str">
            <v>—</v>
          </cell>
          <cell r="K61" t="str">
            <v>—</v>
          </cell>
          <cell r="L61" t="str">
            <v>—</v>
          </cell>
          <cell r="M61" t="str">
            <v>—</v>
          </cell>
        </row>
        <row r="62">
          <cell r="A62" t="str">
            <v>13-1071</v>
          </cell>
          <cell r="B62" t="str">
            <v xml:space="preserve">        Human resources specialists</v>
          </cell>
          <cell r="C62" t="str">
            <v>Line item</v>
          </cell>
          <cell r="D62">
            <v>72910</v>
          </cell>
          <cell r="E62">
            <v>944.3</v>
          </cell>
          <cell r="F62">
            <v>1002.7</v>
          </cell>
          <cell r="G62">
            <v>58.4</v>
          </cell>
          <cell r="H62">
            <v>6.2</v>
          </cell>
          <cell r="I62">
            <v>81.8</v>
          </cell>
          <cell r="J62" t="str">
            <v>Bachelor's degree</v>
          </cell>
          <cell r="K62" t="str">
            <v>None</v>
          </cell>
          <cell r="L62" t="str">
            <v>None</v>
          </cell>
          <cell r="M62" t="str">
            <v>OOH Content</v>
          </cell>
        </row>
        <row r="63">
          <cell r="A63" t="str">
            <v>13-1074</v>
          </cell>
          <cell r="B63" t="str">
            <v xml:space="preserve">        Farm labor contractors</v>
          </cell>
          <cell r="C63" t="str">
            <v>Line item</v>
          </cell>
          <cell r="D63">
            <v>48690</v>
          </cell>
          <cell r="E63">
            <v>3.9</v>
          </cell>
          <cell r="F63">
            <v>4.2</v>
          </cell>
          <cell r="G63">
            <v>0.2</v>
          </cell>
          <cell r="H63">
            <v>6</v>
          </cell>
          <cell r="I63">
            <v>0.3</v>
          </cell>
          <cell r="J63" t="str">
            <v>No formal educational credential</v>
          </cell>
          <cell r="K63" t="str">
            <v>Less than 5 years</v>
          </cell>
          <cell r="L63" t="str">
            <v>Short-term on-the-job training</v>
          </cell>
          <cell r="M63" t="str">
            <v>—</v>
          </cell>
        </row>
        <row r="64">
          <cell r="A64" t="str">
            <v>13-1075</v>
          </cell>
          <cell r="B64" t="str">
            <v xml:space="preserve">        Labor relations specialists</v>
          </cell>
          <cell r="C64" t="str">
            <v>Line item</v>
          </cell>
          <cell r="D64">
            <v>93500</v>
          </cell>
          <cell r="E64">
            <v>65.400000000000006</v>
          </cell>
          <cell r="F64">
            <v>65.400000000000006</v>
          </cell>
          <cell r="G64">
            <v>-0.1</v>
          </cell>
          <cell r="H64">
            <v>-0.1</v>
          </cell>
          <cell r="I64">
            <v>5.0999999999999996</v>
          </cell>
          <cell r="J64" t="str">
            <v>Bachelor's degree</v>
          </cell>
          <cell r="K64" t="str">
            <v>Less than 5 years</v>
          </cell>
          <cell r="L64" t="str">
            <v>None</v>
          </cell>
          <cell r="M64" t="str">
            <v>OOH Content</v>
          </cell>
        </row>
        <row r="65">
          <cell r="A65" t="str">
            <v>13-1080</v>
          </cell>
          <cell r="B65" t="str">
            <v xml:space="preserve">      Logisticians and project management specialists</v>
          </cell>
          <cell r="C65" t="str">
            <v>Summary</v>
          </cell>
          <cell r="D65">
            <v>98070</v>
          </cell>
          <cell r="E65">
            <v>1287.2</v>
          </cell>
          <cell r="F65">
            <v>1386.2</v>
          </cell>
          <cell r="G65">
            <v>99</v>
          </cell>
          <cell r="H65">
            <v>7.7</v>
          </cell>
          <cell r="I65">
            <v>104.7</v>
          </cell>
          <cell r="J65" t="str">
            <v>—</v>
          </cell>
          <cell r="K65" t="str">
            <v>—</v>
          </cell>
          <cell r="L65" t="str">
            <v>—</v>
          </cell>
          <cell r="M65" t="str">
            <v>—</v>
          </cell>
        </row>
        <row r="66">
          <cell r="A66" t="str">
            <v>13-1081</v>
          </cell>
          <cell r="B66" t="str">
            <v xml:space="preserve">        Logisticians</v>
          </cell>
          <cell r="C66" t="str">
            <v>Line item</v>
          </cell>
          <cell r="D66">
            <v>80880</v>
          </cell>
          <cell r="E66">
            <v>241</v>
          </cell>
          <cell r="F66">
            <v>281.3</v>
          </cell>
          <cell r="G66">
            <v>40.299999999999997</v>
          </cell>
          <cell r="H66">
            <v>16.7</v>
          </cell>
          <cell r="I66">
            <v>26.4</v>
          </cell>
          <cell r="J66" t="str">
            <v>Bachelor's degree</v>
          </cell>
          <cell r="K66" t="str">
            <v>None</v>
          </cell>
          <cell r="L66" t="str">
            <v>None</v>
          </cell>
          <cell r="M66" t="str">
            <v>OOH Content</v>
          </cell>
        </row>
        <row r="67">
          <cell r="A67" t="str">
            <v>13-1082</v>
          </cell>
          <cell r="B67" t="str">
            <v xml:space="preserve">        Project management specialists</v>
          </cell>
          <cell r="C67" t="str">
            <v>Line item</v>
          </cell>
          <cell r="D67">
            <v>100750</v>
          </cell>
          <cell r="E67">
            <v>1046.3</v>
          </cell>
          <cell r="F67">
            <v>1105</v>
          </cell>
          <cell r="G67">
            <v>58.7</v>
          </cell>
          <cell r="H67">
            <v>5.6</v>
          </cell>
          <cell r="I67">
            <v>78.2</v>
          </cell>
          <cell r="J67" t="str">
            <v>Bachelor's degree</v>
          </cell>
          <cell r="K67" t="str">
            <v>None</v>
          </cell>
          <cell r="L67" t="str">
            <v>None</v>
          </cell>
          <cell r="M67" t="str">
            <v>OOH Content</v>
          </cell>
        </row>
        <row r="68">
          <cell r="A68" t="str">
            <v>13-1111</v>
          </cell>
          <cell r="B68" t="str">
            <v xml:space="preserve">      Management analysts</v>
          </cell>
          <cell r="C68" t="str">
            <v>Line item</v>
          </cell>
          <cell r="D68">
            <v>101190</v>
          </cell>
          <cell r="E68">
            <v>1075.0999999999999</v>
          </cell>
          <cell r="F68">
            <v>1169.7</v>
          </cell>
          <cell r="G68">
            <v>94.5</v>
          </cell>
          <cell r="H68">
            <v>8.8000000000000007</v>
          </cell>
          <cell r="I68">
            <v>98.1</v>
          </cell>
          <cell r="J68" t="str">
            <v>Bachelor's degree</v>
          </cell>
          <cell r="K68" t="str">
            <v>Less than 5 years</v>
          </cell>
          <cell r="L68" t="str">
            <v>None</v>
          </cell>
          <cell r="M68" t="str">
            <v>OOH Content</v>
          </cell>
        </row>
        <row r="69">
          <cell r="A69" t="str">
            <v>13-1121</v>
          </cell>
          <cell r="B69" t="str">
            <v xml:space="preserve">      Meeting, convention, and event planners</v>
          </cell>
          <cell r="C69" t="str">
            <v>Line item</v>
          </cell>
          <cell r="D69">
            <v>59440</v>
          </cell>
          <cell r="E69">
            <v>155.80000000000001</v>
          </cell>
          <cell r="F69">
            <v>163.30000000000001</v>
          </cell>
          <cell r="G69">
            <v>7.5</v>
          </cell>
          <cell r="H69">
            <v>4.8</v>
          </cell>
          <cell r="I69">
            <v>15.5</v>
          </cell>
          <cell r="J69" t="str">
            <v>Bachelor's degree</v>
          </cell>
          <cell r="K69" t="str">
            <v>None</v>
          </cell>
          <cell r="L69" t="str">
            <v>None</v>
          </cell>
          <cell r="M69" t="str">
            <v>OOH Content</v>
          </cell>
        </row>
        <row r="70">
          <cell r="A70" t="str">
            <v>13-1131</v>
          </cell>
          <cell r="B70" t="str">
            <v xml:space="preserve">      Fundraisers</v>
          </cell>
          <cell r="C70" t="str">
            <v>Line item</v>
          </cell>
          <cell r="D70">
            <v>66490</v>
          </cell>
          <cell r="E70">
            <v>134.4</v>
          </cell>
          <cell r="F70">
            <v>140.19999999999999</v>
          </cell>
          <cell r="G70">
            <v>5.8</v>
          </cell>
          <cell r="H70">
            <v>4.3</v>
          </cell>
          <cell r="I70">
            <v>10.199999999999999</v>
          </cell>
          <cell r="J70" t="str">
            <v>Bachelor's degree</v>
          </cell>
          <cell r="K70" t="str">
            <v>None</v>
          </cell>
          <cell r="L70" t="str">
            <v>None</v>
          </cell>
          <cell r="M70" t="str">
            <v>OOH Content</v>
          </cell>
        </row>
        <row r="71">
          <cell r="A71" t="str">
            <v>13-1141</v>
          </cell>
          <cell r="B71" t="str">
            <v xml:space="preserve">      Compensation, benefits, and job analysis specialists</v>
          </cell>
          <cell r="C71" t="str">
            <v>Line item</v>
          </cell>
          <cell r="D71">
            <v>77020</v>
          </cell>
          <cell r="E71">
            <v>107</v>
          </cell>
          <cell r="F71">
            <v>112.7</v>
          </cell>
          <cell r="G71">
            <v>5.6</v>
          </cell>
          <cell r="H71">
            <v>5.3</v>
          </cell>
          <cell r="I71">
            <v>8.5</v>
          </cell>
          <cell r="J71" t="str">
            <v>Bachelor's degree</v>
          </cell>
          <cell r="K71" t="str">
            <v>Less than 5 years</v>
          </cell>
          <cell r="L71" t="str">
            <v>None</v>
          </cell>
          <cell r="M71" t="str">
            <v>OOH Content</v>
          </cell>
        </row>
        <row r="72">
          <cell r="A72" t="str">
            <v>13-1151</v>
          </cell>
          <cell r="B72" t="str">
            <v xml:space="preserve">      Training and development specialists</v>
          </cell>
          <cell r="C72" t="str">
            <v>Line item</v>
          </cell>
          <cell r="D72">
            <v>65850</v>
          </cell>
          <cell r="E72">
            <v>452.3</v>
          </cell>
          <cell r="F72">
            <v>501</v>
          </cell>
          <cell r="G72">
            <v>48.7</v>
          </cell>
          <cell r="H72">
            <v>10.8</v>
          </cell>
          <cell r="I72">
            <v>43.9</v>
          </cell>
          <cell r="J72" t="str">
            <v>Bachelor's degree</v>
          </cell>
          <cell r="K72" t="str">
            <v>Less than 5 years</v>
          </cell>
          <cell r="L72" t="str">
            <v>None</v>
          </cell>
          <cell r="M72" t="str">
            <v>OOH Content</v>
          </cell>
        </row>
        <row r="73">
          <cell r="A73" t="str">
            <v>13-1161</v>
          </cell>
          <cell r="B73" t="str">
            <v xml:space="preserve">      Market research analysts and marketing specialists</v>
          </cell>
          <cell r="C73" t="str">
            <v>Line item</v>
          </cell>
          <cell r="D73">
            <v>76950</v>
          </cell>
          <cell r="E73">
            <v>941.7</v>
          </cell>
          <cell r="F73">
            <v>1004.7</v>
          </cell>
          <cell r="G73">
            <v>63</v>
          </cell>
          <cell r="H73">
            <v>6.7</v>
          </cell>
          <cell r="I73">
            <v>87.2</v>
          </cell>
          <cell r="J73" t="str">
            <v>Bachelor's degree</v>
          </cell>
          <cell r="K73" t="str">
            <v>None</v>
          </cell>
          <cell r="L73" t="str">
            <v>None</v>
          </cell>
          <cell r="M73" t="str">
            <v>OOH Content</v>
          </cell>
        </row>
        <row r="74">
          <cell r="A74" t="str">
            <v>13-1199</v>
          </cell>
          <cell r="B74" t="str">
            <v xml:space="preserve">      Business operations specialists, all other</v>
          </cell>
          <cell r="C74" t="str">
            <v>Line item</v>
          </cell>
          <cell r="D74">
            <v>81270</v>
          </cell>
          <cell r="E74">
            <v>1205.7</v>
          </cell>
          <cell r="F74">
            <v>1242</v>
          </cell>
          <cell r="G74">
            <v>36.299999999999997</v>
          </cell>
          <cell r="H74">
            <v>3</v>
          </cell>
          <cell r="I74">
            <v>108.2</v>
          </cell>
          <cell r="J74" t="str">
            <v>Bachelor's degree</v>
          </cell>
          <cell r="K74" t="str">
            <v>None</v>
          </cell>
          <cell r="L74" t="str">
            <v>None</v>
          </cell>
          <cell r="M74" t="str">
            <v>—</v>
          </cell>
        </row>
        <row r="75">
          <cell r="A75" t="str">
            <v>13-2000</v>
          </cell>
          <cell r="B75" t="str">
            <v xml:space="preserve">    Financial specialists</v>
          </cell>
          <cell r="C75" t="str">
            <v>Summary</v>
          </cell>
          <cell r="D75">
            <v>82140</v>
          </cell>
          <cell r="E75">
            <v>3340.9</v>
          </cell>
          <cell r="F75">
            <v>3492.6</v>
          </cell>
          <cell r="G75">
            <v>151.69999999999999</v>
          </cell>
          <cell r="H75">
            <v>4.5</v>
          </cell>
          <cell r="I75">
            <v>252.6</v>
          </cell>
          <cell r="J75" t="str">
            <v>—</v>
          </cell>
          <cell r="K75" t="str">
            <v>—</v>
          </cell>
          <cell r="L75" t="str">
            <v>—</v>
          </cell>
          <cell r="M75" t="str">
            <v>—</v>
          </cell>
        </row>
        <row r="76">
          <cell r="A76" t="str">
            <v>13-2011</v>
          </cell>
          <cell r="B76" t="str">
            <v xml:space="preserve">      Accountants and auditors</v>
          </cell>
          <cell r="C76" t="str">
            <v>Line item</v>
          </cell>
          <cell r="D76">
            <v>81680</v>
          </cell>
          <cell r="E76">
            <v>1579.8</v>
          </cell>
          <cell r="F76">
            <v>1652.6</v>
          </cell>
          <cell r="G76">
            <v>72.8</v>
          </cell>
          <cell r="H76">
            <v>4.5999999999999996</v>
          </cell>
          <cell r="I76">
            <v>124.2</v>
          </cell>
          <cell r="J76" t="str">
            <v>Bachelor's degree</v>
          </cell>
          <cell r="K76" t="str">
            <v>None</v>
          </cell>
          <cell r="L76" t="str">
            <v>None</v>
          </cell>
          <cell r="M76" t="str">
            <v>OOH Content</v>
          </cell>
        </row>
        <row r="77">
          <cell r="A77" t="str">
            <v>13-2020</v>
          </cell>
          <cell r="B77" t="str">
            <v xml:space="preserve">      Property appraisers and assessors</v>
          </cell>
          <cell r="C77" t="str">
            <v>Line item</v>
          </cell>
          <cell r="D77">
            <v>65420</v>
          </cell>
          <cell r="E77">
            <v>77.3</v>
          </cell>
          <cell r="F77">
            <v>80.2</v>
          </cell>
          <cell r="G77">
            <v>2.9</v>
          </cell>
          <cell r="H77">
            <v>3.8</v>
          </cell>
          <cell r="I77">
            <v>6.3</v>
          </cell>
          <cell r="J77" t="str">
            <v>Bachelor's degree</v>
          </cell>
          <cell r="K77" t="str">
            <v>None</v>
          </cell>
          <cell r="L77" t="str">
            <v>Long-term on-the-job training</v>
          </cell>
          <cell r="M77" t="str">
            <v>OOH Content</v>
          </cell>
        </row>
        <row r="78">
          <cell r="A78" t="str">
            <v>13-2031</v>
          </cell>
          <cell r="B78" t="str">
            <v xml:space="preserve">      Budget analysts</v>
          </cell>
          <cell r="C78" t="str">
            <v>Line item</v>
          </cell>
          <cell r="D78">
            <v>87930</v>
          </cell>
          <cell r="E78">
            <v>50.4</v>
          </cell>
          <cell r="F78">
            <v>51</v>
          </cell>
          <cell r="G78">
            <v>0.5</v>
          </cell>
          <cell r="H78">
            <v>1</v>
          </cell>
          <cell r="I78">
            <v>3.1</v>
          </cell>
          <cell r="J78" t="str">
            <v>Bachelor's degree</v>
          </cell>
          <cell r="K78" t="str">
            <v>None</v>
          </cell>
          <cell r="L78" t="str">
            <v>None</v>
          </cell>
          <cell r="M78" t="str">
            <v>OOH Content</v>
          </cell>
        </row>
        <row r="79">
          <cell r="A79" t="str">
            <v>13-2041</v>
          </cell>
          <cell r="B79" t="str">
            <v xml:space="preserve">      Credit analysts</v>
          </cell>
          <cell r="C79" t="str">
            <v>Line item</v>
          </cell>
          <cell r="D79">
            <v>80970</v>
          </cell>
          <cell r="E79">
            <v>67.8</v>
          </cell>
          <cell r="F79">
            <v>64.8</v>
          </cell>
          <cell r="G79">
            <v>-3</v>
          </cell>
          <cell r="H79">
            <v>-4.4000000000000004</v>
          </cell>
          <cell r="I79">
            <v>3.7</v>
          </cell>
          <cell r="J79" t="str">
            <v>Bachelor's degree</v>
          </cell>
          <cell r="K79" t="str">
            <v>None</v>
          </cell>
          <cell r="L79" t="str">
            <v>None</v>
          </cell>
          <cell r="M79" t="str">
            <v>—</v>
          </cell>
        </row>
        <row r="80">
          <cell r="A80" t="str">
            <v>13-2050</v>
          </cell>
          <cell r="B80" t="str">
            <v xml:space="preserve">      Financial analysts and advisors</v>
          </cell>
          <cell r="C80" t="str">
            <v>Summary</v>
          </cell>
          <cell r="D80">
            <v>99990</v>
          </cell>
          <cell r="E80">
            <v>881.9</v>
          </cell>
          <cell r="F80">
            <v>934.9</v>
          </cell>
          <cell r="G80">
            <v>53</v>
          </cell>
          <cell r="H80">
            <v>6</v>
          </cell>
          <cell r="I80">
            <v>62.3</v>
          </cell>
          <cell r="J80" t="str">
            <v>—</v>
          </cell>
          <cell r="K80" t="str">
            <v>—</v>
          </cell>
          <cell r="L80" t="str">
            <v>—</v>
          </cell>
          <cell r="M80" t="str">
            <v>—</v>
          </cell>
        </row>
        <row r="81">
          <cell r="A81" t="str">
            <v>13-2051</v>
          </cell>
          <cell r="B81" t="str">
            <v xml:space="preserve">        Financial and investment analysts</v>
          </cell>
          <cell r="C81" t="str">
            <v>Line item</v>
          </cell>
          <cell r="D81">
            <v>101350</v>
          </cell>
          <cell r="E81">
            <v>368.5</v>
          </cell>
          <cell r="F81">
            <v>389.6</v>
          </cell>
          <cell r="G81">
            <v>21.1</v>
          </cell>
          <cell r="H81">
            <v>5.7</v>
          </cell>
          <cell r="I81">
            <v>25.1</v>
          </cell>
          <cell r="J81" t="str">
            <v>Bachelor's degree</v>
          </cell>
          <cell r="K81" t="str">
            <v>None</v>
          </cell>
          <cell r="L81" t="str">
            <v>None</v>
          </cell>
          <cell r="M81" t="str">
            <v>OOH Content</v>
          </cell>
        </row>
        <row r="82">
          <cell r="A82" t="str">
            <v>13-2052</v>
          </cell>
          <cell r="B82" t="str">
            <v xml:space="preserve">        Personal financial advisors</v>
          </cell>
          <cell r="C82" t="str">
            <v>Line item</v>
          </cell>
          <cell r="D82">
            <v>102140</v>
          </cell>
          <cell r="E82">
            <v>326</v>
          </cell>
          <cell r="F82">
            <v>357.2</v>
          </cell>
          <cell r="G82">
            <v>31.2</v>
          </cell>
          <cell r="H82">
            <v>9.6</v>
          </cell>
          <cell r="I82">
            <v>24.1</v>
          </cell>
          <cell r="J82" t="str">
            <v>Bachelor's degree</v>
          </cell>
          <cell r="K82" t="str">
            <v>None</v>
          </cell>
          <cell r="L82" t="str">
            <v>Long-term on-the-job training</v>
          </cell>
          <cell r="M82" t="str">
            <v>OOH Content</v>
          </cell>
        </row>
        <row r="83">
          <cell r="A83" t="str">
            <v>13-2053</v>
          </cell>
          <cell r="B83" t="str">
            <v xml:space="preserve">        Insurance underwriters</v>
          </cell>
          <cell r="C83" t="str">
            <v>Line item</v>
          </cell>
          <cell r="D83">
            <v>79880</v>
          </cell>
          <cell r="E83">
            <v>127</v>
          </cell>
          <cell r="F83">
            <v>123.7</v>
          </cell>
          <cell r="G83">
            <v>-3.3</v>
          </cell>
          <cell r="H83">
            <v>-2.6</v>
          </cell>
          <cell r="I83">
            <v>8.1999999999999993</v>
          </cell>
          <cell r="J83" t="str">
            <v>Bachelor's degree</v>
          </cell>
          <cell r="K83" t="str">
            <v>None</v>
          </cell>
          <cell r="L83" t="str">
            <v>Moderate-term on-the-job training</v>
          </cell>
          <cell r="M83" t="str">
            <v>OOH Content</v>
          </cell>
        </row>
        <row r="84">
          <cell r="A84" t="str">
            <v>13-2054</v>
          </cell>
          <cell r="B84" t="str">
            <v xml:space="preserve">        Financial risk specialists</v>
          </cell>
          <cell r="C84" t="str">
            <v>Line item</v>
          </cell>
          <cell r="D84">
            <v>106000</v>
          </cell>
          <cell r="E84">
            <v>60.5</v>
          </cell>
          <cell r="F84">
            <v>64.400000000000006</v>
          </cell>
          <cell r="G84">
            <v>3.9</v>
          </cell>
          <cell r="H84">
            <v>6.5</v>
          </cell>
          <cell r="I84">
            <v>4.8</v>
          </cell>
          <cell r="J84" t="str">
            <v>Bachelor's degree</v>
          </cell>
          <cell r="K84" t="str">
            <v>None</v>
          </cell>
          <cell r="L84" t="str">
            <v>None</v>
          </cell>
          <cell r="M84" t="str">
            <v>OOH Content</v>
          </cell>
        </row>
        <row r="85">
          <cell r="A85" t="str">
            <v>13-2061</v>
          </cell>
          <cell r="B85" t="str">
            <v xml:space="preserve">      Financial examiners</v>
          </cell>
          <cell r="C85" t="str">
            <v>Line item</v>
          </cell>
          <cell r="D85">
            <v>90400</v>
          </cell>
          <cell r="E85">
            <v>65.099999999999994</v>
          </cell>
          <cell r="F85">
            <v>77.2</v>
          </cell>
          <cell r="G85">
            <v>12.1</v>
          </cell>
          <cell r="H85">
            <v>18.5</v>
          </cell>
          <cell r="I85">
            <v>5.7</v>
          </cell>
          <cell r="J85" t="str">
            <v>Bachelor's degree</v>
          </cell>
          <cell r="K85" t="str">
            <v>None</v>
          </cell>
          <cell r="L85" t="str">
            <v>Long-term on-the-job training</v>
          </cell>
          <cell r="M85" t="str">
            <v>OOH Content</v>
          </cell>
        </row>
        <row r="86">
          <cell r="A86" t="str">
            <v>13-2070</v>
          </cell>
          <cell r="B86" t="str">
            <v xml:space="preserve">      Credit counselors and loan officers</v>
          </cell>
          <cell r="C86" t="str">
            <v>Summary</v>
          </cell>
          <cell r="D86">
            <v>69040</v>
          </cell>
          <cell r="E86">
            <v>333.2</v>
          </cell>
          <cell r="F86">
            <v>339.3</v>
          </cell>
          <cell r="G86">
            <v>6.1</v>
          </cell>
          <cell r="H86">
            <v>1.8</v>
          </cell>
          <cell r="I86">
            <v>22.5</v>
          </cell>
          <cell r="J86" t="str">
            <v>—</v>
          </cell>
          <cell r="K86" t="str">
            <v>—</v>
          </cell>
          <cell r="L86" t="str">
            <v>—</v>
          </cell>
          <cell r="M86" t="str">
            <v>—</v>
          </cell>
        </row>
        <row r="87">
          <cell r="A87" t="str">
            <v>13-2071</v>
          </cell>
          <cell r="B87" t="str">
            <v xml:space="preserve">        Credit counselors</v>
          </cell>
          <cell r="C87" t="str">
            <v>Line item</v>
          </cell>
          <cell r="D87">
            <v>50480</v>
          </cell>
          <cell r="E87">
            <v>31.8</v>
          </cell>
          <cell r="F87">
            <v>32.9</v>
          </cell>
          <cell r="G87">
            <v>1.1000000000000001</v>
          </cell>
          <cell r="H87">
            <v>3.3</v>
          </cell>
          <cell r="I87">
            <v>2.2000000000000002</v>
          </cell>
          <cell r="J87" t="str">
            <v>Bachelor's degree</v>
          </cell>
          <cell r="K87" t="str">
            <v>None</v>
          </cell>
          <cell r="L87" t="str">
            <v>Moderate-term on-the-job training</v>
          </cell>
          <cell r="M87" t="str">
            <v>OOH Content</v>
          </cell>
        </row>
        <row r="88">
          <cell r="A88" t="str">
            <v>13-2072</v>
          </cell>
          <cell r="B88" t="str">
            <v xml:space="preserve">        Loan officers</v>
          </cell>
          <cell r="C88" t="str">
            <v>Line item</v>
          </cell>
          <cell r="D88">
            <v>74180</v>
          </cell>
          <cell r="E88">
            <v>301.39999999999998</v>
          </cell>
          <cell r="F88">
            <v>306.5</v>
          </cell>
          <cell r="G88">
            <v>5</v>
          </cell>
          <cell r="H88">
            <v>1.7</v>
          </cell>
          <cell r="I88">
            <v>20.3</v>
          </cell>
          <cell r="J88" t="str">
            <v>Bachelor's degree</v>
          </cell>
          <cell r="K88" t="str">
            <v>Less than 5 years</v>
          </cell>
          <cell r="L88" t="str">
            <v>Moderate-term on-the-job training</v>
          </cell>
          <cell r="M88" t="str">
            <v>OOH Content</v>
          </cell>
        </row>
        <row r="89">
          <cell r="A89" t="str">
            <v>13-2080</v>
          </cell>
          <cell r="B89" t="str">
            <v xml:space="preserve">      Tax examiners, collectors and preparers, and revenue agents</v>
          </cell>
          <cell r="C89" t="str">
            <v>Summary</v>
          </cell>
          <cell r="D89">
            <v>56160</v>
          </cell>
          <cell r="E89">
            <v>148.19999999999999</v>
          </cell>
          <cell r="F89">
            <v>151.19999999999999</v>
          </cell>
          <cell r="G89">
            <v>3</v>
          </cell>
          <cell r="H89">
            <v>2.1</v>
          </cell>
          <cell r="I89">
            <v>14.7</v>
          </cell>
          <cell r="J89" t="str">
            <v>—</v>
          </cell>
          <cell r="K89" t="str">
            <v>—</v>
          </cell>
          <cell r="L89" t="str">
            <v>—</v>
          </cell>
          <cell r="M89" t="str">
            <v>—</v>
          </cell>
        </row>
        <row r="90">
          <cell r="A90" t="str">
            <v>13-2081</v>
          </cell>
          <cell r="B90" t="str">
            <v xml:space="preserve">        Tax examiners and collectors, and revenue agents</v>
          </cell>
          <cell r="C90" t="str">
            <v>Line item</v>
          </cell>
          <cell r="D90">
            <v>59740</v>
          </cell>
          <cell r="E90">
            <v>57.6</v>
          </cell>
          <cell r="F90">
            <v>56.5</v>
          </cell>
          <cell r="G90">
            <v>-1</v>
          </cell>
          <cell r="H90">
            <v>-1.8</v>
          </cell>
          <cell r="I90">
            <v>4.3</v>
          </cell>
          <cell r="J90" t="str">
            <v>Bachelor's degree</v>
          </cell>
          <cell r="K90" t="str">
            <v>None</v>
          </cell>
          <cell r="L90" t="str">
            <v>Moderate-term on-the-job training</v>
          </cell>
          <cell r="M90" t="str">
            <v>OOH Content</v>
          </cell>
        </row>
        <row r="91">
          <cell r="A91" t="str">
            <v>13-2082</v>
          </cell>
          <cell r="B91" t="str">
            <v xml:space="preserve">        Tax preparers</v>
          </cell>
          <cell r="C91" t="str">
            <v>Line item</v>
          </cell>
          <cell r="D91">
            <v>50560</v>
          </cell>
          <cell r="E91">
            <v>90.6</v>
          </cell>
          <cell r="F91">
            <v>94.7</v>
          </cell>
          <cell r="G91">
            <v>4.0999999999999996</v>
          </cell>
          <cell r="H91">
            <v>4.5</v>
          </cell>
          <cell r="I91">
            <v>10.4</v>
          </cell>
          <cell r="J91" t="str">
            <v>High school diploma or equivalent</v>
          </cell>
          <cell r="K91" t="str">
            <v>None</v>
          </cell>
          <cell r="L91" t="str">
            <v>Moderate-term on-the-job training</v>
          </cell>
          <cell r="M91" t="str">
            <v>—</v>
          </cell>
        </row>
        <row r="92">
          <cell r="A92" t="str">
            <v>13-2099</v>
          </cell>
          <cell r="B92" t="str">
            <v xml:space="preserve">      Financial specialists, all other</v>
          </cell>
          <cell r="C92" t="str">
            <v>Line item</v>
          </cell>
          <cell r="D92">
            <v>80190</v>
          </cell>
          <cell r="E92">
            <v>137.1</v>
          </cell>
          <cell r="F92">
            <v>141.4</v>
          </cell>
          <cell r="G92">
            <v>4.3</v>
          </cell>
          <cell r="H92">
            <v>3.1</v>
          </cell>
          <cell r="I92">
            <v>10.3</v>
          </cell>
          <cell r="J92" t="str">
            <v>Bachelor's degree</v>
          </cell>
          <cell r="K92" t="str">
            <v>None</v>
          </cell>
          <cell r="L92" t="str">
            <v>None</v>
          </cell>
          <cell r="M92" t="str">
            <v>—</v>
          </cell>
        </row>
        <row r="93">
          <cell r="A93" t="str">
            <v>15-0000</v>
          </cell>
          <cell r="B93" t="str">
            <v xml:space="preserve">  Computer and mathematical occupations</v>
          </cell>
          <cell r="C93" t="str">
            <v>Summary</v>
          </cell>
          <cell r="D93">
            <v>105850</v>
          </cell>
          <cell r="E93">
            <v>5416.7</v>
          </cell>
          <cell r="F93">
            <v>5962.3</v>
          </cell>
          <cell r="G93">
            <v>545.6</v>
          </cell>
          <cell r="H93">
            <v>10.1</v>
          </cell>
          <cell r="I93">
            <v>355.4</v>
          </cell>
          <cell r="J93" t="str">
            <v>—</v>
          </cell>
          <cell r="K93" t="str">
            <v>—</v>
          </cell>
          <cell r="L93" t="str">
            <v>—</v>
          </cell>
          <cell r="M93" t="str">
            <v>—</v>
          </cell>
        </row>
        <row r="94">
          <cell r="A94" t="str">
            <v>15-1200</v>
          </cell>
          <cell r="B94" t="str">
            <v xml:space="preserve">    Computer occupations</v>
          </cell>
          <cell r="C94" t="str">
            <v>Summary</v>
          </cell>
          <cell r="D94">
            <v>105990</v>
          </cell>
          <cell r="E94">
            <v>4985.6000000000004</v>
          </cell>
          <cell r="F94">
            <v>5414.4</v>
          </cell>
          <cell r="G94">
            <v>428.8</v>
          </cell>
          <cell r="H94">
            <v>8.6</v>
          </cell>
          <cell r="I94">
            <v>317.7</v>
          </cell>
          <cell r="J94" t="str">
            <v>—</v>
          </cell>
          <cell r="K94" t="str">
            <v>—</v>
          </cell>
          <cell r="L94" t="str">
            <v>—</v>
          </cell>
          <cell r="M94" t="str">
            <v>—</v>
          </cell>
        </row>
        <row r="95">
          <cell r="A95" t="str">
            <v>15-1210</v>
          </cell>
          <cell r="B95" t="str">
            <v xml:space="preserve">      Computer and information analysts</v>
          </cell>
          <cell r="C95" t="str">
            <v>Summary</v>
          </cell>
          <cell r="D95">
            <v>106890</v>
          </cell>
          <cell r="E95">
            <v>703.8</v>
          </cell>
          <cell r="F95">
            <v>801.4</v>
          </cell>
          <cell r="G95">
            <v>97.6</v>
          </cell>
          <cell r="H95">
            <v>13.9</v>
          </cell>
          <cell r="I95">
            <v>50.2</v>
          </cell>
          <cell r="J95" t="str">
            <v>—</v>
          </cell>
          <cell r="K95" t="str">
            <v>—</v>
          </cell>
          <cell r="L95" t="str">
            <v>—</v>
          </cell>
          <cell r="M95" t="str">
            <v>—</v>
          </cell>
        </row>
        <row r="96">
          <cell r="A96" t="str">
            <v>15-1211</v>
          </cell>
          <cell r="B96" t="str">
            <v xml:space="preserve">        Computer systems analysts</v>
          </cell>
          <cell r="C96" t="str">
            <v>Line item</v>
          </cell>
          <cell r="D96">
            <v>103790</v>
          </cell>
          <cell r="E96">
            <v>521.1</v>
          </cell>
          <cell r="F96">
            <v>566.5</v>
          </cell>
          <cell r="G96">
            <v>45.5</v>
          </cell>
          <cell r="H96">
            <v>8.6999999999999993</v>
          </cell>
          <cell r="I96">
            <v>34.200000000000003</v>
          </cell>
          <cell r="J96" t="str">
            <v>Bachelor's degree</v>
          </cell>
          <cell r="K96" t="str">
            <v>None</v>
          </cell>
          <cell r="L96" t="str">
            <v>None</v>
          </cell>
          <cell r="M96" t="str">
            <v>OOH Content</v>
          </cell>
        </row>
        <row r="97">
          <cell r="A97" t="str">
            <v>15-1212</v>
          </cell>
          <cell r="B97" t="str">
            <v xml:space="preserve">        Information security analysts</v>
          </cell>
          <cell r="C97" t="str">
            <v>Line item</v>
          </cell>
          <cell r="D97">
            <v>124910</v>
          </cell>
          <cell r="E97">
            <v>182.8</v>
          </cell>
          <cell r="F97">
            <v>234.9</v>
          </cell>
          <cell r="G97">
            <v>52.1</v>
          </cell>
          <cell r="H97">
            <v>28.5</v>
          </cell>
          <cell r="I97">
            <v>16</v>
          </cell>
          <cell r="J97" t="str">
            <v>Bachelor's degree</v>
          </cell>
          <cell r="K97" t="str">
            <v>Less than 5 years</v>
          </cell>
          <cell r="L97" t="str">
            <v>None</v>
          </cell>
          <cell r="M97" t="str">
            <v>OOH Content</v>
          </cell>
        </row>
        <row r="98">
          <cell r="A98" t="str">
            <v>15-1221</v>
          </cell>
          <cell r="B98" t="str">
            <v xml:space="preserve">      Computer and information research scientists</v>
          </cell>
          <cell r="C98" t="str">
            <v>Line item</v>
          </cell>
          <cell r="D98">
            <v>140910</v>
          </cell>
          <cell r="E98">
            <v>40.299999999999997</v>
          </cell>
          <cell r="F98">
            <v>48.3</v>
          </cell>
          <cell r="G98">
            <v>7.9</v>
          </cell>
          <cell r="H98">
            <v>19.7</v>
          </cell>
          <cell r="I98">
            <v>3.2</v>
          </cell>
          <cell r="J98" t="str">
            <v>Master's degree</v>
          </cell>
          <cell r="K98" t="str">
            <v>None</v>
          </cell>
          <cell r="L98" t="str">
            <v>None</v>
          </cell>
          <cell r="M98" t="str">
            <v>OOH Content</v>
          </cell>
        </row>
        <row r="99">
          <cell r="A99" t="str">
            <v>15-1230</v>
          </cell>
          <cell r="B99" t="str">
            <v xml:space="preserve">      Computer support specialists</v>
          </cell>
          <cell r="C99" t="str">
            <v>Summary</v>
          </cell>
          <cell r="D99">
            <v>61550</v>
          </cell>
          <cell r="E99">
            <v>882.3</v>
          </cell>
          <cell r="F99">
            <v>858</v>
          </cell>
          <cell r="G99">
            <v>-24.2</v>
          </cell>
          <cell r="H99">
            <v>-2.7</v>
          </cell>
          <cell r="I99">
            <v>50.5</v>
          </cell>
          <cell r="J99" t="str">
            <v>—</v>
          </cell>
          <cell r="K99" t="str">
            <v>—</v>
          </cell>
          <cell r="L99" t="str">
            <v>—</v>
          </cell>
          <cell r="M99" t="str">
            <v>—</v>
          </cell>
        </row>
        <row r="100">
          <cell r="A100" t="str">
            <v>15-1231</v>
          </cell>
          <cell r="B100" t="str">
            <v xml:space="preserve">        Computer network support specialists</v>
          </cell>
          <cell r="C100" t="str">
            <v>Line item</v>
          </cell>
          <cell r="D100">
            <v>73340</v>
          </cell>
          <cell r="E100">
            <v>152.69999999999999</v>
          </cell>
          <cell r="F100">
            <v>155.5</v>
          </cell>
          <cell r="G100">
            <v>2.8</v>
          </cell>
          <cell r="H100">
            <v>1.8</v>
          </cell>
          <cell r="I100">
            <v>9.6</v>
          </cell>
          <cell r="J100" t="str">
            <v>Associate's degree</v>
          </cell>
          <cell r="K100" t="str">
            <v>None</v>
          </cell>
          <cell r="L100" t="str">
            <v>Moderate-term on-the-job training</v>
          </cell>
          <cell r="M100" t="str">
            <v>OOH Content</v>
          </cell>
        </row>
        <row r="101">
          <cell r="A101" t="str">
            <v>15-1232</v>
          </cell>
          <cell r="B101" t="str">
            <v xml:space="preserve">        Computer user support specialists</v>
          </cell>
          <cell r="C101" t="str">
            <v>Line item</v>
          </cell>
          <cell r="D101">
            <v>60340</v>
          </cell>
          <cell r="E101">
            <v>729.5</v>
          </cell>
          <cell r="F101">
            <v>702.5</v>
          </cell>
          <cell r="G101">
            <v>-27</v>
          </cell>
          <cell r="H101">
            <v>-3.7</v>
          </cell>
          <cell r="I101">
            <v>40.799999999999997</v>
          </cell>
          <cell r="J101" t="str">
            <v>Some college, no degree</v>
          </cell>
          <cell r="K101" t="str">
            <v>None</v>
          </cell>
          <cell r="L101" t="str">
            <v>Moderate-term on-the-job training</v>
          </cell>
          <cell r="M101" t="str">
            <v>OOH Content</v>
          </cell>
        </row>
        <row r="102">
          <cell r="A102" t="str">
            <v>15-1240</v>
          </cell>
          <cell r="B102" t="str">
            <v xml:space="preserve">      Database and network administrators and architects</v>
          </cell>
          <cell r="C102" t="str">
            <v>Summary</v>
          </cell>
          <cell r="D102">
            <v>107480</v>
          </cell>
          <cell r="E102">
            <v>655.6</v>
          </cell>
          <cell r="F102">
            <v>668.4</v>
          </cell>
          <cell r="G102">
            <v>12.9</v>
          </cell>
          <cell r="H102">
            <v>2</v>
          </cell>
          <cell r="I102">
            <v>33.299999999999997</v>
          </cell>
          <cell r="J102" t="str">
            <v>—</v>
          </cell>
          <cell r="K102" t="str">
            <v>—</v>
          </cell>
          <cell r="L102" t="str">
            <v>—</v>
          </cell>
          <cell r="M102" t="str">
            <v>—</v>
          </cell>
        </row>
        <row r="103">
          <cell r="A103" t="str">
            <v>15-1241</v>
          </cell>
          <cell r="B103" t="str">
            <v xml:space="preserve">        Computer network architects</v>
          </cell>
          <cell r="C103" t="str">
            <v>Line item</v>
          </cell>
          <cell r="D103">
            <v>130390</v>
          </cell>
          <cell r="E103">
            <v>179.2</v>
          </cell>
          <cell r="F103">
            <v>200.6</v>
          </cell>
          <cell r="G103">
            <v>21.4</v>
          </cell>
          <cell r="H103">
            <v>11.9</v>
          </cell>
          <cell r="I103">
            <v>11.2</v>
          </cell>
          <cell r="J103" t="str">
            <v>Bachelor's degree</v>
          </cell>
          <cell r="K103" t="str">
            <v>5 years or more</v>
          </cell>
          <cell r="L103" t="str">
            <v>None</v>
          </cell>
          <cell r="M103" t="str">
            <v>OOH Content</v>
          </cell>
        </row>
        <row r="104">
          <cell r="A104" t="str">
            <v>15-1242</v>
          </cell>
          <cell r="B104" t="str">
            <v xml:space="preserve">        Database administrators</v>
          </cell>
          <cell r="C104" t="str">
            <v>Line item</v>
          </cell>
          <cell r="D104">
            <v>104620</v>
          </cell>
          <cell r="E104">
            <v>78</v>
          </cell>
          <cell r="F104">
            <v>77.5</v>
          </cell>
          <cell r="G104">
            <v>-0.5</v>
          </cell>
          <cell r="H104">
            <v>-0.7</v>
          </cell>
          <cell r="I104">
            <v>3.8</v>
          </cell>
          <cell r="J104" t="str">
            <v>Bachelor's degree</v>
          </cell>
          <cell r="K104" t="str">
            <v>None</v>
          </cell>
          <cell r="L104" t="str">
            <v>None</v>
          </cell>
          <cell r="M104" t="str">
            <v>OOH Content</v>
          </cell>
        </row>
        <row r="105">
          <cell r="A105" t="str">
            <v>15-1243</v>
          </cell>
          <cell r="B105" t="str">
            <v xml:space="preserve">        Database architects</v>
          </cell>
          <cell r="C105" t="str">
            <v>Line item</v>
          </cell>
          <cell r="D105">
            <v>135980</v>
          </cell>
          <cell r="E105">
            <v>66.900000000000006</v>
          </cell>
          <cell r="F105">
            <v>72.7</v>
          </cell>
          <cell r="G105">
            <v>5.8</v>
          </cell>
          <cell r="H105">
            <v>8.6999999999999993</v>
          </cell>
          <cell r="I105">
            <v>4</v>
          </cell>
          <cell r="J105" t="str">
            <v>Bachelor's degree</v>
          </cell>
          <cell r="K105" t="str">
            <v>Less than 5 years</v>
          </cell>
          <cell r="L105" t="str">
            <v>None</v>
          </cell>
          <cell r="M105" t="str">
            <v>OOH Content</v>
          </cell>
        </row>
        <row r="106">
          <cell r="A106" t="str">
            <v>15-1244</v>
          </cell>
          <cell r="B106" t="str">
            <v xml:space="preserve">        Network and computer systems administrators</v>
          </cell>
          <cell r="C106" t="str">
            <v>Line item</v>
          </cell>
          <cell r="D106">
            <v>96800</v>
          </cell>
          <cell r="E106">
            <v>331.5</v>
          </cell>
          <cell r="F106">
            <v>317.7</v>
          </cell>
          <cell r="G106">
            <v>-13.8</v>
          </cell>
          <cell r="H106">
            <v>-4.2</v>
          </cell>
          <cell r="I106">
            <v>14.3</v>
          </cell>
          <cell r="J106" t="str">
            <v>Bachelor's degree</v>
          </cell>
          <cell r="K106" t="str">
            <v>None</v>
          </cell>
          <cell r="L106" t="str">
            <v>None</v>
          </cell>
          <cell r="M106" t="str">
            <v>OOH Content</v>
          </cell>
        </row>
        <row r="107">
          <cell r="A107" t="str">
            <v>15-1250</v>
          </cell>
          <cell r="B107" t="str">
            <v xml:space="preserve">      Software and web developers, programmers, and testers</v>
          </cell>
          <cell r="C107" t="str">
            <v>Summary</v>
          </cell>
          <cell r="D107">
            <v>129320</v>
          </cell>
          <cell r="E107">
            <v>2231.5</v>
          </cell>
          <cell r="F107">
            <v>2527.6999999999998</v>
          </cell>
          <cell r="G107">
            <v>296.10000000000002</v>
          </cell>
          <cell r="H107">
            <v>13.3</v>
          </cell>
          <cell r="I107">
            <v>149.19999999999999</v>
          </cell>
          <cell r="J107" t="str">
            <v>—</v>
          </cell>
          <cell r="K107" t="str">
            <v>—</v>
          </cell>
          <cell r="L107" t="str">
            <v>—</v>
          </cell>
          <cell r="M107" t="str">
            <v>—</v>
          </cell>
        </row>
        <row r="108">
          <cell r="A108" t="str">
            <v>15-1251</v>
          </cell>
          <cell r="B108" t="str">
            <v xml:space="preserve">        Computer programmers</v>
          </cell>
          <cell r="C108" t="str">
            <v>Line item</v>
          </cell>
          <cell r="D108">
            <v>98670</v>
          </cell>
          <cell r="E108">
            <v>121.2</v>
          </cell>
          <cell r="F108">
            <v>113.9</v>
          </cell>
          <cell r="G108">
            <v>-7.2</v>
          </cell>
          <cell r="H108">
            <v>-6</v>
          </cell>
          <cell r="I108">
            <v>5.5</v>
          </cell>
          <cell r="J108" t="str">
            <v>Bachelor's degree</v>
          </cell>
          <cell r="K108" t="str">
            <v>None</v>
          </cell>
          <cell r="L108" t="str">
            <v>None</v>
          </cell>
          <cell r="M108" t="str">
            <v>OOH Content</v>
          </cell>
        </row>
        <row r="109">
          <cell r="A109" t="str">
            <v>15-1252</v>
          </cell>
          <cell r="B109" t="str">
            <v xml:space="preserve">        Software developers</v>
          </cell>
          <cell r="C109" t="str">
            <v>Line item</v>
          </cell>
          <cell r="D109">
            <v>133080</v>
          </cell>
          <cell r="E109">
            <v>1693.8</v>
          </cell>
          <cell r="F109">
            <v>1961.4</v>
          </cell>
          <cell r="G109">
            <v>267.7</v>
          </cell>
          <cell r="H109">
            <v>15.8</v>
          </cell>
          <cell r="I109">
            <v>115.2</v>
          </cell>
          <cell r="J109" t="str">
            <v>Bachelor's degree</v>
          </cell>
          <cell r="K109" t="str">
            <v>None</v>
          </cell>
          <cell r="L109" t="str">
            <v>None</v>
          </cell>
          <cell r="M109" t="str">
            <v>OOH Content</v>
          </cell>
        </row>
        <row r="110">
          <cell r="A110" t="str">
            <v>15-1253</v>
          </cell>
          <cell r="B110" t="str">
            <v xml:space="preserve">        Software quality assurance analysts and testers</v>
          </cell>
          <cell r="C110" t="str">
            <v>Line item</v>
          </cell>
          <cell r="D110">
            <v>102610</v>
          </cell>
          <cell r="E110">
            <v>201.7</v>
          </cell>
          <cell r="F110">
            <v>221.9</v>
          </cell>
          <cell r="G110">
            <v>20.2</v>
          </cell>
          <cell r="H110">
            <v>10</v>
          </cell>
          <cell r="I110">
            <v>14</v>
          </cell>
          <cell r="J110" t="str">
            <v>Bachelor's degree</v>
          </cell>
          <cell r="K110" t="str">
            <v>None</v>
          </cell>
          <cell r="L110" t="str">
            <v>None</v>
          </cell>
          <cell r="M110" t="str">
            <v>OOH Content</v>
          </cell>
        </row>
        <row r="111">
          <cell r="A111" t="str">
            <v>15-1254</v>
          </cell>
          <cell r="B111" t="str">
            <v xml:space="preserve">        Web developers</v>
          </cell>
          <cell r="C111" t="str">
            <v>Line item</v>
          </cell>
          <cell r="D111">
            <v>90930</v>
          </cell>
          <cell r="E111">
            <v>86</v>
          </cell>
          <cell r="F111">
            <v>92.5</v>
          </cell>
          <cell r="G111">
            <v>6.5</v>
          </cell>
          <cell r="H111">
            <v>7.5</v>
          </cell>
          <cell r="I111">
            <v>5.4</v>
          </cell>
          <cell r="J111" t="str">
            <v>Bachelor's degree</v>
          </cell>
          <cell r="K111" t="str">
            <v>None</v>
          </cell>
          <cell r="L111" t="str">
            <v>None</v>
          </cell>
          <cell r="M111" t="str">
            <v>OOH Content</v>
          </cell>
        </row>
        <row r="112">
          <cell r="A112" t="str">
            <v>15-1255</v>
          </cell>
          <cell r="B112" t="str">
            <v xml:space="preserve">        Web and digital interface designers</v>
          </cell>
          <cell r="C112" t="str">
            <v>Line item</v>
          </cell>
          <cell r="D112">
            <v>98090</v>
          </cell>
          <cell r="E112">
            <v>128.9</v>
          </cell>
          <cell r="F112">
            <v>137.9</v>
          </cell>
          <cell r="G112">
            <v>9</v>
          </cell>
          <cell r="H112">
            <v>7</v>
          </cell>
          <cell r="I112">
            <v>9.1</v>
          </cell>
          <cell r="J112" t="str">
            <v>Bachelor's degree</v>
          </cell>
          <cell r="K112" t="str">
            <v>None</v>
          </cell>
          <cell r="L112" t="str">
            <v>None</v>
          </cell>
          <cell r="M112" t="str">
            <v>OOH Content</v>
          </cell>
        </row>
        <row r="113">
          <cell r="A113" t="str">
            <v>15-1299</v>
          </cell>
          <cell r="B113" t="str">
            <v xml:space="preserve">      Computer occupations, all other</v>
          </cell>
          <cell r="C113" t="str">
            <v>Line item</v>
          </cell>
          <cell r="D113">
            <v>108970</v>
          </cell>
          <cell r="E113">
            <v>472</v>
          </cell>
          <cell r="F113">
            <v>510.5</v>
          </cell>
          <cell r="G113">
            <v>38.5</v>
          </cell>
          <cell r="H113">
            <v>8.1999999999999993</v>
          </cell>
          <cell r="I113">
            <v>31.3</v>
          </cell>
          <cell r="J113" t="str">
            <v>Bachelor's degree</v>
          </cell>
          <cell r="K113" t="str">
            <v>None</v>
          </cell>
          <cell r="L113" t="str">
            <v>None</v>
          </cell>
          <cell r="M113" t="str">
            <v>—</v>
          </cell>
        </row>
        <row r="114">
          <cell r="A114" t="str">
            <v>15-2000</v>
          </cell>
          <cell r="B114" t="str">
            <v xml:space="preserve">    Mathematical science occupations</v>
          </cell>
          <cell r="C114" t="str">
            <v>Summary</v>
          </cell>
          <cell r="D114">
            <v>104620</v>
          </cell>
          <cell r="E114">
            <v>431.1</v>
          </cell>
          <cell r="F114">
            <v>547.9</v>
          </cell>
          <cell r="G114">
            <v>116.8</v>
          </cell>
          <cell r="H114">
            <v>27.1</v>
          </cell>
          <cell r="I114">
            <v>37.700000000000003</v>
          </cell>
          <cell r="J114" t="str">
            <v>—</v>
          </cell>
          <cell r="K114" t="str">
            <v>—</v>
          </cell>
          <cell r="L114" t="str">
            <v>—</v>
          </cell>
          <cell r="M114" t="str">
            <v>—</v>
          </cell>
        </row>
        <row r="115">
          <cell r="A115" t="str">
            <v>15-2011</v>
          </cell>
          <cell r="B115" t="str">
            <v xml:space="preserve">      Actuaries</v>
          </cell>
          <cell r="C115" t="str">
            <v>Line item</v>
          </cell>
          <cell r="D115">
            <v>125770</v>
          </cell>
          <cell r="E115">
            <v>33.6</v>
          </cell>
          <cell r="F115">
            <v>40.9</v>
          </cell>
          <cell r="G115">
            <v>7.3</v>
          </cell>
          <cell r="H115">
            <v>21.8</v>
          </cell>
          <cell r="I115">
            <v>2.4</v>
          </cell>
          <cell r="J115" t="str">
            <v>Bachelor's degree</v>
          </cell>
          <cell r="K115" t="str">
            <v>None</v>
          </cell>
          <cell r="L115" t="str">
            <v>Long-term on-the-job training</v>
          </cell>
          <cell r="M115" t="str">
            <v>OOH Content</v>
          </cell>
        </row>
        <row r="116">
          <cell r="A116" t="str">
            <v>15-2021</v>
          </cell>
          <cell r="B116" t="str">
            <v xml:space="preserve">      Mathematicians</v>
          </cell>
          <cell r="C116" t="str">
            <v>Line item</v>
          </cell>
          <cell r="D116">
            <v>121680</v>
          </cell>
          <cell r="E116">
            <v>2.4</v>
          </cell>
          <cell r="F116">
            <v>2.4</v>
          </cell>
          <cell r="G116">
            <v>0</v>
          </cell>
          <cell r="H116">
            <v>-0.7</v>
          </cell>
          <cell r="I116">
            <v>0.1</v>
          </cell>
          <cell r="J116" t="str">
            <v>Master's degree</v>
          </cell>
          <cell r="K116" t="str">
            <v>None</v>
          </cell>
          <cell r="L116" t="str">
            <v>None</v>
          </cell>
          <cell r="M116" t="str">
            <v>OOH Content</v>
          </cell>
        </row>
        <row r="117">
          <cell r="A117" t="str">
            <v>15-2031</v>
          </cell>
          <cell r="B117" t="str">
            <v xml:space="preserve">      Operations research analysts</v>
          </cell>
          <cell r="C117" t="str">
            <v>Line item</v>
          </cell>
          <cell r="D117">
            <v>91290</v>
          </cell>
          <cell r="E117">
            <v>112.1</v>
          </cell>
          <cell r="F117">
            <v>136.19999999999999</v>
          </cell>
          <cell r="G117">
            <v>24.1</v>
          </cell>
          <cell r="H117">
            <v>21.5</v>
          </cell>
          <cell r="I117">
            <v>9.6</v>
          </cell>
          <cell r="J117" t="str">
            <v>Bachelor's degree</v>
          </cell>
          <cell r="K117" t="str">
            <v>None</v>
          </cell>
          <cell r="L117" t="str">
            <v>None</v>
          </cell>
          <cell r="M117" t="str">
            <v>OOH Content</v>
          </cell>
        </row>
        <row r="118">
          <cell r="A118" t="str">
            <v>15-2041</v>
          </cell>
          <cell r="B118" t="str">
            <v xml:space="preserve">      Statisticians</v>
          </cell>
          <cell r="C118" t="str">
            <v>Line item</v>
          </cell>
          <cell r="D118">
            <v>103300</v>
          </cell>
          <cell r="E118">
            <v>32.200000000000003</v>
          </cell>
          <cell r="F118">
            <v>34.9</v>
          </cell>
          <cell r="G118">
            <v>2.7</v>
          </cell>
          <cell r="H118">
            <v>8.5</v>
          </cell>
          <cell r="I118">
            <v>2</v>
          </cell>
          <cell r="J118" t="str">
            <v>Master's degree</v>
          </cell>
          <cell r="K118" t="str">
            <v>None</v>
          </cell>
          <cell r="L118" t="str">
            <v>None</v>
          </cell>
          <cell r="M118" t="str">
            <v>OOH Content</v>
          </cell>
        </row>
        <row r="119">
          <cell r="A119" t="str">
            <v>15-2051</v>
          </cell>
          <cell r="B119" t="str">
            <v xml:space="preserve">      Data scientists</v>
          </cell>
          <cell r="C119" t="str">
            <v>Line item</v>
          </cell>
          <cell r="D119">
            <v>112590</v>
          </cell>
          <cell r="E119">
            <v>245.9</v>
          </cell>
          <cell r="F119">
            <v>328.3</v>
          </cell>
          <cell r="G119">
            <v>82.5</v>
          </cell>
          <cell r="H119">
            <v>33.5</v>
          </cell>
          <cell r="I119">
            <v>23.4</v>
          </cell>
          <cell r="J119" t="str">
            <v>Bachelor's degree</v>
          </cell>
          <cell r="K119" t="str">
            <v>None</v>
          </cell>
          <cell r="L119" t="str">
            <v>None</v>
          </cell>
          <cell r="M119" t="str">
            <v>OOH Content</v>
          </cell>
        </row>
        <row r="120">
          <cell r="A120" t="str">
            <v>15-2099</v>
          </cell>
          <cell r="B120" t="str">
            <v xml:space="preserve">      Mathematical science occupations, all other</v>
          </cell>
          <cell r="C120" t="str">
            <v>Line item</v>
          </cell>
          <cell r="D120">
            <v>71490</v>
          </cell>
          <cell r="E120">
            <v>5</v>
          </cell>
          <cell r="F120">
            <v>5.2</v>
          </cell>
          <cell r="G120">
            <v>0.2</v>
          </cell>
          <cell r="H120">
            <v>4</v>
          </cell>
          <cell r="I120">
            <v>0.3</v>
          </cell>
          <cell r="J120" t="str">
            <v>Bachelor's degree</v>
          </cell>
          <cell r="K120" t="str">
            <v>None</v>
          </cell>
          <cell r="L120" t="str">
            <v>None</v>
          </cell>
          <cell r="M120" t="str">
            <v>—</v>
          </cell>
        </row>
        <row r="121">
          <cell r="A121" t="str">
            <v>17-0000</v>
          </cell>
          <cell r="B121" t="str">
            <v xml:space="preserve">  Architecture and engineering occupations</v>
          </cell>
          <cell r="C121" t="str">
            <v>Summary</v>
          </cell>
          <cell r="D121">
            <v>97310</v>
          </cell>
          <cell r="E121">
            <v>2648.4</v>
          </cell>
          <cell r="F121">
            <v>2788.3</v>
          </cell>
          <cell r="G121">
            <v>139.9</v>
          </cell>
          <cell r="H121">
            <v>5.3</v>
          </cell>
          <cell r="I121">
            <v>186.5</v>
          </cell>
          <cell r="J121" t="str">
            <v>—</v>
          </cell>
          <cell r="K121" t="str">
            <v>—</v>
          </cell>
          <cell r="L121" t="str">
            <v>—</v>
          </cell>
          <cell r="M121" t="str">
            <v>—</v>
          </cell>
        </row>
        <row r="122">
          <cell r="A122" t="str">
            <v>17-1000</v>
          </cell>
          <cell r="B122" t="str">
            <v xml:space="preserve">    Architects, surveyors, and cartographers</v>
          </cell>
          <cell r="C122" t="str">
            <v>Summary</v>
          </cell>
          <cell r="D122">
            <v>82990</v>
          </cell>
          <cell r="E122">
            <v>215</v>
          </cell>
          <cell r="F122">
            <v>223.9</v>
          </cell>
          <cell r="G122">
            <v>8.9</v>
          </cell>
          <cell r="H122">
            <v>4.0999999999999996</v>
          </cell>
          <cell r="I122">
            <v>14.4</v>
          </cell>
          <cell r="J122" t="str">
            <v>—</v>
          </cell>
          <cell r="K122" t="str">
            <v>—</v>
          </cell>
          <cell r="L122" t="str">
            <v>—</v>
          </cell>
          <cell r="M122" t="str">
            <v>—</v>
          </cell>
        </row>
        <row r="123">
          <cell r="A123" t="str">
            <v>17-1010</v>
          </cell>
          <cell r="B123" t="str">
            <v xml:space="preserve">      Architects, except naval</v>
          </cell>
          <cell r="C123" t="str">
            <v>Summary</v>
          </cell>
          <cell r="D123">
            <v>94010</v>
          </cell>
          <cell r="E123">
            <v>145.4</v>
          </cell>
          <cell r="F123">
            <v>151</v>
          </cell>
          <cell r="G123">
            <v>5.6</v>
          </cell>
          <cell r="H123">
            <v>3.8</v>
          </cell>
          <cell r="I123">
            <v>9.5</v>
          </cell>
          <cell r="J123" t="str">
            <v>—</v>
          </cell>
          <cell r="K123" t="str">
            <v>—</v>
          </cell>
          <cell r="L123" t="str">
            <v>—</v>
          </cell>
          <cell r="M123" t="str">
            <v>—</v>
          </cell>
        </row>
        <row r="124">
          <cell r="A124" t="str">
            <v>17-1011</v>
          </cell>
          <cell r="B124" t="str">
            <v xml:space="preserve">        Architects, except landscape and naval</v>
          </cell>
          <cell r="C124" t="str">
            <v>Line item</v>
          </cell>
          <cell r="D124">
            <v>96690</v>
          </cell>
          <cell r="E124">
            <v>123.6</v>
          </cell>
          <cell r="F124">
            <v>128.4</v>
          </cell>
          <cell r="G124">
            <v>4.8</v>
          </cell>
          <cell r="H124">
            <v>3.9</v>
          </cell>
          <cell r="I124">
            <v>7.8</v>
          </cell>
          <cell r="J124" t="str">
            <v>Bachelor's degree</v>
          </cell>
          <cell r="K124" t="str">
            <v>None</v>
          </cell>
          <cell r="L124" t="str">
            <v>Internship/residency</v>
          </cell>
          <cell r="M124" t="str">
            <v>OOH Content</v>
          </cell>
        </row>
        <row r="125">
          <cell r="A125" t="str">
            <v>17-1012</v>
          </cell>
          <cell r="B125" t="str">
            <v xml:space="preserve">        Landscape architects</v>
          </cell>
          <cell r="C125" t="str">
            <v>Line item</v>
          </cell>
          <cell r="D125">
            <v>79660</v>
          </cell>
          <cell r="E125">
            <v>21.8</v>
          </cell>
          <cell r="F125">
            <v>22.6</v>
          </cell>
          <cell r="G125">
            <v>0.8</v>
          </cell>
          <cell r="H125">
            <v>3.5</v>
          </cell>
          <cell r="I125">
            <v>1.7</v>
          </cell>
          <cell r="J125" t="str">
            <v>Bachelor's degree</v>
          </cell>
          <cell r="K125" t="str">
            <v>None</v>
          </cell>
          <cell r="L125" t="str">
            <v>Internship/residency</v>
          </cell>
          <cell r="M125" t="str">
            <v>OOH Content</v>
          </cell>
        </row>
        <row r="126">
          <cell r="A126" t="str">
            <v>17-1020</v>
          </cell>
          <cell r="B126" t="str">
            <v xml:space="preserve">      Surveyors, cartographers, and photogrammetrists</v>
          </cell>
          <cell r="C126" t="str">
            <v>Summary</v>
          </cell>
          <cell r="D126">
            <v>74120</v>
          </cell>
          <cell r="E126">
            <v>69.599999999999994</v>
          </cell>
          <cell r="F126">
            <v>72.900000000000006</v>
          </cell>
          <cell r="G126">
            <v>3.3</v>
          </cell>
          <cell r="H126">
            <v>4.8</v>
          </cell>
          <cell r="I126">
            <v>4.9000000000000004</v>
          </cell>
          <cell r="J126" t="str">
            <v>—</v>
          </cell>
          <cell r="K126" t="str">
            <v>—</v>
          </cell>
          <cell r="L126" t="str">
            <v>—</v>
          </cell>
          <cell r="M126" t="str">
            <v>—</v>
          </cell>
        </row>
        <row r="127">
          <cell r="A127" t="str">
            <v>17-1021</v>
          </cell>
          <cell r="B127" t="str">
            <v xml:space="preserve">        Cartographers and photogrammetrists</v>
          </cell>
          <cell r="C127" t="str">
            <v>Line item</v>
          </cell>
          <cell r="D127">
            <v>78380</v>
          </cell>
          <cell r="E127">
            <v>13.4</v>
          </cell>
          <cell r="F127">
            <v>14.3</v>
          </cell>
          <cell r="G127">
            <v>0.9</v>
          </cell>
          <cell r="H127">
            <v>6.4</v>
          </cell>
          <cell r="I127">
            <v>1</v>
          </cell>
          <cell r="J127" t="str">
            <v>Bachelor's degree</v>
          </cell>
          <cell r="K127" t="str">
            <v>None</v>
          </cell>
          <cell r="L127" t="str">
            <v>None</v>
          </cell>
          <cell r="M127" t="str">
            <v>OOH Content</v>
          </cell>
        </row>
        <row r="128">
          <cell r="A128" t="str">
            <v>17-1022</v>
          </cell>
          <cell r="B128" t="str">
            <v xml:space="preserve">        Surveyors</v>
          </cell>
          <cell r="C128" t="str">
            <v>Line item</v>
          </cell>
          <cell r="D128">
            <v>72740</v>
          </cell>
          <cell r="E128">
            <v>56.1</v>
          </cell>
          <cell r="F128">
            <v>58.6</v>
          </cell>
          <cell r="G128">
            <v>2.5</v>
          </cell>
          <cell r="H128">
            <v>4.4000000000000004</v>
          </cell>
          <cell r="I128">
            <v>3.9</v>
          </cell>
          <cell r="J128" t="str">
            <v>Bachelor's degree</v>
          </cell>
          <cell r="K128" t="str">
            <v>None</v>
          </cell>
          <cell r="L128" t="str">
            <v>Internship/residency</v>
          </cell>
          <cell r="M128" t="str">
            <v>OOH Content</v>
          </cell>
        </row>
        <row r="129">
          <cell r="A129" t="str">
            <v>17-2000</v>
          </cell>
          <cell r="B129" t="str">
            <v xml:space="preserve">    Engineers</v>
          </cell>
          <cell r="C129" t="str">
            <v>Summary</v>
          </cell>
          <cell r="D129">
            <v>106070</v>
          </cell>
          <cell r="E129">
            <v>1790.3</v>
          </cell>
          <cell r="F129">
            <v>1913.3</v>
          </cell>
          <cell r="G129">
            <v>123</v>
          </cell>
          <cell r="H129">
            <v>6.9</v>
          </cell>
          <cell r="I129">
            <v>114.6</v>
          </cell>
          <cell r="J129" t="str">
            <v>—</v>
          </cell>
          <cell r="K129" t="str">
            <v>—</v>
          </cell>
          <cell r="L129" t="str">
            <v>—</v>
          </cell>
          <cell r="M129" t="str">
            <v>—</v>
          </cell>
        </row>
        <row r="130">
          <cell r="A130" t="str">
            <v>17-2011</v>
          </cell>
          <cell r="B130" t="str">
            <v xml:space="preserve">      Aerospace engineers</v>
          </cell>
          <cell r="C130" t="str">
            <v>Line item</v>
          </cell>
          <cell r="D130">
            <v>134830</v>
          </cell>
          <cell r="E130">
            <v>71.599999999999994</v>
          </cell>
          <cell r="F130">
            <v>75.900000000000006</v>
          </cell>
          <cell r="G130">
            <v>4.4000000000000004</v>
          </cell>
          <cell r="H130">
            <v>6.1</v>
          </cell>
          <cell r="I130">
            <v>4.5</v>
          </cell>
          <cell r="J130" t="str">
            <v>Bachelor's degree</v>
          </cell>
          <cell r="K130" t="str">
            <v>None</v>
          </cell>
          <cell r="L130" t="str">
            <v>None</v>
          </cell>
          <cell r="M130" t="str">
            <v>OOH Content</v>
          </cell>
        </row>
        <row r="131">
          <cell r="A131" t="str">
            <v>17-2021</v>
          </cell>
          <cell r="B131" t="str">
            <v xml:space="preserve">      Agricultural engineers</v>
          </cell>
          <cell r="C131" t="str">
            <v>Line item</v>
          </cell>
          <cell r="D131">
            <v>84630</v>
          </cell>
          <cell r="E131">
            <v>1.7</v>
          </cell>
          <cell r="F131">
            <v>1.8</v>
          </cell>
          <cell r="G131">
            <v>0.1</v>
          </cell>
          <cell r="H131">
            <v>5.9</v>
          </cell>
          <cell r="I131">
            <v>0.1</v>
          </cell>
          <cell r="J131" t="str">
            <v>Bachelor's degree</v>
          </cell>
          <cell r="K131" t="str">
            <v>None</v>
          </cell>
          <cell r="L131" t="str">
            <v>None</v>
          </cell>
          <cell r="M131" t="str">
            <v>OOH Content</v>
          </cell>
        </row>
        <row r="132">
          <cell r="A132" t="str">
            <v>17-2031</v>
          </cell>
          <cell r="B132" t="str">
            <v xml:space="preserve">      Bioengineers and biomedical engineers</v>
          </cell>
          <cell r="C132" t="str">
            <v>Line item</v>
          </cell>
          <cell r="D132">
            <v>106950</v>
          </cell>
          <cell r="E132">
            <v>22.2</v>
          </cell>
          <cell r="F132">
            <v>23.3</v>
          </cell>
          <cell r="G132">
            <v>1.1000000000000001</v>
          </cell>
          <cell r="H132">
            <v>5.2</v>
          </cell>
          <cell r="I132">
            <v>1.3</v>
          </cell>
          <cell r="J132" t="str">
            <v>Bachelor's degree</v>
          </cell>
          <cell r="K132" t="str">
            <v>None</v>
          </cell>
          <cell r="L132" t="str">
            <v>None</v>
          </cell>
          <cell r="M132" t="str">
            <v>OOH Content</v>
          </cell>
        </row>
        <row r="133">
          <cell r="A133" t="str">
            <v>17-2041</v>
          </cell>
          <cell r="B133" t="str">
            <v xml:space="preserve">      Chemical engineers</v>
          </cell>
          <cell r="C133" t="str">
            <v>Line item</v>
          </cell>
          <cell r="D133">
            <v>121860</v>
          </cell>
          <cell r="E133">
            <v>21.6</v>
          </cell>
          <cell r="F133">
            <v>22.1</v>
          </cell>
          <cell r="G133">
            <v>0.6</v>
          </cell>
          <cell r="H133">
            <v>2.6</v>
          </cell>
          <cell r="I133">
            <v>1.1000000000000001</v>
          </cell>
          <cell r="J133" t="str">
            <v>Bachelor's degree</v>
          </cell>
          <cell r="K133" t="str">
            <v>None</v>
          </cell>
          <cell r="L133" t="str">
            <v>None</v>
          </cell>
          <cell r="M133" t="str">
            <v>OOH Content</v>
          </cell>
        </row>
        <row r="134">
          <cell r="A134" t="str">
            <v>17-2051</v>
          </cell>
          <cell r="B134" t="str">
            <v xml:space="preserve">      Civil engineers</v>
          </cell>
          <cell r="C134" t="str">
            <v>Line item</v>
          </cell>
          <cell r="D134">
            <v>99590</v>
          </cell>
          <cell r="E134">
            <v>368.9</v>
          </cell>
          <cell r="F134">
            <v>387.5</v>
          </cell>
          <cell r="G134">
            <v>18.5</v>
          </cell>
          <cell r="H134">
            <v>5</v>
          </cell>
          <cell r="I134">
            <v>23.6</v>
          </cell>
          <cell r="J134" t="str">
            <v>Bachelor's degree</v>
          </cell>
          <cell r="K134" t="str">
            <v>None</v>
          </cell>
          <cell r="L134" t="str">
            <v>None</v>
          </cell>
          <cell r="M134" t="str">
            <v>OOH Content</v>
          </cell>
        </row>
        <row r="135">
          <cell r="A135" t="str">
            <v>17-2061</v>
          </cell>
          <cell r="B135" t="str">
            <v xml:space="preserve">      Computer hardware engineers</v>
          </cell>
          <cell r="C135" t="str">
            <v>Line item</v>
          </cell>
          <cell r="D135">
            <v>155020</v>
          </cell>
          <cell r="E135">
            <v>76.8</v>
          </cell>
          <cell r="F135">
            <v>82.4</v>
          </cell>
          <cell r="G135">
            <v>5.6</v>
          </cell>
          <cell r="H135">
            <v>7.3</v>
          </cell>
          <cell r="I135">
            <v>4.7</v>
          </cell>
          <cell r="J135" t="str">
            <v>Bachelor's degree</v>
          </cell>
          <cell r="K135" t="str">
            <v>None</v>
          </cell>
          <cell r="L135" t="str">
            <v>None</v>
          </cell>
          <cell r="M135" t="str">
            <v>OOH Content</v>
          </cell>
        </row>
        <row r="136">
          <cell r="A136" t="str">
            <v>17-2070</v>
          </cell>
          <cell r="B136" t="str">
            <v xml:space="preserve">      Electrical and electronics engineers</v>
          </cell>
          <cell r="C136" t="str">
            <v>Summary</v>
          </cell>
          <cell r="D136">
            <v>118780</v>
          </cell>
          <cell r="E136">
            <v>287.89999999999998</v>
          </cell>
          <cell r="F136">
            <v>307.60000000000002</v>
          </cell>
          <cell r="G136">
            <v>19.7</v>
          </cell>
          <cell r="H136">
            <v>6.9</v>
          </cell>
          <cell r="I136">
            <v>17.5</v>
          </cell>
          <cell r="J136" t="str">
            <v>—</v>
          </cell>
          <cell r="K136" t="str">
            <v>—</v>
          </cell>
          <cell r="L136" t="str">
            <v>—</v>
          </cell>
          <cell r="M136" t="str">
            <v>—</v>
          </cell>
        </row>
        <row r="137">
          <cell r="A137" t="str">
            <v>17-2071</v>
          </cell>
          <cell r="B137" t="str">
            <v xml:space="preserve">        Electrical engineers</v>
          </cell>
          <cell r="C137" t="str">
            <v>Line item</v>
          </cell>
          <cell r="D137">
            <v>111910</v>
          </cell>
          <cell r="E137">
            <v>192</v>
          </cell>
          <cell r="F137">
            <v>205.7</v>
          </cell>
          <cell r="G137">
            <v>13.8</v>
          </cell>
          <cell r="H137">
            <v>7.2</v>
          </cell>
          <cell r="I137">
            <v>11.7</v>
          </cell>
          <cell r="J137" t="str">
            <v>Bachelor's degree</v>
          </cell>
          <cell r="K137" t="str">
            <v>None</v>
          </cell>
          <cell r="L137" t="str">
            <v>None</v>
          </cell>
          <cell r="M137" t="str">
            <v>OOH Content</v>
          </cell>
        </row>
        <row r="138">
          <cell r="A138" t="str">
            <v>17-2072</v>
          </cell>
          <cell r="B138" t="str">
            <v xml:space="preserve">        Electronics engineers, except computer</v>
          </cell>
          <cell r="C138" t="str">
            <v>Line item</v>
          </cell>
          <cell r="D138">
            <v>127590</v>
          </cell>
          <cell r="E138">
            <v>95.9</v>
          </cell>
          <cell r="F138">
            <v>101.8</v>
          </cell>
          <cell r="G138">
            <v>6</v>
          </cell>
          <cell r="H138">
            <v>6.2</v>
          </cell>
          <cell r="I138">
            <v>5.7</v>
          </cell>
          <cell r="J138" t="str">
            <v>Bachelor's degree</v>
          </cell>
          <cell r="K138" t="str">
            <v>None</v>
          </cell>
          <cell r="L138" t="str">
            <v>None</v>
          </cell>
          <cell r="M138" t="str">
            <v>OOH Content</v>
          </cell>
        </row>
        <row r="139">
          <cell r="A139" t="str">
            <v>17-2081</v>
          </cell>
          <cell r="B139" t="str">
            <v xml:space="preserve">      Environmental engineers</v>
          </cell>
          <cell r="C139" t="str">
            <v>Line item</v>
          </cell>
          <cell r="D139">
            <v>104170</v>
          </cell>
          <cell r="E139">
            <v>39.4</v>
          </cell>
          <cell r="F139">
            <v>41</v>
          </cell>
          <cell r="G139">
            <v>1.5</v>
          </cell>
          <cell r="H139">
            <v>3.9</v>
          </cell>
          <cell r="I139">
            <v>3</v>
          </cell>
          <cell r="J139" t="str">
            <v>Bachelor's degree</v>
          </cell>
          <cell r="K139" t="str">
            <v>None</v>
          </cell>
          <cell r="L139" t="str">
            <v>None</v>
          </cell>
          <cell r="M139" t="str">
            <v>OOH Content</v>
          </cell>
        </row>
        <row r="140">
          <cell r="A140" t="str">
            <v>17-2110</v>
          </cell>
          <cell r="B140" t="str">
            <v xml:space="preserve">      Industrial engineers, including health and safety</v>
          </cell>
          <cell r="C140" t="str">
            <v>Summary</v>
          </cell>
          <cell r="D140">
            <v>101490</v>
          </cell>
          <cell r="E140">
            <v>374.9</v>
          </cell>
          <cell r="F140">
            <v>414.5</v>
          </cell>
          <cell r="G140">
            <v>39.6</v>
          </cell>
          <cell r="H140">
            <v>10.6</v>
          </cell>
          <cell r="I140">
            <v>26.8</v>
          </cell>
          <cell r="J140" t="str">
            <v>—</v>
          </cell>
          <cell r="K140" t="str">
            <v>—</v>
          </cell>
          <cell r="L140" t="str">
            <v>—</v>
          </cell>
          <cell r="M140" t="str">
            <v>—</v>
          </cell>
        </row>
        <row r="141">
          <cell r="A141" t="str">
            <v>17-2111</v>
          </cell>
          <cell r="B141" t="str">
            <v xml:space="preserve">        Health and safety engineers, except mining safety engineers and inspectors</v>
          </cell>
          <cell r="C141" t="str">
            <v>Line item</v>
          </cell>
          <cell r="D141">
            <v>109660</v>
          </cell>
          <cell r="E141">
            <v>23.8</v>
          </cell>
          <cell r="F141">
            <v>24.9</v>
          </cell>
          <cell r="G141">
            <v>1.1000000000000001</v>
          </cell>
          <cell r="H141">
            <v>4.4000000000000004</v>
          </cell>
          <cell r="I141">
            <v>1.5</v>
          </cell>
          <cell r="J141" t="str">
            <v>Bachelor's degree</v>
          </cell>
          <cell r="K141" t="str">
            <v>None</v>
          </cell>
          <cell r="L141" t="str">
            <v>None</v>
          </cell>
          <cell r="M141" t="str">
            <v>OOH Content</v>
          </cell>
        </row>
        <row r="142">
          <cell r="A142" t="str">
            <v>17-2112</v>
          </cell>
          <cell r="B142" t="str">
            <v xml:space="preserve">        Industrial engineers</v>
          </cell>
          <cell r="C142" t="str">
            <v>Line item</v>
          </cell>
          <cell r="D142">
            <v>101140</v>
          </cell>
          <cell r="E142">
            <v>351.1</v>
          </cell>
          <cell r="F142">
            <v>389.6</v>
          </cell>
          <cell r="G142">
            <v>38.5</v>
          </cell>
          <cell r="H142">
            <v>11</v>
          </cell>
          <cell r="I142">
            <v>25.2</v>
          </cell>
          <cell r="J142" t="str">
            <v>Bachelor's degree</v>
          </cell>
          <cell r="K142" t="str">
            <v>None</v>
          </cell>
          <cell r="L142" t="str">
            <v>None</v>
          </cell>
          <cell r="M142" t="str">
            <v>OOH Content</v>
          </cell>
        </row>
        <row r="143">
          <cell r="A143" t="str">
            <v>17-2121</v>
          </cell>
          <cell r="B143" t="str">
            <v xml:space="preserve">      Marine engineers and naval architects</v>
          </cell>
          <cell r="C143" t="str">
            <v>Line item</v>
          </cell>
          <cell r="D143">
            <v>105670</v>
          </cell>
          <cell r="E143">
            <v>8.5</v>
          </cell>
          <cell r="F143">
            <v>9</v>
          </cell>
          <cell r="G143">
            <v>0.5</v>
          </cell>
          <cell r="H143">
            <v>5.8</v>
          </cell>
          <cell r="I143">
            <v>0.6</v>
          </cell>
          <cell r="J143" t="str">
            <v>Bachelor's degree</v>
          </cell>
          <cell r="K143" t="str">
            <v>None</v>
          </cell>
          <cell r="L143" t="str">
            <v>None</v>
          </cell>
          <cell r="M143" t="str">
            <v>OOH Content</v>
          </cell>
        </row>
        <row r="144">
          <cell r="A144" t="str">
            <v>17-2131</v>
          </cell>
          <cell r="B144" t="str">
            <v xml:space="preserve">      Materials engineers</v>
          </cell>
          <cell r="C144" t="str">
            <v>Line item</v>
          </cell>
          <cell r="D144">
            <v>108310</v>
          </cell>
          <cell r="E144">
            <v>23</v>
          </cell>
          <cell r="F144">
            <v>24.3</v>
          </cell>
          <cell r="G144">
            <v>1.3</v>
          </cell>
          <cell r="H144">
            <v>5.7</v>
          </cell>
          <cell r="I144">
            <v>1.5</v>
          </cell>
          <cell r="J144" t="str">
            <v>Bachelor's degree</v>
          </cell>
          <cell r="K144" t="str">
            <v>None</v>
          </cell>
          <cell r="L144" t="str">
            <v>None</v>
          </cell>
          <cell r="M144" t="str">
            <v>OOH Content</v>
          </cell>
        </row>
        <row r="145">
          <cell r="A145" t="str">
            <v>17-2141</v>
          </cell>
          <cell r="B145" t="str">
            <v xml:space="preserve">      Mechanical engineers</v>
          </cell>
          <cell r="C145" t="str">
            <v>Line item</v>
          </cell>
          <cell r="D145">
            <v>102320</v>
          </cell>
          <cell r="E145">
            <v>293.10000000000002</v>
          </cell>
          <cell r="F145">
            <v>319.60000000000002</v>
          </cell>
          <cell r="G145">
            <v>26.5</v>
          </cell>
          <cell r="H145">
            <v>9.1</v>
          </cell>
          <cell r="I145">
            <v>18.100000000000001</v>
          </cell>
          <cell r="J145" t="str">
            <v>Bachelor's degree</v>
          </cell>
          <cell r="K145" t="str">
            <v>None</v>
          </cell>
          <cell r="L145" t="str">
            <v>None</v>
          </cell>
          <cell r="M145" t="str">
            <v>OOH Content</v>
          </cell>
        </row>
        <row r="146">
          <cell r="A146" t="str">
            <v>17-2151</v>
          </cell>
          <cell r="B146" t="str">
            <v xml:space="preserve">      Mining and geological engineers, including mining safety engineers</v>
          </cell>
          <cell r="C146" t="str">
            <v>Line item</v>
          </cell>
          <cell r="D146">
            <v>101020</v>
          </cell>
          <cell r="E146">
            <v>7</v>
          </cell>
          <cell r="F146">
            <v>7</v>
          </cell>
          <cell r="G146">
            <v>0</v>
          </cell>
          <cell r="H146">
            <v>0.7</v>
          </cell>
          <cell r="I146">
            <v>0.4</v>
          </cell>
          <cell r="J146" t="str">
            <v>Bachelor's degree</v>
          </cell>
          <cell r="K146" t="str">
            <v>None</v>
          </cell>
          <cell r="L146" t="str">
            <v>None</v>
          </cell>
          <cell r="M146" t="str">
            <v>OOH Content</v>
          </cell>
        </row>
        <row r="147">
          <cell r="A147" t="str">
            <v>17-2161</v>
          </cell>
          <cell r="B147" t="str">
            <v xml:space="preserve">      Nuclear engineers</v>
          </cell>
          <cell r="C147" t="str">
            <v>Line item</v>
          </cell>
          <cell r="D147">
            <v>127520</v>
          </cell>
          <cell r="E147">
            <v>15.4</v>
          </cell>
          <cell r="F147">
            <v>15.3</v>
          </cell>
          <cell r="G147">
            <v>-0.2</v>
          </cell>
          <cell r="H147">
            <v>-1.1000000000000001</v>
          </cell>
          <cell r="I147">
            <v>0.8</v>
          </cell>
          <cell r="J147" t="str">
            <v>Bachelor's degree</v>
          </cell>
          <cell r="K147" t="str">
            <v>None</v>
          </cell>
          <cell r="L147" t="str">
            <v>None</v>
          </cell>
          <cell r="M147" t="str">
            <v>OOH Content</v>
          </cell>
        </row>
        <row r="148">
          <cell r="A148" t="str">
            <v>17-2171</v>
          </cell>
          <cell r="B148" t="str">
            <v xml:space="preserve">      Petroleum engineers</v>
          </cell>
          <cell r="C148" t="str">
            <v>Line item</v>
          </cell>
          <cell r="D148">
            <v>141280</v>
          </cell>
          <cell r="E148">
            <v>19.600000000000001</v>
          </cell>
          <cell r="F148">
            <v>19.8</v>
          </cell>
          <cell r="G148">
            <v>0.2</v>
          </cell>
          <cell r="H148">
            <v>1.3</v>
          </cell>
          <cell r="I148">
            <v>1.2</v>
          </cell>
          <cell r="J148" t="str">
            <v>Bachelor's degree</v>
          </cell>
          <cell r="K148" t="str">
            <v>None</v>
          </cell>
          <cell r="L148" t="str">
            <v>None</v>
          </cell>
          <cell r="M148" t="str">
            <v>OOH Content</v>
          </cell>
        </row>
        <row r="149">
          <cell r="A149" t="str">
            <v>17-2199</v>
          </cell>
          <cell r="B149" t="str">
            <v xml:space="preserve">      Engineers, all other</v>
          </cell>
          <cell r="C149" t="str">
            <v>Line item</v>
          </cell>
          <cell r="D149">
            <v>117750</v>
          </cell>
          <cell r="E149">
            <v>158.80000000000001</v>
          </cell>
          <cell r="F149">
            <v>162.1</v>
          </cell>
          <cell r="G149">
            <v>3.3</v>
          </cell>
          <cell r="H149">
            <v>2.1</v>
          </cell>
          <cell r="I149">
            <v>9.3000000000000007</v>
          </cell>
          <cell r="J149" t="str">
            <v>Bachelor's degree</v>
          </cell>
          <cell r="K149" t="str">
            <v>None</v>
          </cell>
          <cell r="L149" t="str">
            <v>None</v>
          </cell>
          <cell r="M149" t="str">
            <v>—</v>
          </cell>
        </row>
        <row r="150">
          <cell r="A150" t="str">
            <v>17-3000</v>
          </cell>
          <cell r="B150" t="str">
            <v xml:space="preserve">    Drafters, engineering technicians, and mapping technicians</v>
          </cell>
          <cell r="C150" t="str">
            <v>Summary</v>
          </cell>
          <cell r="D150">
            <v>66390</v>
          </cell>
          <cell r="E150">
            <v>643.1</v>
          </cell>
          <cell r="F150">
            <v>651.20000000000005</v>
          </cell>
          <cell r="G150">
            <v>8.1</v>
          </cell>
          <cell r="H150">
            <v>1.3</v>
          </cell>
          <cell r="I150">
            <v>57.5</v>
          </cell>
          <cell r="J150" t="str">
            <v>—</v>
          </cell>
          <cell r="K150" t="str">
            <v>—</v>
          </cell>
          <cell r="L150" t="str">
            <v>—</v>
          </cell>
          <cell r="M150" t="str">
            <v>—</v>
          </cell>
        </row>
        <row r="151">
          <cell r="A151" t="str">
            <v>17-3010</v>
          </cell>
          <cell r="B151" t="str">
            <v xml:space="preserve">      Drafters</v>
          </cell>
          <cell r="C151" t="str">
            <v>Summary</v>
          </cell>
          <cell r="D151">
            <v>65380</v>
          </cell>
          <cell r="E151">
            <v>192.1</v>
          </cell>
          <cell r="F151">
            <v>191.5</v>
          </cell>
          <cell r="G151">
            <v>-0.6</v>
          </cell>
          <cell r="H151">
            <v>-0.3</v>
          </cell>
          <cell r="I151">
            <v>16.2</v>
          </cell>
          <cell r="J151" t="str">
            <v>—</v>
          </cell>
          <cell r="K151" t="str">
            <v>—</v>
          </cell>
          <cell r="L151" t="str">
            <v>—</v>
          </cell>
          <cell r="M151" t="str">
            <v>—</v>
          </cell>
        </row>
        <row r="152">
          <cell r="A152" t="str">
            <v>17-3011</v>
          </cell>
          <cell r="B152" t="str">
            <v xml:space="preserve">        Architectural and civil drafters</v>
          </cell>
          <cell r="C152" t="str">
            <v>Line item</v>
          </cell>
          <cell r="D152">
            <v>64280</v>
          </cell>
          <cell r="E152">
            <v>110.5</v>
          </cell>
          <cell r="F152">
            <v>115.1</v>
          </cell>
          <cell r="G152">
            <v>4.5999999999999996</v>
          </cell>
          <cell r="H152">
            <v>4.0999999999999996</v>
          </cell>
          <cell r="I152">
            <v>10</v>
          </cell>
          <cell r="J152" t="str">
            <v>Associate's degree</v>
          </cell>
          <cell r="K152" t="str">
            <v>None</v>
          </cell>
          <cell r="L152" t="str">
            <v>None</v>
          </cell>
          <cell r="M152" t="str">
            <v>OOH Content</v>
          </cell>
        </row>
        <row r="153">
          <cell r="A153" t="str">
            <v>17-3012</v>
          </cell>
          <cell r="B153" t="str">
            <v xml:space="preserve">        Electrical and electronics drafters</v>
          </cell>
          <cell r="C153" t="str">
            <v>Line item</v>
          </cell>
          <cell r="D153">
            <v>73720</v>
          </cell>
          <cell r="E153">
            <v>21.6</v>
          </cell>
          <cell r="F153">
            <v>20.399999999999999</v>
          </cell>
          <cell r="G153">
            <v>-1.2</v>
          </cell>
          <cell r="H153">
            <v>-5.6</v>
          </cell>
          <cell r="I153">
            <v>1.7</v>
          </cell>
          <cell r="J153" t="str">
            <v>Associate's degree</v>
          </cell>
          <cell r="K153" t="str">
            <v>None</v>
          </cell>
          <cell r="L153" t="str">
            <v>None</v>
          </cell>
          <cell r="M153" t="str">
            <v>OOH Content</v>
          </cell>
        </row>
        <row r="154">
          <cell r="A154" t="str">
            <v>17-3013</v>
          </cell>
          <cell r="B154" t="str">
            <v xml:space="preserve">        Mechanical drafters</v>
          </cell>
          <cell r="C154" t="str">
            <v>Line item</v>
          </cell>
          <cell r="D154">
            <v>68510</v>
          </cell>
          <cell r="E154">
            <v>42.9</v>
          </cell>
          <cell r="F154">
            <v>40.1</v>
          </cell>
          <cell r="G154">
            <v>-2.8</v>
          </cell>
          <cell r="H154">
            <v>-6.5</v>
          </cell>
          <cell r="I154">
            <v>3.3</v>
          </cell>
          <cell r="J154" t="str">
            <v>Associate's degree</v>
          </cell>
          <cell r="K154" t="str">
            <v>None</v>
          </cell>
          <cell r="L154" t="str">
            <v>None</v>
          </cell>
          <cell r="M154" t="str">
            <v>OOH Content</v>
          </cell>
        </row>
        <row r="155">
          <cell r="A155" t="str">
            <v>17-3019</v>
          </cell>
          <cell r="B155" t="str">
            <v xml:space="preserve">        Drafters, all other</v>
          </cell>
          <cell r="C155" t="str">
            <v>Line item</v>
          </cell>
          <cell r="D155">
            <v>62010</v>
          </cell>
          <cell r="E155">
            <v>17.100000000000001</v>
          </cell>
          <cell r="F155">
            <v>15.9</v>
          </cell>
          <cell r="G155">
            <v>-1.2</v>
          </cell>
          <cell r="H155">
            <v>-6.9</v>
          </cell>
          <cell r="I155">
            <v>1.3</v>
          </cell>
          <cell r="J155" t="str">
            <v>Associate's degree</v>
          </cell>
          <cell r="K155" t="str">
            <v>None</v>
          </cell>
          <cell r="L155" t="str">
            <v>None</v>
          </cell>
          <cell r="M155" t="str">
            <v>OOH Content</v>
          </cell>
        </row>
        <row r="156">
          <cell r="A156" t="str">
            <v>17-3020</v>
          </cell>
          <cell r="B156" t="str">
            <v xml:space="preserve">      Engineering technologists and technicians, except drafters</v>
          </cell>
          <cell r="C156" t="str">
            <v>Summary</v>
          </cell>
          <cell r="D156">
            <v>70070</v>
          </cell>
          <cell r="E156">
            <v>391.6</v>
          </cell>
          <cell r="F156">
            <v>397.7</v>
          </cell>
          <cell r="G156">
            <v>6</v>
          </cell>
          <cell r="H156">
            <v>1.5</v>
          </cell>
          <cell r="I156">
            <v>33.700000000000003</v>
          </cell>
          <cell r="J156" t="str">
            <v>—</v>
          </cell>
          <cell r="K156" t="str">
            <v>—</v>
          </cell>
          <cell r="L156" t="str">
            <v>—</v>
          </cell>
          <cell r="M156" t="str">
            <v>—</v>
          </cell>
        </row>
        <row r="157">
          <cell r="A157" t="str">
            <v>17-3021</v>
          </cell>
          <cell r="B157" t="str">
            <v xml:space="preserve">        Aerospace engineering and operations technologists and technicians</v>
          </cell>
          <cell r="C157" t="str">
            <v>Line item</v>
          </cell>
          <cell r="D157">
            <v>79830</v>
          </cell>
          <cell r="E157">
            <v>9.3000000000000007</v>
          </cell>
          <cell r="F157">
            <v>10.1</v>
          </cell>
          <cell r="G157">
            <v>0.8</v>
          </cell>
          <cell r="H157">
            <v>8.1</v>
          </cell>
          <cell r="I157">
            <v>0.9</v>
          </cell>
          <cell r="J157" t="str">
            <v>Associate's degree</v>
          </cell>
          <cell r="K157" t="str">
            <v>None</v>
          </cell>
          <cell r="L157" t="str">
            <v>None</v>
          </cell>
          <cell r="M157" t="str">
            <v>OOH Content</v>
          </cell>
        </row>
        <row r="158">
          <cell r="A158" t="str">
            <v>17-3022</v>
          </cell>
          <cell r="B158" t="str">
            <v xml:space="preserve">        Civil engineering technologists and technicians</v>
          </cell>
          <cell r="C158" t="str">
            <v>Line item</v>
          </cell>
          <cell r="D158">
            <v>64200</v>
          </cell>
          <cell r="E158">
            <v>64.900000000000006</v>
          </cell>
          <cell r="F158">
            <v>66.2</v>
          </cell>
          <cell r="G158">
            <v>1.4</v>
          </cell>
          <cell r="H158">
            <v>2.1</v>
          </cell>
          <cell r="I158">
            <v>5.5</v>
          </cell>
          <cell r="J158" t="str">
            <v>Associate's degree</v>
          </cell>
          <cell r="K158" t="str">
            <v>None</v>
          </cell>
          <cell r="L158" t="str">
            <v>None</v>
          </cell>
          <cell r="M158" t="str">
            <v>OOH Content</v>
          </cell>
        </row>
        <row r="159">
          <cell r="A159" t="str">
            <v>17-3023</v>
          </cell>
          <cell r="B159" t="str">
            <v xml:space="preserve">        Electrical and electronic engineering technologists and technicians</v>
          </cell>
          <cell r="C159" t="str">
            <v>Line item</v>
          </cell>
          <cell r="D159">
            <v>77180</v>
          </cell>
          <cell r="E159">
            <v>93.7</v>
          </cell>
          <cell r="F159">
            <v>94.3</v>
          </cell>
          <cell r="G159">
            <v>0.6</v>
          </cell>
          <cell r="H159">
            <v>0.6</v>
          </cell>
          <cell r="I159">
            <v>8.4</v>
          </cell>
          <cell r="J159" t="str">
            <v>Associate's degree</v>
          </cell>
          <cell r="K159" t="str">
            <v>None</v>
          </cell>
          <cell r="L159" t="str">
            <v>None</v>
          </cell>
          <cell r="M159" t="str">
            <v>OOH Content</v>
          </cell>
        </row>
        <row r="160">
          <cell r="A160" t="str">
            <v>17-3024</v>
          </cell>
          <cell r="B160" t="str">
            <v xml:space="preserve">        Electro-mechanical and mechatronics technologists and technicians</v>
          </cell>
          <cell r="C160" t="str">
            <v>Line item</v>
          </cell>
          <cell r="D160">
            <v>70760</v>
          </cell>
          <cell r="E160">
            <v>15</v>
          </cell>
          <cell r="F160">
            <v>15.1</v>
          </cell>
          <cell r="G160">
            <v>0.2</v>
          </cell>
          <cell r="H160">
            <v>1.1000000000000001</v>
          </cell>
          <cell r="I160">
            <v>1.3</v>
          </cell>
          <cell r="J160" t="str">
            <v>Associate's degree</v>
          </cell>
          <cell r="K160" t="str">
            <v>None</v>
          </cell>
          <cell r="L160" t="str">
            <v>None</v>
          </cell>
          <cell r="M160" t="str">
            <v>OOH Content</v>
          </cell>
        </row>
        <row r="161">
          <cell r="A161" t="str">
            <v>17-3025</v>
          </cell>
          <cell r="B161" t="str">
            <v xml:space="preserve">        Environmental engineering technologists and technicians</v>
          </cell>
          <cell r="C161" t="str">
            <v>Line item</v>
          </cell>
          <cell r="D161">
            <v>58890</v>
          </cell>
          <cell r="E161">
            <v>12.9</v>
          </cell>
          <cell r="F161">
            <v>13</v>
          </cell>
          <cell r="G161">
            <v>0.1</v>
          </cell>
          <cell r="H161">
            <v>1.2</v>
          </cell>
          <cell r="I161">
            <v>1.1000000000000001</v>
          </cell>
          <cell r="J161" t="str">
            <v>Associate's degree</v>
          </cell>
          <cell r="K161" t="str">
            <v>None</v>
          </cell>
          <cell r="L161" t="str">
            <v>None</v>
          </cell>
          <cell r="M161" t="str">
            <v>OOH Content</v>
          </cell>
        </row>
        <row r="162">
          <cell r="A162" t="str">
            <v>17-3026</v>
          </cell>
          <cell r="B162" t="str">
            <v xml:space="preserve">        Industrial engineering technologists and technicians</v>
          </cell>
          <cell r="C162" t="str">
            <v>Line item</v>
          </cell>
          <cell r="D162">
            <v>64790</v>
          </cell>
          <cell r="E162">
            <v>74.599999999999994</v>
          </cell>
          <cell r="F162">
            <v>75.900000000000006</v>
          </cell>
          <cell r="G162">
            <v>1.3</v>
          </cell>
          <cell r="H162">
            <v>1.7</v>
          </cell>
          <cell r="I162">
            <v>6.3</v>
          </cell>
          <cell r="J162" t="str">
            <v>Associate's degree</v>
          </cell>
          <cell r="K162" t="str">
            <v>None</v>
          </cell>
          <cell r="L162" t="str">
            <v>None</v>
          </cell>
          <cell r="M162" t="str">
            <v>OOH Content</v>
          </cell>
        </row>
        <row r="163">
          <cell r="A163" t="str">
            <v>17-3027</v>
          </cell>
          <cell r="B163" t="str">
            <v xml:space="preserve">        Mechanical engineering technologists and technicians</v>
          </cell>
          <cell r="C163" t="str">
            <v>Line item</v>
          </cell>
          <cell r="D163">
            <v>68730</v>
          </cell>
          <cell r="E163">
            <v>38.299999999999997</v>
          </cell>
          <cell r="F163">
            <v>38.299999999999997</v>
          </cell>
          <cell r="G163">
            <v>0</v>
          </cell>
          <cell r="H163">
            <v>0</v>
          </cell>
          <cell r="I163">
            <v>3.2</v>
          </cell>
          <cell r="J163" t="str">
            <v>Associate's degree</v>
          </cell>
          <cell r="K163" t="str">
            <v>None</v>
          </cell>
          <cell r="L163" t="str">
            <v>None</v>
          </cell>
          <cell r="M163" t="str">
            <v>OOH Content</v>
          </cell>
        </row>
        <row r="164">
          <cell r="A164" t="str">
            <v>17-3028</v>
          </cell>
          <cell r="B164" t="str">
            <v xml:space="preserve">        Calibration technologists and technicians</v>
          </cell>
          <cell r="C164" t="str">
            <v>Line item</v>
          </cell>
          <cell r="D164">
            <v>65040</v>
          </cell>
          <cell r="E164">
            <v>15.8</v>
          </cell>
          <cell r="F164">
            <v>16.5</v>
          </cell>
          <cell r="G164">
            <v>0.7</v>
          </cell>
          <cell r="H164">
            <v>4.7</v>
          </cell>
          <cell r="I164">
            <v>1.4</v>
          </cell>
          <cell r="J164" t="str">
            <v>Associate's degree</v>
          </cell>
          <cell r="K164" t="str">
            <v>None</v>
          </cell>
          <cell r="L164" t="str">
            <v>None</v>
          </cell>
          <cell r="M164" t="str">
            <v>OOH Content</v>
          </cell>
        </row>
        <row r="165">
          <cell r="A165" t="str">
            <v>17-3029</v>
          </cell>
          <cell r="B165" t="str">
            <v xml:space="preserve">        Engineering technologists and technicians, except drafters, all other</v>
          </cell>
          <cell r="C165" t="str">
            <v>Line item</v>
          </cell>
          <cell r="D165">
            <v>77390</v>
          </cell>
          <cell r="E165">
            <v>67.3</v>
          </cell>
          <cell r="F165">
            <v>68.3</v>
          </cell>
          <cell r="G165">
            <v>1</v>
          </cell>
          <cell r="H165">
            <v>1.5</v>
          </cell>
          <cell r="I165">
            <v>5.7</v>
          </cell>
          <cell r="J165" t="str">
            <v>Associate's degree</v>
          </cell>
          <cell r="K165" t="str">
            <v>None</v>
          </cell>
          <cell r="L165" t="str">
            <v>None</v>
          </cell>
          <cell r="M165" t="str">
            <v>—</v>
          </cell>
        </row>
        <row r="166">
          <cell r="A166" t="str">
            <v>17-3031</v>
          </cell>
          <cell r="B166" t="str">
            <v xml:space="preserve">      Surveying and mapping technicians</v>
          </cell>
          <cell r="C166" t="str">
            <v>Line item</v>
          </cell>
          <cell r="D166">
            <v>51940</v>
          </cell>
          <cell r="E166">
            <v>59.4</v>
          </cell>
          <cell r="F166">
            <v>62.1</v>
          </cell>
          <cell r="G166">
            <v>2.7</v>
          </cell>
          <cell r="H166">
            <v>4.5</v>
          </cell>
          <cell r="I166">
            <v>7.6</v>
          </cell>
          <cell r="J166" t="str">
            <v>High school diploma or equivalent</v>
          </cell>
          <cell r="K166" t="str">
            <v>None</v>
          </cell>
          <cell r="L166" t="str">
            <v>Moderate-term on-the-job training</v>
          </cell>
          <cell r="M166" t="str">
            <v>OOH Content</v>
          </cell>
        </row>
        <row r="167">
          <cell r="A167" t="str">
            <v>19-0000</v>
          </cell>
          <cell r="B167" t="str">
            <v xml:space="preserve">  Life, physical, and social science occupations</v>
          </cell>
          <cell r="C167" t="str">
            <v>Summary</v>
          </cell>
          <cell r="D167">
            <v>78980</v>
          </cell>
          <cell r="E167">
            <v>1609.5</v>
          </cell>
          <cell r="F167">
            <v>1690.4</v>
          </cell>
          <cell r="G167">
            <v>80.900000000000006</v>
          </cell>
          <cell r="H167">
            <v>5</v>
          </cell>
          <cell r="I167">
            <v>144.69999999999999</v>
          </cell>
          <cell r="J167" t="str">
            <v>—</v>
          </cell>
          <cell r="K167" t="str">
            <v>—</v>
          </cell>
          <cell r="L167" t="str">
            <v>—</v>
          </cell>
          <cell r="M167" t="str">
            <v>—</v>
          </cell>
        </row>
        <row r="168">
          <cell r="A168" t="str">
            <v>19-1000</v>
          </cell>
          <cell r="B168" t="str">
            <v xml:space="preserve">    Life scientists</v>
          </cell>
          <cell r="C168" t="str">
            <v>Summary</v>
          </cell>
          <cell r="D168">
            <v>90500</v>
          </cell>
          <cell r="E168">
            <v>404.8</v>
          </cell>
          <cell r="F168">
            <v>428.8</v>
          </cell>
          <cell r="G168">
            <v>24</v>
          </cell>
          <cell r="H168">
            <v>5.9</v>
          </cell>
          <cell r="I168">
            <v>28.4</v>
          </cell>
          <cell r="J168" t="str">
            <v>—</v>
          </cell>
          <cell r="K168" t="str">
            <v>—</v>
          </cell>
          <cell r="L168" t="str">
            <v>—</v>
          </cell>
          <cell r="M168" t="str">
            <v>—</v>
          </cell>
        </row>
        <row r="169">
          <cell r="A169" t="str">
            <v>19-1010</v>
          </cell>
          <cell r="B169" t="str">
            <v xml:space="preserve">      Agricultural and food scientists</v>
          </cell>
          <cell r="C169" t="str">
            <v>Summary</v>
          </cell>
          <cell r="D169">
            <v>78770</v>
          </cell>
          <cell r="E169">
            <v>38.700000000000003</v>
          </cell>
          <cell r="F169">
            <v>41</v>
          </cell>
          <cell r="G169">
            <v>2.2999999999999998</v>
          </cell>
          <cell r="H169">
            <v>5.9</v>
          </cell>
          <cell r="I169">
            <v>3.1</v>
          </cell>
          <cell r="J169" t="str">
            <v>—</v>
          </cell>
          <cell r="K169" t="str">
            <v>—</v>
          </cell>
          <cell r="L169" t="str">
            <v>—</v>
          </cell>
          <cell r="M169" t="str">
            <v>—</v>
          </cell>
        </row>
        <row r="170">
          <cell r="A170" t="str">
            <v>19-1011</v>
          </cell>
          <cell r="B170" t="str">
            <v xml:space="preserve">        Animal scientists</v>
          </cell>
          <cell r="C170" t="str">
            <v>Line item</v>
          </cell>
          <cell r="D170">
            <v>79120</v>
          </cell>
          <cell r="E170">
            <v>2.8</v>
          </cell>
          <cell r="F170">
            <v>2.9</v>
          </cell>
          <cell r="G170">
            <v>0.2</v>
          </cell>
          <cell r="H170">
            <v>5.8</v>
          </cell>
          <cell r="I170">
            <v>0.2</v>
          </cell>
          <cell r="J170" t="str">
            <v>Bachelor's degree</v>
          </cell>
          <cell r="K170" t="str">
            <v>None</v>
          </cell>
          <cell r="L170" t="str">
            <v>None</v>
          </cell>
          <cell r="M170" t="str">
            <v>OOH Content</v>
          </cell>
        </row>
        <row r="171">
          <cell r="A171" t="str">
            <v>19-1012</v>
          </cell>
          <cell r="B171" t="str">
            <v xml:space="preserve">        Food scientists and technologists</v>
          </cell>
          <cell r="C171" t="str">
            <v>Line item</v>
          </cell>
          <cell r="D171">
            <v>85310</v>
          </cell>
          <cell r="E171">
            <v>15.2</v>
          </cell>
          <cell r="F171">
            <v>16.2</v>
          </cell>
          <cell r="G171">
            <v>1</v>
          </cell>
          <cell r="H171">
            <v>6.5</v>
          </cell>
          <cell r="I171">
            <v>1.2</v>
          </cell>
          <cell r="J171" t="str">
            <v>Bachelor's degree</v>
          </cell>
          <cell r="K171" t="str">
            <v>None</v>
          </cell>
          <cell r="L171" t="str">
            <v>None</v>
          </cell>
          <cell r="M171" t="str">
            <v>OOH Content</v>
          </cell>
        </row>
        <row r="172">
          <cell r="A172" t="str">
            <v>19-1013</v>
          </cell>
          <cell r="B172" t="str">
            <v xml:space="preserve">        Soil and plant scientists</v>
          </cell>
          <cell r="C172" t="str">
            <v>Line item</v>
          </cell>
          <cell r="D172">
            <v>71410</v>
          </cell>
          <cell r="E172">
            <v>20.7</v>
          </cell>
          <cell r="F172">
            <v>21.8</v>
          </cell>
          <cell r="G172">
            <v>1.1000000000000001</v>
          </cell>
          <cell r="H172">
            <v>5.4</v>
          </cell>
          <cell r="I172">
            <v>1.7</v>
          </cell>
          <cell r="J172" t="str">
            <v>Bachelor's degree</v>
          </cell>
          <cell r="K172" t="str">
            <v>None</v>
          </cell>
          <cell r="L172" t="str">
            <v>None</v>
          </cell>
          <cell r="M172" t="str">
            <v>OOH Content</v>
          </cell>
        </row>
        <row r="173">
          <cell r="A173" t="str">
            <v>19-1020</v>
          </cell>
          <cell r="B173" t="str">
            <v xml:space="preserve">      Biological scientists</v>
          </cell>
          <cell r="C173" t="str">
            <v>Summary</v>
          </cell>
          <cell r="D173">
            <v>93340</v>
          </cell>
          <cell r="E173">
            <v>138.30000000000001</v>
          </cell>
          <cell r="F173">
            <v>142.30000000000001</v>
          </cell>
          <cell r="G173">
            <v>4</v>
          </cell>
          <cell r="H173">
            <v>2.9</v>
          </cell>
          <cell r="I173">
            <v>10.8</v>
          </cell>
          <cell r="J173" t="str">
            <v>—</v>
          </cell>
          <cell r="K173" t="str">
            <v>—</v>
          </cell>
          <cell r="L173" t="str">
            <v>—</v>
          </cell>
          <cell r="M173" t="str">
            <v>—</v>
          </cell>
        </row>
        <row r="174">
          <cell r="A174" t="str">
            <v>19-1021</v>
          </cell>
          <cell r="B174" t="str">
            <v xml:space="preserve">        Biochemists and biophysicists</v>
          </cell>
          <cell r="C174" t="str">
            <v>Line item</v>
          </cell>
          <cell r="D174">
            <v>103650</v>
          </cell>
          <cell r="E174">
            <v>35.6</v>
          </cell>
          <cell r="F174">
            <v>37.6</v>
          </cell>
          <cell r="G174">
            <v>2.1</v>
          </cell>
          <cell r="H174">
            <v>5.8</v>
          </cell>
          <cell r="I174">
            <v>2.9</v>
          </cell>
          <cell r="J174" t="str">
            <v>Doctoral or professional degree</v>
          </cell>
          <cell r="K174" t="str">
            <v>None</v>
          </cell>
          <cell r="L174" t="str">
            <v>None</v>
          </cell>
          <cell r="M174" t="str">
            <v>OOH Content</v>
          </cell>
        </row>
        <row r="175">
          <cell r="A175" t="str">
            <v>19-1022</v>
          </cell>
          <cell r="B175" t="str">
            <v xml:space="preserve">        Microbiologists</v>
          </cell>
          <cell r="C175" t="str">
            <v>Line item</v>
          </cell>
          <cell r="D175">
            <v>87330</v>
          </cell>
          <cell r="E175">
            <v>20.7</v>
          </cell>
          <cell r="F175">
            <v>21.6</v>
          </cell>
          <cell r="G175">
            <v>0.8</v>
          </cell>
          <cell r="H175">
            <v>4.0999999999999996</v>
          </cell>
          <cell r="I175">
            <v>1.7</v>
          </cell>
          <cell r="J175" t="str">
            <v>Bachelor's degree</v>
          </cell>
          <cell r="K175" t="str">
            <v>None</v>
          </cell>
          <cell r="L175" t="str">
            <v>None</v>
          </cell>
          <cell r="M175" t="str">
            <v>OOH Content</v>
          </cell>
        </row>
        <row r="176">
          <cell r="A176" t="str">
            <v>19-1023</v>
          </cell>
          <cell r="B176" t="str">
            <v xml:space="preserve">        Zoologists and wildlife biologists</v>
          </cell>
          <cell r="C176" t="str">
            <v>Line item</v>
          </cell>
          <cell r="D176">
            <v>72860</v>
          </cell>
          <cell r="E176">
            <v>18.2</v>
          </cell>
          <cell r="F176">
            <v>18.5</v>
          </cell>
          <cell r="G176">
            <v>0.3</v>
          </cell>
          <cell r="H176">
            <v>1.6</v>
          </cell>
          <cell r="I176">
            <v>1.4</v>
          </cell>
          <cell r="J176" t="str">
            <v>Bachelor's degree</v>
          </cell>
          <cell r="K176" t="str">
            <v>None</v>
          </cell>
          <cell r="L176" t="str">
            <v>None</v>
          </cell>
          <cell r="M176" t="str">
            <v>OOH Content</v>
          </cell>
        </row>
        <row r="177">
          <cell r="A177" t="str">
            <v>19-1029</v>
          </cell>
          <cell r="B177" t="str">
            <v xml:space="preserve">        Biological scientists, all other</v>
          </cell>
          <cell r="C177" t="str">
            <v>Line item</v>
          </cell>
          <cell r="D177">
            <v>93330</v>
          </cell>
          <cell r="E177">
            <v>63.7</v>
          </cell>
          <cell r="F177">
            <v>64.5</v>
          </cell>
          <cell r="G177">
            <v>0.8</v>
          </cell>
          <cell r="H177">
            <v>1.2</v>
          </cell>
          <cell r="I177">
            <v>4.8</v>
          </cell>
          <cell r="J177" t="str">
            <v>Bachelor's degree</v>
          </cell>
          <cell r="K177" t="str">
            <v>None</v>
          </cell>
          <cell r="L177" t="str">
            <v>None</v>
          </cell>
          <cell r="M177" t="str">
            <v>—</v>
          </cell>
        </row>
        <row r="178">
          <cell r="A178" t="str">
            <v>19-1030</v>
          </cell>
          <cell r="B178" t="str">
            <v xml:space="preserve">      Conservation scientists and foresters</v>
          </cell>
          <cell r="C178" t="str">
            <v>Summary</v>
          </cell>
          <cell r="D178">
            <v>69060</v>
          </cell>
          <cell r="E178">
            <v>42.4</v>
          </cell>
          <cell r="F178">
            <v>43.5</v>
          </cell>
          <cell r="G178">
            <v>1.1000000000000001</v>
          </cell>
          <cell r="H178">
            <v>2.7</v>
          </cell>
          <cell r="I178">
            <v>3.6</v>
          </cell>
          <cell r="J178" t="str">
            <v>—</v>
          </cell>
          <cell r="K178" t="str">
            <v>—</v>
          </cell>
          <cell r="L178" t="str">
            <v>—</v>
          </cell>
          <cell r="M178" t="str">
            <v>—</v>
          </cell>
        </row>
        <row r="179">
          <cell r="A179" t="str">
            <v>19-1031</v>
          </cell>
          <cell r="B179" t="str">
            <v xml:space="preserve">        Conservation scientists</v>
          </cell>
          <cell r="C179" t="str">
            <v>Line item</v>
          </cell>
          <cell r="D179">
            <v>67950</v>
          </cell>
          <cell r="E179">
            <v>28.5</v>
          </cell>
          <cell r="F179">
            <v>29.5</v>
          </cell>
          <cell r="G179">
            <v>1</v>
          </cell>
          <cell r="H179">
            <v>3.4</v>
          </cell>
          <cell r="I179">
            <v>2.5</v>
          </cell>
          <cell r="J179" t="str">
            <v>Bachelor's degree</v>
          </cell>
          <cell r="K179" t="str">
            <v>None</v>
          </cell>
          <cell r="L179" t="str">
            <v>None</v>
          </cell>
          <cell r="M179" t="str">
            <v>OOH Content</v>
          </cell>
        </row>
        <row r="180">
          <cell r="A180" t="str">
            <v>19-1032</v>
          </cell>
          <cell r="B180" t="str">
            <v xml:space="preserve">        Foresters</v>
          </cell>
          <cell r="C180" t="str">
            <v>Line item</v>
          </cell>
          <cell r="D180">
            <v>70660</v>
          </cell>
          <cell r="E180">
            <v>13.8</v>
          </cell>
          <cell r="F180">
            <v>14</v>
          </cell>
          <cell r="G180">
            <v>0.2</v>
          </cell>
          <cell r="H180">
            <v>1.2</v>
          </cell>
          <cell r="I180">
            <v>1.1000000000000001</v>
          </cell>
          <cell r="J180" t="str">
            <v>Bachelor's degree</v>
          </cell>
          <cell r="K180" t="str">
            <v>None</v>
          </cell>
          <cell r="L180" t="str">
            <v>None</v>
          </cell>
          <cell r="M180" t="str">
            <v>OOH Content</v>
          </cell>
        </row>
        <row r="181">
          <cell r="A181" t="str">
            <v>19-1040</v>
          </cell>
          <cell r="B181" t="str">
            <v xml:space="preserve">      Medical scientists</v>
          </cell>
          <cell r="C181" t="str">
            <v>Summary</v>
          </cell>
          <cell r="D181">
            <v>99770</v>
          </cell>
          <cell r="E181">
            <v>177.6</v>
          </cell>
          <cell r="F181">
            <v>194</v>
          </cell>
          <cell r="G181">
            <v>16.3</v>
          </cell>
          <cell r="H181">
            <v>9.1999999999999993</v>
          </cell>
          <cell r="I181">
            <v>10.4</v>
          </cell>
          <cell r="J181" t="str">
            <v>—</v>
          </cell>
          <cell r="K181" t="str">
            <v>—</v>
          </cell>
          <cell r="L181" t="str">
            <v>—</v>
          </cell>
          <cell r="M181" t="str">
            <v>—</v>
          </cell>
        </row>
        <row r="182">
          <cell r="A182" t="str">
            <v>19-1041</v>
          </cell>
          <cell r="B182" t="str">
            <v xml:space="preserve">        Epidemiologists</v>
          </cell>
          <cell r="C182" t="str">
            <v>Line item</v>
          </cell>
          <cell r="D182">
            <v>83980</v>
          </cell>
          <cell r="E182">
            <v>12.3</v>
          </cell>
          <cell r="F182">
            <v>14.3</v>
          </cell>
          <cell r="G182">
            <v>2</v>
          </cell>
          <cell r="H182">
            <v>16.2</v>
          </cell>
          <cell r="I182">
            <v>0.8</v>
          </cell>
          <cell r="J182" t="str">
            <v>Master's degree</v>
          </cell>
          <cell r="K182" t="str">
            <v>None</v>
          </cell>
          <cell r="L182" t="str">
            <v>None</v>
          </cell>
          <cell r="M182" t="str">
            <v>OOH Content</v>
          </cell>
        </row>
        <row r="183">
          <cell r="A183" t="str">
            <v>19-1042</v>
          </cell>
          <cell r="B183" t="str">
            <v xml:space="preserve">        Medical scientists, except epidemiologists</v>
          </cell>
          <cell r="C183" t="str">
            <v>Line item</v>
          </cell>
          <cell r="D183">
            <v>100590</v>
          </cell>
          <cell r="E183">
            <v>165.3</v>
          </cell>
          <cell r="F183">
            <v>179.6</v>
          </cell>
          <cell r="G183">
            <v>14.3</v>
          </cell>
          <cell r="H183">
            <v>8.6999999999999993</v>
          </cell>
          <cell r="I183">
            <v>9.6</v>
          </cell>
          <cell r="J183" t="str">
            <v>Doctoral or professional degree</v>
          </cell>
          <cell r="K183" t="str">
            <v>None</v>
          </cell>
          <cell r="L183" t="str">
            <v>None</v>
          </cell>
          <cell r="M183" t="str">
            <v>OOH Content</v>
          </cell>
        </row>
        <row r="184">
          <cell r="A184" t="str">
            <v>19-1099</v>
          </cell>
          <cell r="B184" t="str">
            <v xml:space="preserve">      Life scientists, all other</v>
          </cell>
          <cell r="C184" t="str">
            <v>Line item</v>
          </cell>
          <cell r="D184">
            <v>87800</v>
          </cell>
          <cell r="E184">
            <v>7.8</v>
          </cell>
          <cell r="F184">
            <v>8.1</v>
          </cell>
          <cell r="G184">
            <v>0.3</v>
          </cell>
          <cell r="H184">
            <v>3.7</v>
          </cell>
          <cell r="I184">
            <v>0.4</v>
          </cell>
          <cell r="J184" t="str">
            <v>Bachelor's degree</v>
          </cell>
          <cell r="K184" t="str">
            <v>None</v>
          </cell>
          <cell r="L184" t="str">
            <v>None</v>
          </cell>
          <cell r="M184" t="str">
            <v>—</v>
          </cell>
        </row>
        <row r="185">
          <cell r="A185" t="str">
            <v>19-2000</v>
          </cell>
          <cell r="B185" t="str">
            <v xml:space="preserve">    Physical scientists</v>
          </cell>
          <cell r="C185" t="str">
            <v>Summary</v>
          </cell>
          <cell r="D185">
            <v>92750</v>
          </cell>
          <cell r="E185">
            <v>284.89999999999998</v>
          </cell>
          <cell r="F185">
            <v>295.7</v>
          </cell>
          <cell r="G185">
            <v>10.8</v>
          </cell>
          <cell r="H185">
            <v>3.8</v>
          </cell>
          <cell r="I185">
            <v>22.4</v>
          </cell>
          <cell r="J185" t="str">
            <v>—</v>
          </cell>
          <cell r="K185" t="str">
            <v>—</v>
          </cell>
          <cell r="L185" t="str">
            <v>—</v>
          </cell>
          <cell r="M185" t="str">
            <v>—</v>
          </cell>
        </row>
        <row r="186">
          <cell r="A186" t="str">
            <v>19-2010</v>
          </cell>
          <cell r="B186" t="str">
            <v xml:space="preserve">      Astronomers and physicists</v>
          </cell>
          <cell r="C186" t="str">
            <v>Summary</v>
          </cell>
          <cell r="D186">
            <v>166290</v>
          </cell>
          <cell r="E186">
            <v>26.4</v>
          </cell>
          <cell r="F186">
            <v>27.4</v>
          </cell>
          <cell r="G186">
            <v>1</v>
          </cell>
          <cell r="H186">
            <v>3.9</v>
          </cell>
          <cell r="I186">
            <v>1.8</v>
          </cell>
          <cell r="J186" t="str">
            <v>—</v>
          </cell>
          <cell r="K186" t="str">
            <v>—</v>
          </cell>
          <cell r="L186" t="str">
            <v>—</v>
          </cell>
          <cell r="M186" t="str">
            <v>—</v>
          </cell>
        </row>
        <row r="187">
          <cell r="A187" t="str">
            <v>19-2011</v>
          </cell>
          <cell r="B187" t="str">
            <v xml:space="preserve">        Astronomers</v>
          </cell>
          <cell r="C187" t="str">
            <v>Line item</v>
          </cell>
          <cell r="D187">
            <v>132170</v>
          </cell>
          <cell r="E187">
            <v>1.8</v>
          </cell>
          <cell r="F187">
            <v>1.8</v>
          </cell>
          <cell r="G187">
            <v>0</v>
          </cell>
          <cell r="H187">
            <v>2.2000000000000002</v>
          </cell>
          <cell r="I187">
            <v>0.1</v>
          </cell>
          <cell r="J187" t="str">
            <v>Doctoral or professional degree</v>
          </cell>
          <cell r="K187" t="str">
            <v>None</v>
          </cell>
          <cell r="L187" t="str">
            <v>None</v>
          </cell>
          <cell r="M187" t="str">
            <v>OOH Content</v>
          </cell>
        </row>
        <row r="188">
          <cell r="A188" t="str">
            <v>19-2012</v>
          </cell>
          <cell r="B188" t="str">
            <v xml:space="preserve">        Physicists</v>
          </cell>
          <cell r="C188" t="str">
            <v>Line item</v>
          </cell>
          <cell r="D188">
            <v>166290</v>
          </cell>
          <cell r="E188">
            <v>24.6</v>
          </cell>
          <cell r="F188">
            <v>25.6</v>
          </cell>
          <cell r="G188">
            <v>1</v>
          </cell>
          <cell r="H188">
            <v>4</v>
          </cell>
          <cell r="I188">
            <v>1.7</v>
          </cell>
          <cell r="J188" t="str">
            <v>Doctoral or professional degree</v>
          </cell>
          <cell r="K188" t="str">
            <v>None</v>
          </cell>
          <cell r="L188" t="str">
            <v>None</v>
          </cell>
          <cell r="M188" t="str">
            <v>OOH Content</v>
          </cell>
        </row>
        <row r="189">
          <cell r="A189" t="str">
            <v>19-2021</v>
          </cell>
          <cell r="B189" t="str">
            <v xml:space="preserve">      Atmospheric and space scientists</v>
          </cell>
          <cell r="C189" t="str">
            <v>Line item</v>
          </cell>
          <cell r="D189">
            <v>97450</v>
          </cell>
          <cell r="E189">
            <v>9.4</v>
          </cell>
          <cell r="F189">
            <v>9.5</v>
          </cell>
          <cell r="G189">
            <v>0.1</v>
          </cell>
          <cell r="H189">
            <v>0.7</v>
          </cell>
          <cell r="I189">
            <v>0.7</v>
          </cell>
          <cell r="J189" t="str">
            <v>Bachelor's degree</v>
          </cell>
          <cell r="K189" t="str">
            <v>None</v>
          </cell>
          <cell r="L189" t="str">
            <v>None</v>
          </cell>
          <cell r="M189" t="str">
            <v>OOH Content</v>
          </cell>
        </row>
        <row r="190">
          <cell r="A190" t="str">
            <v>19-2030</v>
          </cell>
          <cell r="B190" t="str">
            <v xml:space="preserve">      Chemists and materials scientists</v>
          </cell>
          <cell r="C190" t="str">
            <v>Summary</v>
          </cell>
          <cell r="D190">
            <v>86620</v>
          </cell>
          <cell r="E190">
            <v>95.5</v>
          </cell>
          <cell r="F190">
            <v>100.2</v>
          </cell>
          <cell r="G190">
            <v>4.7</v>
          </cell>
          <cell r="H190">
            <v>4.9000000000000004</v>
          </cell>
          <cell r="I190">
            <v>7</v>
          </cell>
          <cell r="J190" t="str">
            <v>—</v>
          </cell>
          <cell r="K190" t="str">
            <v>—</v>
          </cell>
          <cell r="L190" t="str">
            <v>—</v>
          </cell>
          <cell r="M190" t="str">
            <v>—</v>
          </cell>
        </row>
        <row r="191">
          <cell r="A191" t="str">
            <v>19-2031</v>
          </cell>
          <cell r="B191" t="str">
            <v xml:space="preserve">        Chemists</v>
          </cell>
          <cell r="C191" t="str">
            <v>Line item</v>
          </cell>
          <cell r="D191">
            <v>84150</v>
          </cell>
          <cell r="E191">
            <v>86.8</v>
          </cell>
          <cell r="F191">
            <v>91</v>
          </cell>
          <cell r="G191">
            <v>4.3</v>
          </cell>
          <cell r="H191">
            <v>4.9000000000000004</v>
          </cell>
          <cell r="I191">
            <v>6.3</v>
          </cell>
          <cell r="J191" t="str">
            <v>Bachelor's degree</v>
          </cell>
          <cell r="K191" t="str">
            <v>None</v>
          </cell>
          <cell r="L191" t="str">
            <v>None</v>
          </cell>
          <cell r="M191" t="str">
            <v>OOH Content</v>
          </cell>
        </row>
        <row r="192">
          <cell r="A192" t="str">
            <v>19-2032</v>
          </cell>
          <cell r="B192" t="str">
            <v xml:space="preserve">        Materials scientists</v>
          </cell>
          <cell r="C192" t="str">
            <v>Line item</v>
          </cell>
          <cell r="D192">
            <v>104160</v>
          </cell>
          <cell r="E192">
            <v>8.6999999999999993</v>
          </cell>
          <cell r="F192">
            <v>9.1</v>
          </cell>
          <cell r="G192">
            <v>0.4</v>
          </cell>
          <cell r="H192">
            <v>4.9000000000000004</v>
          </cell>
          <cell r="I192">
            <v>0.6</v>
          </cell>
          <cell r="J192" t="str">
            <v>Bachelor's degree</v>
          </cell>
          <cell r="K192" t="str">
            <v>None</v>
          </cell>
          <cell r="L192" t="str">
            <v>None</v>
          </cell>
          <cell r="M192" t="str">
            <v>OOH Content</v>
          </cell>
        </row>
        <row r="193">
          <cell r="A193" t="str">
            <v>19-2040</v>
          </cell>
          <cell r="B193" t="str">
            <v xml:space="preserve">      Environmental scientists and geoscientists</v>
          </cell>
          <cell r="C193" t="str">
            <v>Summary</v>
          </cell>
          <cell r="D193">
            <v>82660</v>
          </cell>
          <cell r="E193">
            <v>121.7</v>
          </cell>
          <cell r="F193">
            <v>126.5</v>
          </cell>
          <cell r="G193">
            <v>4.8</v>
          </cell>
          <cell r="H193">
            <v>4</v>
          </cell>
          <cell r="I193">
            <v>11</v>
          </cell>
          <cell r="J193" t="str">
            <v>—</v>
          </cell>
          <cell r="K193" t="str">
            <v>—</v>
          </cell>
          <cell r="L193" t="str">
            <v>—</v>
          </cell>
          <cell r="M193" t="str">
            <v>—</v>
          </cell>
        </row>
        <row r="194">
          <cell r="A194" t="str">
            <v>19-2041</v>
          </cell>
          <cell r="B194" t="str">
            <v xml:space="preserve">        Environmental scientists and specialists, including health</v>
          </cell>
          <cell r="C194" t="str">
            <v>Line item</v>
          </cell>
          <cell r="D194">
            <v>80060</v>
          </cell>
          <cell r="E194">
            <v>90.3</v>
          </cell>
          <cell r="F194">
            <v>94.3</v>
          </cell>
          <cell r="G194">
            <v>4</v>
          </cell>
          <cell r="H194">
            <v>4.4000000000000004</v>
          </cell>
          <cell r="I194">
            <v>8.5</v>
          </cell>
          <cell r="J194" t="str">
            <v>Bachelor's degree</v>
          </cell>
          <cell r="K194" t="str">
            <v>None</v>
          </cell>
          <cell r="L194" t="str">
            <v>None</v>
          </cell>
          <cell r="M194" t="str">
            <v>OOH Content</v>
          </cell>
        </row>
        <row r="195">
          <cell r="A195" t="str">
            <v>19-2042</v>
          </cell>
          <cell r="B195" t="str">
            <v xml:space="preserve">        Geoscientists, except hydrologists and geographers</v>
          </cell>
          <cell r="C195" t="str">
            <v>Line item</v>
          </cell>
          <cell r="D195">
            <v>99240</v>
          </cell>
          <cell r="E195">
            <v>25.1</v>
          </cell>
          <cell r="F195">
            <v>26</v>
          </cell>
          <cell r="G195">
            <v>0.8</v>
          </cell>
          <cell r="H195">
            <v>3.2</v>
          </cell>
          <cell r="I195">
            <v>2</v>
          </cell>
          <cell r="J195" t="str">
            <v>Bachelor's degree</v>
          </cell>
          <cell r="K195" t="str">
            <v>None</v>
          </cell>
          <cell r="L195" t="str">
            <v>None</v>
          </cell>
          <cell r="M195" t="str">
            <v>OOH Content</v>
          </cell>
        </row>
        <row r="196">
          <cell r="A196" t="str">
            <v>19-2043</v>
          </cell>
          <cell r="B196" t="str">
            <v xml:space="preserve">        Hydrologists</v>
          </cell>
          <cell r="C196" t="str">
            <v>Line item</v>
          </cell>
          <cell r="D196">
            <v>92060</v>
          </cell>
          <cell r="E196">
            <v>6.3</v>
          </cell>
          <cell r="F196">
            <v>6.3</v>
          </cell>
          <cell r="G196">
            <v>0</v>
          </cell>
          <cell r="H196">
            <v>-0.1</v>
          </cell>
          <cell r="I196">
            <v>0.5</v>
          </cell>
          <cell r="J196" t="str">
            <v>Bachelor's degree</v>
          </cell>
          <cell r="K196" t="str">
            <v>None</v>
          </cell>
          <cell r="L196" t="str">
            <v>None</v>
          </cell>
          <cell r="M196" t="str">
            <v>OOH Content</v>
          </cell>
        </row>
        <row r="197">
          <cell r="A197" t="str">
            <v>19-2099</v>
          </cell>
          <cell r="B197" t="str">
            <v xml:space="preserve">      Physical scientists, all other</v>
          </cell>
          <cell r="C197" t="str">
            <v>Line item</v>
          </cell>
          <cell r="D197">
            <v>117960</v>
          </cell>
          <cell r="E197">
            <v>31.9</v>
          </cell>
          <cell r="F197">
            <v>32.1</v>
          </cell>
          <cell r="G197">
            <v>0.2</v>
          </cell>
          <cell r="H197">
            <v>0.6</v>
          </cell>
          <cell r="I197">
            <v>2</v>
          </cell>
          <cell r="J197" t="str">
            <v>Bachelor's degree</v>
          </cell>
          <cell r="K197" t="str">
            <v>None</v>
          </cell>
          <cell r="L197" t="str">
            <v>None</v>
          </cell>
          <cell r="M197" t="str">
            <v>—</v>
          </cell>
        </row>
        <row r="198">
          <cell r="A198" t="str">
            <v>19-3000</v>
          </cell>
          <cell r="B198" t="str">
            <v xml:space="preserve">    Social scientists and related workers</v>
          </cell>
          <cell r="C198" t="str">
            <v>Summary</v>
          </cell>
          <cell r="D198">
            <v>92900</v>
          </cell>
          <cell r="E198">
            <v>339.9</v>
          </cell>
          <cell r="F198">
            <v>352.5</v>
          </cell>
          <cell r="G198">
            <v>12.6</v>
          </cell>
          <cell r="H198">
            <v>3.7</v>
          </cell>
          <cell r="I198">
            <v>23.1</v>
          </cell>
          <cell r="J198" t="str">
            <v>—</v>
          </cell>
          <cell r="K198" t="str">
            <v>—</v>
          </cell>
          <cell r="L198" t="str">
            <v>—</v>
          </cell>
          <cell r="M198" t="str">
            <v>—</v>
          </cell>
        </row>
        <row r="199">
          <cell r="A199" t="str">
            <v>19-3011</v>
          </cell>
          <cell r="B199" t="str">
            <v xml:space="preserve">      Economists</v>
          </cell>
          <cell r="C199" t="str">
            <v>Line item</v>
          </cell>
          <cell r="D199">
            <v>115440</v>
          </cell>
          <cell r="E199">
            <v>17.600000000000001</v>
          </cell>
          <cell r="F199">
            <v>17.8</v>
          </cell>
          <cell r="G199">
            <v>0.2</v>
          </cell>
          <cell r="H199">
            <v>1.2</v>
          </cell>
          <cell r="I199">
            <v>0.9</v>
          </cell>
          <cell r="J199" t="str">
            <v>Master's degree</v>
          </cell>
          <cell r="K199" t="str">
            <v>None</v>
          </cell>
          <cell r="L199" t="str">
            <v>None</v>
          </cell>
          <cell r="M199" t="str">
            <v>OOH Content</v>
          </cell>
        </row>
        <row r="200">
          <cell r="A200" t="str">
            <v>19-3022</v>
          </cell>
          <cell r="B200" t="str">
            <v xml:space="preserve">      Survey researchers</v>
          </cell>
          <cell r="C200" t="str">
            <v>Line item</v>
          </cell>
          <cell r="D200">
            <v>63380</v>
          </cell>
          <cell r="E200">
            <v>8.8000000000000007</v>
          </cell>
          <cell r="F200">
            <v>8.3000000000000007</v>
          </cell>
          <cell r="G200">
            <v>-0.5</v>
          </cell>
          <cell r="H200">
            <v>-5.2</v>
          </cell>
          <cell r="I200">
            <v>0.7</v>
          </cell>
          <cell r="J200" t="str">
            <v>Master's degree</v>
          </cell>
          <cell r="K200" t="str">
            <v>None</v>
          </cell>
          <cell r="L200" t="str">
            <v>None</v>
          </cell>
          <cell r="M200" t="str">
            <v>OOH Content</v>
          </cell>
        </row>
        <row r="201">
          <cell r="A201" t="str">
            <v>19-3030</v>
          </cell>
          <cell r="B201" t="str">
            <v xml:space="preserve">      Psychologists</v>
          </cell>
          <cell r="C201" t="str">
            <v>Summary</v>
          </cell>
          <cell r="D201">
            <v>94310</v>
          </cell>
          <cell r="E201">
            <v>204.3</v>
          </cell>
          <cell r="F201">
            <v>216</v>
          </cell>
          <cell r="G201">
            <v>11.8</v>
          </cell>
          <cell r="H201">
            <v>5.8</v>
          </cell>
          <cell r="I201">
            <v>12.9</v>
          </cell>
          <cell r="J201" t="str">
            <v>—</v>
          </cell>
          <cell r="K201" t="str">
            <v>—</v>
          </cell>
          <cell r="L201" t="str">
            <v>—</v>
          </cell>
          <cell r="M201" t="str">
            <v>—</v>
          </cell>
        </row>
        <row r="202">
          <cell r="A202" t="str">
            <v>19-3032</v>
          </cell>
          <cell r="B202" t="str">
            <v xml:space="preserve">        Industrial-organizational psychologists</v>
          </cell>
          <cell r="C202" t="str">
            <v>Line item</v>
          </cell>
          <cell r="D202">
            <v>109840</v>
          </cell>
          <cell r="E202">
            <v>5.6</v>
          </cell>
          <cell r="F202">
            <v>5.9</v>
          </cell>
          <cell r="G202">
            <v>0.3</v>
          </cell>
          <cell r="H202">
            <v>6.3</v>
          </cell>
          <cell r="I202">
            <v>0.4</v>
          </cell>
          <cell r="J202" t="str">
            <v>Master's degree</v>
          </cell>
          <cell r="K202" t="str">
            <v>None</v>
          </cell>
          <cell r="L202" t="str">
            <v>Internship/residency</v>
          </cell>
          <cell r="M202" t="str">
            <v>OOH Content</v>
          </cell>
        </row>
        <row r="203">
          <cell r="A203" t="str">
            <v>19-3033</v>
          </cell>
          <cell r="B203" t="str">
            <v xml:space="preserve">        Clinical and counseling psychologists</v>
          </cell>
          <cell r="C203" t="str">
            <v>Line item</v>
          </cell>
          <cell r="D203">
            <v>95830</v>
          </cell>
          <cell r="E203">
            <v>76.3</v>
          </cell>
          <cell r="F203">
            <v>84.8</v>
          </cell>
          <cell r="G203">
            <v>8.5</v>
          </cell>
          <cell r="H203">
            <v>11.2</v>
          </cell>
          <cell r="I203">
            <v>4.8</v>
          </cell>
          <cell r="J203" t="str">
            <v>Doctoral or professional degree</v>
          </cell>
          <cell r="K203" t="str">
            <v>None</v>
          </cell>
          <cell r="L203" t="str">
            <v>Internship/residency</v>
          </cell>
          <cell r="M203" t="str">
            <v>OOH Content</v>
          </cell>
        </row>
        <row r="204">
          <cell r="A204" t="str">
            <v>19-3034</v>
          </cell>
          <cell r="B204" t="str">
            <v xml:space="preserve">        School psychologists</v>
          </cell>
          <cell r="C204" t="str">
            <v>Line item</v>
          </cell>
          <cell r="D204">
            <v>86930</v>
          </cell>
          <cell r="E204">
            <v>67.2</v>
          </cell>
          <cell r="F204">
            <v>67.7</v>
          </cell>
          <cell r="G204">
            <v>0.5</v>
          </cell>
          <cell r="H204">
            <v>0.7</v>
          </cell>
          <cell r="I204">
            <v>3.8</v>
          </cell>
          <cell r="J204" t="str">
            <v>Master's degree</v>
          </cell>
          <cell r="K204" t="str">
            <v>None</v>
          </cell>
          <cell r="L204" t="str">
            <v>Internship/residency</v>
          </cell>
          <cell r="M204" t="str">
            <v>OOH Content</v>
          </cell>
        </row>
        <row r="205">
          <cell r="A205" t="str">
            <v>19-3039</v>
          </cell>
          <cell r="B205" t="str">
            <v xml:space="preserve">        Psychologists, all other</v>
          </cell>
          <cell r="C205" t="str">
            <v>Line item</v>
          </cell>
          <cell r="D205">
            <v>117580</v>
          </cell>
          <cell r="E205">
            <v>55.3</v>
          </cell>
          <cell r="F205">
            <v>57.7</v>
          </cell>
          <cell r="G205">
            <v>2.4</v>
          </cell>
          <cell r="H205">
            <v>4.3</v>
          </cell>
          <cell r="I205">
            <v>3.9</v>
          </cell>
          <cell r="J205" t="str">
            <v>Master's degree</v>
          </cell>
          <cell r="K205" t="str">
            <v>None</v>
          </cell>
          <cell r="L205" t="str">
            <v>Internship/residency</v>
          </cell>
          <cell r="M205" t="str">
            <v>OOH Content</v>
          </cell>
        </row>
        <row r="206">
          <cell r="A206" t="str">
            <v>19-3041</v>
          </cell>
          <cell r="B206" t="str">
            <v xml:space="preserve">      Sociologists</v>
          </cell>
          <cell r="C206" t="str">
            <v>Line item</v>
          </cell>
          <cell r="D206">
            <v>101690</v>
          </cell>
          <cell r="E206">
            <v>3.4</v>
          </cell>
          <cell r="F206">
            <v>3.6</v>
          </cell>
          <cell r="G206">
            <v>0.1</v>
          </cell>
          <cell r="H206">
            <v>3.6</v>
          </cell>
          <cell r="I206">
            <v>0.3</v>
          </cell>
          <cell r="J206" t="str">
            <v>Master's degree</v>
          </cell>
          <cell r="K206" t="str">
            <v>None</v>
          </cell>
          <cell r="L206" t="str">
            <v>None</v>
          </cell>
          <cell r="M206" t="str">
            <v>OOH Content</v>
          </cell>
        </row>
        <row r="207">
          <cell r="A207" t="str">
            <v>19-3051</v>
          </cell>
          <cell r="B207" t="str">
            <v xml:space="preserve">      Urban and regional planners</v>
          </cell>
          <cell r="C207" t="str">
            <v>Line item</v>
          </cell>
          <cell r="D207">
            <v>83720</v>
          </cell>
          <cell r="E207">
            <v>44.7</v>
          </cell>
          <cell r="F207">
            <v>46.2</v>
          </cell>
          <cell r="G207">
            <v>1.5</v>
          </cell>
          <cell r="H207">
            <v>3.4</v>
          </cell>
          <cell r="I207">
            <v>3.4</v>
          </cell>
          <cell r="J207" t="str">
            <v>Master's degree</v>
          </cell>
          <cell r="K207" t="str">
            <v>None</v>
          </cell>
          <cell r="L207" t="str">
            <v>None</v>
          </cell>
          <cell r="M207" t="str">
            <v>OOH Content</v>
          </cell>
        </row>
        <row r="208">
          <cell r="A208" t="str">
            <v>19-3090</v>
          </cell>
          <cell r="B208" t="str">
            <v xml:space="preserve">      Miscellaneous social scientists and related workers</v>
          </cell>
          <cell r="C208" t="str">
            <v>Summary</v>
          </cell>
          <cell r="D208">
            <v>96660</v>
          </cell>
          <cell r="E208">
            <v>61</v>
          </cell>
          <cell r="F208">
            <v>60.5</v>
          </cell>
          <cell r="G208">
            <v>-0.5</v>
          </cell>
          <cell r="H208">
            <v>-0.9</v>
          </cell>
          <cell r="I208">
            <v>4.9000000000000004</v>
          </cell>
          <cell r="J208" t="str">
            <v>—</v>
          </cell>
          <cell r="K208" t="str">
            <v>—</v>
          </cell>
          <cell r="L208" t="str">
            <v>—</v>
          </cell>
          <cell r="M208" t="str">
            <v>—</v>
          </cell>
        </row>
        <row r="209">
          <cell r="A209" t="str">
            <v>19-3091</v>
          </cell>
          <cell r="B209" t="str">
            <v xml:space="preserve">        Anthropologists and archeologists</v>
          </cell>
          <cell r="C209" t="str">
            <v>Line item</v>
          </cell>
          <cell r="D209">
            <v>64910</v>
          </cell>
          <cell r="E209">
            <v>8.8000000000000007</v>
          </cell>
          <cell r="F209">
            <v>9.1999999999999993</v>
          </cell>
          <cell r="G209">
            <v>0.3</v>
          </cell>
          <cell r="H209">
            <v>3.7</v>
          </cell>
          <cell r="I209">
            <v>0.8</v>
          </cell>
          <cell r="J209" t="str">
            <v>Master's degree</v>
          </cell>
          <cell r="K209" t="str">
            <v>None</v>
          </cell>
          <cell r="L209" t="str">
            <v>None</v>
          </cell>
          <cell r="M209" t="str">
            <v>OOH Content</v>
          </cell>
        </row>
        <row r="210">
          <cell r="A210" t="str">
            <v>19-3092</v>
          </cell>
          <cell r="B210" t="str">
            <v xml:space="preserve">        Geographers</v>
          </cell>
          <cell r="C210" t="str">
            <v>Line item</v>
          </cell>
          <cell r="D210">
            <v>97200</v>
          </cell>
          <cell r="E210">
            <v>1.5</v>
          </cell>
          <cell r="F210">
            <v>1.5</v>
          </cell>
          <cell r="G210">
            <v>0</v>
          </cell>
          <cell r="H210">
            <v>-3.1</v>
          </cell>
          <cell r="I210">
            <v>0.1</v>
          </cell>
          <cell r="J210" t="str">
            <v>Bachelor's degree</v>
          </cell>
          <cell r="K210" t="str">
            <v>None</v>
          </cell>
          <cell r="L210" t="str">
            <v>None</v>
          </cell>
          <cell r="M210" t="str">
            <v>OOH Content</v>
          </cell>
        </row>
        <row r="211">
          <cell r="A211" t="str">
            <v>19-3093</v>
          </cell>
          <cell r="B211" t="str">
            <v xml:space="preserve">        Historians</v>
          </cell>
          <cell r="C211" t="str">
            <v>Line item</v>
          </cell>
          <cell r="D211">
            <v>74050</v>
          </cell>
          <cell r="E211">
            <v>3.4</v>
          </cell>
          <cell r="F211">
            <v>3.5</v>
          </cell>
          <cell r="G211">
            <v>0.1</v>
          </cell>
          <cell r="H211">
            <v>2.2000000000000002</v>
          </cell>
          <cell r="I211">
            <v>0.3</v>
          </cell>
          <cell r="J211" t="str">
            <v>Master's degree</v>
          </cell>
          <cell r="K211" t="str">
            <v>None</v>
          </cell>
          <cell r="L211" t="str">
            <v>None</v>
          </cell>
          <cell r="M211" t="str">
            <v>OOH Content</v>
          </cell>
        </row>
        <row r="212">
          <cell r="A212" t="str">
            <v>19-3094</v>
          </cell>
          <cell r="B212" t="str">
            <v xml:space="preserve">        Political scientists</v>
          </cell>
          <cell r="C212" t="str">
            <v>Line item</v>
          </cell>
          <cell r="D212">
            <v>139380</v>
          </cell>
          <cell r="E212">
            <v>6.5</v>
          </cell>
          <cell r="F212">
            <v>6.3</v>
          </cell>
          <cell r="G212">
            <v>-0.2</v>
          </cell>
          <cell r="H212">
            <v>-3.1</v>
          </cell>
          <cell r="I212">
            <v>0.5</v>
          </cell>
          <cell r="J212" t="str">
            <v>Master's degree</v>
          </cell>
          <cell r="K212" t="str">
            <v>None</v>
          </cell>
          <cell r="L212" t="str">
            <v>None</v>
          </cell>
          <cell r="M212" t="str">
            <v>OOH Content</v>
          </cell>
        </row>
        <row r="213">
          <cell r="A213" t="str">
            <v>19-3099</v>
          </cell>
          <cell r="B213" t="str">
            <v xml:space="preserve">        Social scientists and related workers, all other</v>
          </cell>
          <cell r="C213" t="str">
            <v>Line item</v>
          </cell>
          <cell r="D213">
            <v>100340</v>
          </cell>
          <cell r="E213">
            <v>40.799999999999997</v>
          </cell>
          <cell r="F213">
            <v>40.1</v>
          </cell>
          <cell r="G213">
            <v>-0.7</v>
          </cell>
          <cell r="H213">
            <v>-1.7</v>
          </cell>
          <cell r="I213">
            <v>3.2</v>
          </cell>
          <cell r="J213" t="str">
            <v>Bachelor's degree</v>
          </cell>
          <cell r="K213" t="str">
            <v>None</v>
          </cell>
          <cell r="L213" t="str">
            <v>None</v>
          </cell>
          <cell r="M213" t="str">
            <v>—</v>
          </cell>
        </row>
        <row r="214">
          <cell r="A214" t="str">
            <v>19-4000</v>
          </cell>
          <cell r="B214" t="str">
            <v xml:space="preserve">    Life, physical, and social science technicians</v>
          </cell>
          <cell r="C214" t="str">
            <v>Summary</v>
          </cell>
          <cell r="D214">
            <v>55810</v>
          </cell>
          <cell r="E214">
            <v>416.2</v>
          </cell>
          <cell r="F214">
            <v>430.5</v>
          </cell>
          <cell r="G214">
            <v>14.3</v>
          </cell>
          <cell r="H214">
            <v>3.4</v>
          </cell>
          <cell r="I214">
            <v>52.6</v>
          </cell>
          <cell r="J214" t="str">
            <v>—</v>
          </cell>
          <cell r="K214" t="str">
            <v>—</v>
          </cell>
          <cell r="L214" t="str">
            <v>—</v>
          </cell>
          <cell r="M214" t="str">
            <v>—</v>
          </cell>
        </row>
        <row r="215">
          <cell r="A215" t="str">
            <v>19-4010</v>
          </cell>
          <cell r="B215" t="str">
            <v xml:space="preserve">      Agricultural and food science technicians</v>
          </cell>
          <cell r="C215" t="str">
            <v>Summary</v>
          </cell>
          <cell r="D215">
            <v>48480</v>
          </cell>
          <cell r="E215">
            <v>38.9</v>
          </cell>
          <cell r="F215">
            <v>40.700000000000003</v>
          </cell>
          <cell r="G215">
            <v>1.8</v>
          </cell>
          <cell r="H215">
            <v>4.5999999999999996</v>
          </cell>
          <cell r="I215">
            <v>6.1</v>
          </cell>
          <cell r="J215" t="str">
            <v>—</v>
          </cell>
          <cell r="K215" t="str">
            <v>—</v>
          </cell>
          <cell r="L215" t="str">
            <v>—</v>
          </cell>
          <cell r="M215" t="str">
            <v>—</v>
          </cell>
        </row>
        <row r="216">
          <cell r="A216" t="str">
            <v>19-4012</v>
          </cell>
          <cell r="B216" t="str">
            <v xml:space="preserve">        Agricultural technicians</v>
          </cell>
          <cell r="C216" t="str">
            <v>Line item</v>
          </cell>
          <cell r="D216">
            <v>46790</v>
          </cell>
          <cell r="E216">
            <v>18.600000000000001</v>
          </cell>
          <cell r="F216">
            <v>19.399999999999999</v>
          </cell>
          <cell r="G216">
            <v>0.8</v>
          </cell>
          <cell r="H216">
            <v>4.3</v>
          </cell>
          <cell r="I216">
            <v>2.9</v>
          </cell>
          <cell r="J216" t="str">
            <v>Associate's degree</v>
          </cell>
          <cell r="K216" t="str">
            <v>None</v>
          </cell>
          <cell r="L216" t="str">
            <v>Moderate-term on-the-job training</v>
          </cell>
          <cell r="M216" t="str">
            <v>OOH Content</v>
          </cell>
        </row>
        <row r="217">
          <cell r="A217" t="str">
            <v>19-4013</v>
          </cell>
          <cell r="B217" t="str">
            <v xml:space="preserve">        Food science technicians</v>
          </cell>
          <cell r="C217" t="str">
            <v>Line item</v>
          </cell>
          <cell r="D217">
            <v>49430</v>
          </cell>
          <cell r="E217">
            <v>20.399999999999999</v>
          </cell>
          <cell r="F217">
            <v>21.3</v>
          </cell>
          <cell r="G217">
            <v>1</v>
          </cell>
          <cell r="H217">
            <v>4.8</v>
          </cell>
          <cell r="I217">
            <v>3.2</v>
          </cell>
          <cell r="J217" t="str">
            <v>Associate's degree</v>
          </cell>
          <cell r="K217" t="str">
            <v>None</v>
          </cell>
          <cell r="L217" t="str">
            <v>Moderate-term on-the-job training</v>
          </cell>
          <cell r="M217" t="str">
            <v>OOH Content</v>
          </cell>
        </row>
        <row r="218">
          <cell r="A218" t="str">
            <v>19-4021</v>
          </cell>
          <cell r="B218" t="str">
            <v xml:space="preserve">      Biological technicians</v>
          </cell>
          <cell r="C218" t="str">
            <v>Line item</v>
          </cell>
          <cell r="D218">
            <v>52000</v>
          </cell>
          <cell r="E218">
            <v>82.7</v>
          </cell>
          <cell r="F218">
            <v>85.6</v>
          </cell>
          <cell r="G218">
            <v>2.9</v>
          </cell>
          <cell r="H218">
            <v>3.5</v>
          </cell>
          <cell r="I218">
            <v>9.1</v>
          </cell>
          <cell r="J218" t="str">
            <v>Bachelor's degree</v>
          </cell>
          <cell r="K218" t="str">
            <v>None</v>
          </cell>
          <cell r="L218" t="str">
            <v>None</v>
          </cell>
          <cell r="M218" t="str">
            <v>OOH Content</v>
          </cell>
        </row>
        <row r="219">
          <cell r="A219" t="str">
            <v>19-4031</v>
          </cell>
          <cell r="B219" t="str">
            <v xml:space="preserve">      Chemical technicians</v>
          </cell>
          <cell r="C219" t="str">
            <v>Line item</v>
          </cell>
          <cell r="D219">
            <v>57790</v>
          </cell>
          <cell r="E219">
            <v>57</v>
          </cell>
          <cell r="F219">
            <v>59</v>
          </cell>
          <cell r="G219">
            <v>2.1</v>
          </cell>
          <cell r="H219">
            <v>3.7</v>
          </cell>
          <cell r="I219">
            <v>6.7</v>
          </cell>
          <cell r="J219" t="str">
            <v>Associate's degree</v>
          </cell>
          <cell r="K219" t="str">
            <v>None</v>
          </cell>
          <cell r="L219" t="str">
            <v>Moderate-term on-the-job training</v>
          </cell>
          <cell r="M219" t="str">
            <v>OOH Content</v>
          </cell>
        </row>
        <row r="220">
          <cell r="A220" t="str">
            <v>19-4040</v>
          </cell>
          <cell r="B220" t="str">
            <v xml:space="preserve">      Environmental science and geoscience technicians</v>
          </cell>
          <cell r="C220" t="str">
            <v>Summary</v>
          </cell>
          <cell r="D220">
            <v>49690</v>
          </cell>
          <cell r="E220">
            <v>53.4</v>
          </cell>
          <cell r="F220">
            <v>55.1</v>
          </cell>
          <cell r="G220">
            <v>1.7</v>
          </cell>
          <cell r="H220">
            <v>3.2</v>
          </cell>
          <cell r="I220">
            <v>7.3</v>
          </cell>
          <cell r="J220" t="str">
            <v>—</v>
          </cell>
          <cell r="K220" t="str">
            <v>—</v>
          </cell>
          <cell r="L220" t="str">
            <v>—</v>
          </cell>
          <cell r="M220" t="str">
            <v>—</v>
          </cell>
        </row>
        <row r="221">
          <cell r="A221" t="str">
            <v>19-4042</v>
          </cell>
          <cell r="B221" t="str">
            <v xml:space="preserve">        Environmental science and protection technicians, including health</v>
          </cell>
          <cell r="C221" t="str">
            <v>Line item</v>
          </cell>
          <cell r="D221">
            <v>49490</v>
          </cell>
          <cell r="E221">
            <v>40.4</v>
          </cell>
          <cell r="F221">
            <v>42.1</v>
          </cell>
          <cell r="G221">
            <v>1.6</v>
          </cell>
          <cell r="H221">
            <v>4</v>
          </cell>
          <cell r="I221">
            <v>5.6</v>
          </cell>
          <cell r="J221" t="str">
            <v>Associate's degree</v>
          </cell>
          <cell r="K221" t="str">
            <v>None</v>
          </cell>
          <cell r="L221" t="str">
            <v>None</v>
          </cell>
          <cell r="M221" t="str">
            <v>OOH Content</v>
          </cell>
        </row>
        <row r="222">
          <cell r="A222" t="str">
            <v>19-4043</v>
          </cell>
          <cell r="B222" t="str">
            <v xml:space="preserve">        Geological technicians, except hydrologic technicians</v>
          </cell>
          <cell r="C222" t="str">
            <v>Line item</v>
          </cell>
          <cell r="D222">
            <v>48390</v>
          </cell>
          <cell r="E222">
            <v>9.8000000000000007</v>
          </cell>
          <cell r="F222">
            <v>10</v>
          </cell>
          <cell r="G222">
            <v>0.1</v>
          </cell>
          <cell r="H222">
            <v>1.5</v>
          </cell>
          <cell r="I222">
            <v>1.3</v>
          </cell>
          <cell r="J222" t="str">
            <v>Associate's degree</v>
          </cell>
          <cell r="K222" t="str">
            <v>None</v>
          </cell>
          <cell r="L222" t="str">
            <v>Moderate-term on-the-job training</v>
          </cell>
          <cell r="M222" t="str">
            <v>OOH Content</v>
          </cell>
        </row>
        <row r="223">
          <cell r="A223" t="str">
            <v>19-4044</v>
          </cell>
          <cell r="B223" t="str">
            <v xml:space="preserve">        Hydrologic technicians</v>
          </cell>
          <cell r="C223" t="str">
            <v>Line item</v>
          </cell>
          <cell r="D223">
            <v>58570</v>
          </cell>
          <cell r="E223">
            <v>3.1</v>
          </cell>
          <cell r="F223">
            <v>3</v>
          </cell>
          <cell r="G223">
            <v>-0.1</v>
          </cell>
          <cell r="H223">
            <v>-2.1</v>
          </cell>
          <cell r="I223">
            <v>0.4</v>
          </cell>
          <cell r="J223" t="str">
            <v>Associate's degree</v>
          </cell>
          <cell r="K223" t="str">
            <v>None</v>
          </cell>
          <cell r="L223" t="str">
            <v>Moderate-term on-the-job training</v>
          </cell>
          <cell r="M223" t="str">
            <v>OOH Content</v>
          </cell>
        </row>
        <row r="224">
          <cell r="A224" t="str">
            <v>19-4051</v>
          </cell>
          <cell r="B224" t="str">
            <v xml:space="preserve">      Nuclear technicians</v>
          </cell>
          <cell r="C224" t="str">
            <v>Line item</v>
          </cell>
          <cell r="D224">
            <v>104240</v>
          </cell>
          <cell r="E224">
            <v>6</v>
          </cell>
          <cell r="F224">
            <v>5.5</v>
          </cell>
          <cell r="G224">
            <v>-0.5</v>
          </cell>
          <cell r="H224">
            <v>-7.7</v>
          </cell>
          <cell r="I224">
            <v>0.7</v>
          </cell>
          <cell r="J224" t="str">
            <v>Associate's degree</v>
          </cell>
          <cell r="K224" t="str">
            <v>None</v>
          </cell>
          <cell r="L224" t="str">
            <v>Moderate-term on-the-job training</v>
          </cell>
          <cell r="M224" t="str">
            <v>OOH Content</v>
          </cell>
        </row>
        <row r="225">
          <cell r="A225" t="str">
            <v>19-4061</v>
          </cell>
          <cell r="B225" t="str">
            <v xml:space="preserve">      Social science research assistants</v>
          </cell>
          <cell r="C225" t="str">
            <v>Line item</v>
          </cell>
          <cell r="D225">
            <v>58040</v>
          </cell>
          <cell r="E225">
            <v>40.6</v>
          </cell>
          <cell r="F225">
            <v>42.3</v>
          </cell>
          <cell r="G225">
            <v>1.8</v>
          </cell>
          <cell r="H225">
            <v>4.4000000000000004</v>
          </cell>
          <cell r="I225">
            <v>5.2</v>
          </cell>
          <cell r="J225" t="str">
            <v>Bachelor's degree</v>
          </cell>
          <cell r="K225" t="str">
            <v>None</v>
          </cell>
          <cell r="L225" t="str">
            <v>None</v>
          </cell>
          <cell r="M225" t="str">
            <v>—</v>
          </cell>
        </row>
        <row r="226">
          <cell r="A226" t="str">
            <v>19-4071</v>
          </cell>
          <cell r="B226" t="str">
            <v xml:space="preserve">      Forest and conservation technicians</v>
          </cell>
          <cell r="C226" t="str">
            <v>Line item</v>
          </cell>
          <cell r="D226">
            <v>54310</v>
          </cell>
          <cell r="E226">
            <v>33.799999999999997</v>
          </cell>
          <cell r="F226">
            <v>32.700000000000003</v>
          </cell>
          <cell r="G226">
            <v>-1.1000000000000001</v>
          </cell>
          <cell r="H226">
            <v>-3.2</v>
          </cell>
          <cell r="I226">
            <v>3.9</v>
          </cell>
          <cell r="J226" t="str">
            <v>Associate's degree</v>
          </cell>
          <cell r="K226" t="str">
            <v>None</v>
          </cell>
          <cell r="L226" t="str">
            <v>None</v>
          </cell>
          <cell r="M226" t="str">
            <v>—</v>
          </cell>
        </row>
        <row r="227">
          <cell r="A227" t="str">
            <v>19-4090</v>
          </cell>
          <cell r="B227" t="str">
            <v xml:space="preserve">      Miscellaneous life, physical, and social science technicians</v>
          </cell>
          <cell r="C227" t="str">
            <v>Summary</v>
          </cell>
          <cell r="D227">
            <v>61570</v>
          </cell>
          <cell r="E227">
            <v>103.9</v>
          </cell>
          <cell r="F227">
            <v>109.5</v>
          </cell>
          <cell r="G227">
            <v>5.6</v>
          </cell>
          <cell r="H227">
            <v>5.4</v>
          </cell>
          <cell r="I227">
            <v>13.5</v>
          </cell>
          <cell r="J227" t="str">
            <v>—</v>
          </cell>
          <cell r="K227" t="str">
            <v>—</v>
          </cell>
          <cell r="L227" t="str">
            <v>—</v>
          </cell>
          <cell r="M227" t="str">
            <v>—</v>
          </cell>
        </row>
        <row r="228">
          <cell r="A228" t="str">
            <v>19-4092</v>
          </cell>
          <cell r="B228" t="str">
            <v xml:space="preserve">        Forensic science technicians</v>
          </cell>
          <cell r="C228" t="str">
            <v>Line item</v>
          </cell>
          <cell r="D228">
            <v>67440</v>
          </cell>
          <cell r="E228">
            <v>20.7</v>
          </cell>
          <cell r="F228">
            <v>23.3</v>
          </cell>
          <cell r="G228">
            <v>2.6</v>
          </cell>
          <cell r="H228">
            <v>12.8</v>
          </cell>
          <cell r="I228">
            <v>2.9</v>
          </cell>
          <cell r="J228" t="str">
            <v>Bachelor's degree</v>
          </cell>
          <cell r="K228" t="str">
            <v>None</v>
          </cell>
          <cell r="L228" t="str">
            <v>Moderate-term on-the-job training</v>
          </cell>
          <cell r="M228" t="str">
            <v>OOH Content</v>
          </cell>
        </row>
        <row r="229">
          <cell r="A229" t="str">
            <v>19-4099</v>
          </cell>
          <cell r="B229" t="str">
            <v xml:space="preserve">        Life, physical, and social science technicians, all other</v>
          </cell>
          <cell r="C229" t="str">
            <v>Line item</v>
          </cell>
          <cell r="D229">
            <v>60130</v>
          </cell>
          <cell r="E229">
            <v>83.2</v>
          </cell>
          <cell r="F229">
            <v>86.2</v>
          </cell>
          <cell r="G229">
            <v>2.9</v>
          </cell>
          <cell r="H229">
            <v>3.5</v>
          </cell>
          <cell r="I229">
            <v>10.6</v>
          </cell>
          <cell r="J229" t="str">
            <v>Associate's degree</v>
          </cell>
          <cell r="K229" t="str">
            <v>None</v>
          </cell>
          <cell r="L229" t="str">
            <v>None</v>
          </cell>
          <cell r="M229" t="str">
            <v>—</v>
          </cell>
        </row>
        <row r="230">
          <cell r="A230" t="str">
            <v>19-5000</v>
          </cell>
          <cell r="B230" t="str">
            <v xml:space="preserve">    Occupational health and safety specialists and technicians</v>
          </cell>
          <cell r="C230" t="str">
            <v>Summary</v>
          </cell>
          <cell r="D230">
            <v>78900</v>
          </cell>
          <cell r="E230">
            <v>163.69999999999999</v>
          </cell>
          <cell r="F230">
            <v>183</v>
          </cell>
          <cell r="G230">
            <v>19.2</v>
          </cell>
          <cell r="H230">
            <v>11.7</v>
          </cell>
          <cell r="I230">
            <v>18.3</v>
          </cell>
          <cell r="J230" t="str">
            <v>—</v>
          </cell>
          <cell r="K230" t="str">
            <v>—</v>
          </cell>
          <cell r="L230" t="str">
            <v>—</v>
          </cell>
          <cell r="M230" t="str">
            <v>—</v>
          </cell>
        </row>
        <row r="231">
          <cell r="A231" t="str">
            <v>19-5011</v>
          </cell>
          <cell r="B231" t="str">
            <v xml:space="preserve">      Occupational health and safety specialists</v>
          </cell>
          <cell r="C231" t="str">
            <v>Line item</v>
          </cell>
          <cell r="D231">
            <v>83910</v>
          </cell>
          <cell r="E231">
            <v>131.9</v>
          </cell>
          <cell r="F231">
            <v>148.4</v>
          </cell>
          <cell r="G231">
            <v>16.5</v>
          </cell>
          <cell r="H231">
            <v>12.5</v>
          </cell>
          <cell r="I231">
            <v>14.9</v>
          </cell>
          <cell r="J231" t="str">
            <v>Bachelor's degree</v>
          </cell>
          <cell r="K231" t="str">
            <v>None</v>
          </cell>
          <cell r="L231" t="str">
            <v>None</v>
          </cell>
          <cell r="M231" t="str">
            <v>OOH Content</v>
          </cell>
        </row>
        <row r="232">
          <cell r="A232" t="str">
            <v>19-5012</v>
          </cell>
          <cell r="B232" t="str">
            <v xml:space="preserve">      Occupational health and safety technicians</v>
          </cell>
          <cell r="C232" t="str">
            <v>Line item</v>
          </cell>
          <cell r="D232">
            <v>58440</v>
          </cell>
          <cell r="E232">
            <v>31.9</v>
          </cell>
          <cell r="F232">
            <v>34.6</v>
          </cell>
          <cell r="G232">
            <v>2.7</v>
          </cell>
          <cell r="H232">
            <v>8.5</v>
          </cell>
          <cell r="I232">
            <v>3.4</v>
          </cell>
          <cell r="J232" t="str">
            <v>High school diploma or equivalent</v>
          </cell>
          <cell r="K232" t="str">
            <v>None</v>
          </cell>
          <cell r="L232" t="str">
            <v>Moderate-term on-the-job training</v>
          </cell>
          <cell r="M232" t="str">
            <v>OOH Content</v>
          </cell>
        </row>
        <row r="233">
          <cell r="A233" t="str">
            <v>21-0000</v>
          </cell>
          <cell r="B233" t="str">
            <v xml:space="preserve">  Community and social service occupations</v>
          </cell>
          <cell r="C233" t="str">
            <v>Summary</v>
          </cell>
          <cell r="D233">
            <v>57530</v>
          </cell>
          <cell r="E233">
            <v>3196.9</v>
          </cell>
          <cell r="F233">
            <v>3409.2</v>
          </cell>
          <cell r="G233">
            <v>212.3</v>
          </cell>
          <cell r="H233">
            <v>6.6</v>
          </cell>
          <cell r="I233">
            <v>313.7</v>
          </cell>
          <cell r="J233" t="str">
            <v>—</v>
          </cell>
          <cell r="K233" t="str">
            <v>—</v>
          </cell>
          <cell r="L233" t="str">
            <v>—</v>
          </cell>
          <cell r="M233" t="str">
            <v>—</v>
          </cell>
        </row>
        <row r="234">
          <cell r="A234" t="str">
            <v>21-1000</v>
          </cell>
          <cell r="B234" t="str">
            <v xml:space="preserve">    Counselors, social workers, and other community and social service specialists</v>
          </cell>
          <cell r="C234" t="str">
            <v>Summary</v>
          </cell>
          <cell r="D234">
            <v>57480</v>
          </cell>
          <cell r="E234">
            <v>2707.5</v>
          </cell>
          <cell r="F234">
            <v>2913.8</v>
          </cell>
          <cell r="G234">
            <v>206.3</v>
          </cell>
          <cell r="H234">
            <v>7.6</v>
          </cell>
          <cell r="I234">
            <v>265.8</v>
          </cell>
          <cell r="J234" t="str">
            <v>—</v>
          </cell>
          <cell r="K234" t="str">
            <v>—</v>
          </cell>
          <cell r="L234" t="str">
            <v>—</v>
          </cell>
          <cell r="M234" t="str">
            <v>—</v>
          </cell>
        </row>
        <row r="235">
          <cell r="A235" t="str">
            <v>21-1010</v>
          </cell>
          <cell r="B235" t="str">
            <v xml:space="preserve">      Counselors</v>
          </cell>
          <cell r="C235" t="str">
            <v>Summary</v>
          </cell>
          <cell r="D235">
            <v>60200</v>
          </cell>
          <cell r="E235">
            <v>1098.5999999999999</v>
          </cell>
          <cell r="F235">
            <v>1212.8</v>
          </cell>
          <cell r="G235">
            <v>114.2</v>
          </cell>
          <cell r="H235">
            <v>10.4</v>
          </cell>
          <cell r="I235">
            <v>104.4</v>
          </cell>
          <cell r="J235" t="str">
            <v>—</v>
          </cell>
          <cell r="K235" t="str">
            <v>—</v>
          </cell>
          <cell r="L235" t="str">
            <v>—</v>
          </cell>
          <cell r="M235" t="str">
            <v>—</v>
          </cell>
        </row>
        <row r="236">
          <cell r="A236" t="str">
            <v>21-1012</v>
          </cell>
          <cell r="B236" t="str">
            <v xml:space="preserve">        Educational, guidance, and career counselors and advisors</v>
          </cell>
          <cell r="C236" t="str">
            <v>Line item</v>
          </cell>
          <cell r="D236">
            <v>65140</v>
          </cell>
          <cell r="E236">
            <v>376.3</v>
          </cell>
          <cell r="F236">
            <v>389.6</v>
          </cell>
          <cell r="G236">
            <v>13.3</v>
          </cell>
          <cell r="H236">
            <v>3.5</v>
          </cell>
          <cell r="I236">
            <v>31</v>
          </cell>
          <cell r="J236" t="str">
            <v>Master's degree</v>
          </cell>
          <cell r="K236" t="str">
            <v>None</v>
          </cell>
          <cell r="L236" t="str">
            <v>None</v>
          </cell>
          <cell r="M236" t="str">
            <v>OOH Content</v>
          </cell>
        </row>
        <row r="237">
          <cell r="A237" t="str">
            <v>21-1013</v>
          </cell>
          <cell r="B237" t="str">
            <v xml:space="preserve">        Marriage and family therapists</v>
          </cell>
          <cell r="C237" t="str">
            <v>Line item</v>
          </cell>
          <cell r="D237">
            <v>63780</v>
          </cell>
          <cell r="E237">
            <v>77.8</v>
          </cell>
          <cell r="F237">
            <v>87.7</v>
          </cell>
          <cell r="G237">
            <v>9.8000000000000007</v>
          </cell>
          <cell r="H237">
            <v>12.6</v>
          </cell>
          <cell r="I237">
            <v>7.7</v>
          </cell>
          <cell r="J237" t="str">
            <v>Master's degree</v>
          </cell>
          <cell r="K237" t="str">
            <v>None</v>
          </cell>
          <cell r="L237" t="str">
            <v>Internship/residency</v>
          </cell>
          <cell r="M237" t="str">
            <v>OOH Content</v>
          </cell>
        </row>
        <row r="238">
          <cell r="A238" t="str">
            <v>21-1015</v>
          </cell>
          <cell r="B238" t="str">
            <v xml:space="preserve">        Rehabilitation counselors</v>
          </cell>
          <cell r="C238" t="str">
            <v>Line item</v>
          </cell>
          <cell r="D238">
            <v>46110</v>
          </cell>
          <cell r="E238">
            <v>91.9</v>
          </cell>
          <cell r="F238">
            <v>93.2</v>
          </cell>
          <cell r="G238">
            <v>1.3</v>
          </cell>
          <cell r="H238">
            <v>1.4</v>
          </cell>
          <cell r="I238">
            <v>10</v>
          </cell>
          <cell r="J238" t="str">
            <v>Master's degree</v>
          </cell>
          <cell r="K238" t="str">
            <v>None</v>
          </cell>
          <cell r="L238" t="str">
            <v>None</v>
          </cell>
          <cell r="M238" t="str">
            <v>OOH Content</v>
          </cell>
        </row>
        <row r="239">
          <cell r="A239" t="str">
            <v>21-1018</v>
          </cell>
          <cell r="B239" t="str">
            <v xml:space="preserve">        Substance abuse, behavioral disorder, and mental health counselors</v>
          </cell>
          <cell r="C239" t="str">
            <v>Line item</v>
          </cell>
          <cell r="D239">
            <v>59190</v>
          </cell>
          <cell r="E239">
            <v>483.5</v>
          </cell>
          <cell r="F239">
            <v>564.6</v>
          </cell>
          <cell r="G239">
            <v>81</v>
          </cell>
          <cell r="H239">
            <v>16.8</v>
          </cell>
          <cell r="I239">
            <v>48.3</v>
          </cell>
          <cell r="J239" t="str">
            <v>Master's degree</v>
          </cell>
          <cell r="K239" t="str">
            <v>None</v>
          </cell>
          <cell r="L239" t="str">
            <v>Internship/residency</v>
          </cell>
          <cell r="M239" t="str">
            <v>OOH Content</v>
          </cell>
        </row>
        <row r="240">
          <cell r="A240" t="str">
            <v>21-1019</v>
          </cell>
          <cell r="B240" t="str">
            <v xml:space="preserve">        Counselors, all other</v>
          </cell>
          <cell r="C240" t="str">
            <v>Line item</v>
          </cell>
          <cell r="D240">
            <v>49830</v>
          </cell>
          <cell r="E240">
            <v>69.099999999999994</v>
          </cell>
          <cell r="F240">
            <v>77.8</v>
          </cell>
          <cell r="G240">
            <v>8.6999999999999993</v>
          </cell>
          <cell r="H240">
            <v>12.6</v>
          </cell>
          <cell r="I240">
            <v>7.4</v>
          </cell>
          <cell r="J240" t="str">
            <v>Master's degree</v>
          </cell>
          <cell r="K240" t="str">
            <v>None</v>
          </cell>
          <cell r="L240" t="str">
            <v>None</v>
          </cell>
          <cell r="M240" t="str">
            <v>—</v>
          </cell>
        </row>
        <row r="241">
          <cell r="A241" t="str">
            <v>21-1020</v>
          </cell>
          <cell r="B241" t="str">
            <v xml:space="preserve">      Social workers</v>
          </cell>
          <cell r="C241" t="str">
            <v>Summary</v>
          </cell>
          <cell r="D241">
            <v>61330</v>
          </cell>
          <cell r="E241">
            <v>810.9</v>
          </cell>
          <cell r="F241">
            <v>855.6</v>
          </cell>
          <cell r="G241">
            <v>44.7</v>
          </cell>
          <cell r="H241">
            <v>5.5</v>
          </cell>
          <cell r="I241">
            <v>74</v>
          </cell>
          <cell r="J241" t="str">
            <v>—</v>
          </cell>
          <cell r="K241" t="str">
            <v>—</v>
          </cell>
          <cell r="L241" t="str">
            <v>—</v>
          </cell>
          <cell r="M241" t="str">
            <v>—</v>
          </cell>
        </row>
        <row r="242">
          <cell r="A242" t="str">
            <v>21-1021</v>
          </cell>
          <cell r="B242" t="str">
            <v xml:space="preserve">        Child, family, and school social workers</v>
          </cell>
          <cell r="C242" t="str">
            <v>Line item</v>
          </cell>
          <cell r="D242">
            <v>58570</v>
          </cell>
          <cell r="E242">
            <v>399.9</v>
          </cell>
          <cell r="F242">
            <v>413.3</v>
          </cell>
          <cell r="G242">
            <v>13.4</v>
          </cell>
          <cell r="H242">
            <v>3.4</v>
          </cell>
          <cell r="I242">
            <v>35.1</v>
          </cell>
          <cell r="J242" t="str">
            <v>Bachelor's degree</v>
          </cell>
          <cell r="K242" t="str">
            <v>None</v>
          </cell>
          <cell r="L242" t="str">
            <v>None</v>
          </cell>
          <cell r="M242" t="str">
            <v>OOH Content</v>
          </cell>
        </row>
        <row r="243">
          <cell r="A243" t="str">
            <v>21-1022</v>
          </cell>
          <cell r="B243" t="str">
            <v xml:space="preserve">        Healthcare social workers</v>
          </cell>
          <cell r="C243" t="str">
            <v>Line item</v>
          </cell>
          <cell r="D243">
            <v>68090</v>
          </cell>
          <cell r="E243">
            <v>193.2</v>
          </cell>
          <cell r="F243">
            <v>208.1</v>
          </cell>
          <cell r="G243">
            <v>14.8</v>
          </cell>
          <cell r="H243">
            <v>7.7</v>
          </cell>
          <cell r="I243">
            <v>18.399999999999999</v>
          </cell>
          <cell r="J243" t="str">
            <v>Master's degree</v>
          </cell>
          <cell r="K243" t="str">
            <v>None</v>
          </cell>
          <cell r="L243" t="str">
            <v>Internship/residency</v>
          </cell>
          <cell r="M243" t="str">
            <v>OOH Content</v>
          </cell>
        </row>
        <row r="244">
          <cell r="A244" t="str">
            <v>21-1023</v>
          </cell>
          <cell r="B244" t="str">
            <v xml:space="preserve">        Mental health and substance abuse social workers</v>
          </cell>
          <cell r="C244" t="str">
            <v>Line item</v>
          </cell>
          <cell r="D244">
            <v>60060</v>
          </cell>
          <cell r="E244">
            <v>136.80000000000001</v>
          </cell>
          <cell r="F244">
            <v>150.1</v>
          </cell>
          <cell r="G244">
            <v>13.3</v>
          </cell>
          <cell r="H244">
            <v>9.6999999999999993</v>
          </cell>
          <cell r="I244">
            <v>13.5</v>
          </cell>
          <cell r="J244" t="str">
            <v>Master's degree</v>
          </cell>
          <cell r="K244" t="str">
            <v>None</v>
          </cell>
          <cell r="L244" t="str">
            <v>Internship/residency</v>
          </cell>
          <cell r="M244" t="str">
            <v>OOH Content</v>
          </cell>
        </row>
        <row r="245">
          <cell r="A245" t="str">
            <v>21-1029</v>
          </cell>
          <cell r="B245" t="str">
            <v xml:space="preserve">        Social workers, all other</v>
          </cell>
          <cell r="C245" t="str">
            <v>Line item</v>
          </cell>
          <cell r="D245">
            <v>69480</v>
          </cell>
          <cell r="E245">
            <v>81</v>
          </cell>
          <cell r="F245">
            <v>84.1</v>
          </cell>
          <cell r="G245">
            <v>3.1</v>
          </cell>
          <cell r="H245">
            <v>3.9</v>
          </cell>
          <cell r="I245">
            <v>7</v>
          </cell>
          <cell r="J245" t="str">
            <v>Bachelor's degree</v>
          </cell>
          <cell r="K245" t="str">
            <v>None</v>
          </cell>
          <cell r="L245" t="str">
            <v>None</v>
          </cell>
          <cell r="M245" t="str">
            <v>OOH Content</v>
          </cell>
        </row>
        <row r="246">
          <cell r="A246" t="str">
            <v>21-1090</v>
          </cell>
          <cell r="B246" t="str">
            <v xml:space="preserve">      Miscellaneous community and social service specialists</v>
          </cell>
          <cell r="C246" t="str">
            <v>Summary</v>
          </cell>
          <cell r="D246">
            <v>48790</v>
          </cell>
          <cell r="E246">
            <v>798</v>
          </cell>
          <cell r="F246">
            <v>845.4</v>
          </cell>
          <cell r="G246">
            <v>47.4</v>
          </cell>
          <cell r="H246">
            <v>5.9</v>
          </cell>
          <cell r="I246">
            <v>87.4</v>
          </cell>
          <cell r="J246" t="str">
            <v>—</v>
          </cell>
          <cell r="K246" t="str">
            <v>—</v>
          </cell>
          <cell r="L246" t="str">
            <v>—</v>
          </cell>
          <cell r="M246" t="str">
            <v>—</v>
          </cell>
        </row>
        <row r="247">
          <cell r="A247" t="str">
            <v>21-1091</v>
          </cell>
          <cell r="B247" t="str">
            <v xml:space="preserve">        Health education specialists</v>
          </cell>
          <cell r="C247" t="str">
            <v>Line item</v>
          </cell>
          <cell r="D247">
            <v>63000</v>
          </cell>
          <cell r="E247">
            <v>71.8</v>
          </cell>
          <cell r="F247">
            <v>75</v>
          </cell>
          <cell r="G247">
            <v>3.2</v>
          </cell>
          <cell r="H247">
            <v>4.5</v>
          </cell>
          <cell r="I247">
            <v>7.9</v>
          </cell>
          <cell r="J247" t="str">
            <v>Bachelor's degree</v>
          </cell>
          <cell r="K247" t="str">
            <v>None</v>
          </cell>
          <cell r="L247" t="str">
            <v>None</v>
          </cell>
          <cell r="M247" t="str">
            <v>OOH Content</v>
          </cell>
        </row>
        <row r="248">
          <cell r="A248" t="str">
            <v>21-1092</v>
          </cell>
          <cell r="B248" t="str">
            <v xml:space="preserve">        Probation officers and correctional treatment specialists</v>
          </cell>
          <cell r="C248" t="str">
            <v>Line item</v>
          </cell>
          <cell r="D248">
            <v>64520</v>
          </cell>
          <cell r="E248">
            <v>92.3</v>
          </cell>
          <cell r="F248">
            <v>94.8</v>
          </cell>
          <cell r="G248">
            <v>2.4</v>
          </cell>
          <cell r="H248">
            <v>2.6</v>
          </cell>
          <cell r="I248">
            <v>7.9</v>
          </cell>
          <cell r="J248" t="str">
            <v>Bachelor's degree</v>
          </cell>
          <cell r="K248" t="str">
            <v>None</v>
          </cell>
          <cell r="L248" t="str">
            <v>Moderate-term on-the-job training</v>
          </cell>
          <cell r="M248" t="str">
            <v>OOH Content</v>
          </cell>
        </row>
        <row r="249">
          <cell r="A249" t="str">
            <v>21-1093</v>
          </cell>
          <cell r="B249" t="str">
            <v xml:space="preserve">        Social and human service assistants</v>
          </cell>
          <cell r="C249" t="str">
            <v>Line item</v>
          </cell>
          <cell r="D249">
            <v>45120</v>
          </cell>
          <cell r="E249">
            <v>449.6</v>
          </cell>
          <cell r="F249">
            <v>478.5</v>
          </cell>
          <cell r="G249">
            <v>28.9</v>
          </cell>
          <cell r="H249">
            <v>6.4</v>
          </cell>
          <cell r="I249">
            <v>50.6</v>
          </cell>
          <cell r="J249" t="str">
            <v>High school diploma or equivalent</v>
          </cell>
          <cell r="K249" t="str">
            <v>None</v>
          </cell>
          <cell r="L249" t="str">
            <v>Short-term on-the-job training</v>
          </cell>
          <cell r="M249" t="str">
            <v>OOH Content</v>
          </cell>
        </row>
        <row r="250">
          <cell r="A250" t="str">
            <v>21-1094</v>
          </cell>
          <cell r="B250" t="str">
            <v xml:space="preserve">        Community health workers</v>
          </cell>
          <cell r="C250" t="str">
            <v>Line item</v>
          </cell>
          <cell r="D250">
            <v>51030</v>
          </cell>
          <cell r="E250">
            <v>65.099999999999994</v>
          </cell>
          <cell r="F250">
            <v>72.5</v>
          </cell>
          <cell r="G250">
            <v>7.4</v>
          </cell>
          <cell r="H250">
            <v>11.3</v>
          </cell>
          <cell r="I250">
            <v>7.8</v>
          </cell>
          <cell r="J250" t="str">
            <v>High school diploma or equivalent</v>
          </cell>
          <cell r="K250" t="str">
            <v>None</v>
          </cell>
          <cell r="L250" t="str">
            <v>Short-term on-the-job training</v>
          </cell>
          <cell r="M250" t="str">
            <v>OOH Content</v>
          </cell>
        </row>
        <row r="251">
          <cell r="A251" t="str">
            <v>21-1099</v>
          </cell>
          <cell r="B251" t="str">
            <v xml:space="preserve">        Community and social service specialists, all other</v>
          </cell>
          <cell r="C251" t="str">
            <v>Line item</v>
          </cell>
          <cell r="D251">
            <v>54940</v>
          </cell>
          <cell r="E251">
            <v>119.2</v>
          </cell>
          <cell r="F251">
            <v>124.7</v>
          </cell>
          <cell r="G251">
            <v>5.5</v>
          </cell>
          <cell r="H251">
            <v>4.5999999999999996</v>
          </cell>
          <cell r="I251">
            <v>13.1</v>
          </cell>
          <cell r="J251" t="str">
            <v>Bachelor's degree</v>
          </cell>
          <cell r="K251" t="str">
            <v>None</v>
          </cell>
          <cell r="L251" t="str">
            <v>None</v>
          </cell>
          <cell r="M251" t="str">
            <v>—</v>
          </cell>
        </row>
        <row r="252">
          <cell r="A252" t="str">
            <v>21-2000</v>
          </cell>
          <cell r="B252" t="str">
            <v xml:space="preserve">    Religious workers</v>
          </cell>
          <cell r="C252" t="str">
            <v>Summary</v>
          </cell>
          <cell r="D252">
            <v>58570</v>
          </cell>
          <cell r="E252">
            <v>489.4</v>
          </cell>
          <cell r="F252">
            <v>495.4</v>
          </cell>
          <cell r="G252">
            <v>6</v>
          </cell>
          <cell r="H252">
            <v>1.2</v>
          </cell>
          <cell r="I252">
            <v>47.9</v>
          </cell>
          <cell r="J252" t="str">
            <v>—</v>
          </cell>
          <cell r="K252" t="str">
            <v>—</v>
          </cell>
          <cell r="L252" t="str">
            <v>—</v>
          </cell>
          <cell r="M252" t="str">
            <v>—</v>
          </cell>
        </row>
        <row r="253">
          <cell r="A253" t="str">
            <v>21-2011</v>
          </cell>
          <cell r="B253" t="str">
            <v xml:space="preserve">      Clergy</v>
          </cell>
          <cell r="C253" t="str">
            <v>Line item</v>
          </cell>
          <cell r="D253">
            <v>60820</v>
          </cell>
          <cell r="E253">
            <v>262</v>
          </cell>
          <cell r="F253">
            <v>264.60000000000002</v>
          </cell>
          <cell r="G253">
            <v>2.6</v>
          </cell>
          <cell r="H253">
            <v>1</v>
          </cell>
          <cell r="I253">
            <v>23</v>
          </cell>
          <cell r="J253" t="str">
            <v>Bachelor's degree</v>
          </cell>
          <cell r="K253" t="str">
            <v>None</v>
          </cell>
          <cell r="L253" t="str">
            <v>Moderate-term on-the-job training</v>
          </cell>
          <cell r="M253" t="str">
            <v>—</v>
          </cell>
        </row>
        <row r="254">
          <cell r="A254" t="str">
            <v>21-2021</v>
          </cell>
          <cell r="B254" t="str">
            <v xml:space="preserve">      Directors, religious activities and education</v>
          </cell>
          <cell r="C254" t="str">
            <v>Line item</v>
          </cell>
          <cell r="D254">
            <v>54840</v>
          </cell>
          <cell r="E254">
            <v>138.9</v>
          </cell>
          <cell r="F254">
            <v>141.80000000000001</v>
          </cell>
          <cell r="G254">
            <v>2.9</v>
          </cell>
          <cell r="H254">
            <v>2.1</v>
          </cell>
          <cell r="I254">
            <v>13.8</v>
          </cell>
          <cell r="J254" t="str">
            <v>Bachelor's degree</v>
          </cell>
          <cell r="K254" t="str">
            <v>Less than 5 years</v>
          </cell>
          <cell r="L254" t="str">
            <v>None</v>
          </cell>
          <cell r="M254" t="str">
            <v>—</v>
          </cell>
        </row>
        <row r="255">
          <cell r="A255" t="str">
            <v>21-2099</v>
          </cell>
          <cell r="B255" t="str">
            <v xml:space="preserve">      Religious workers, all other</v>
          </cell>
          <cell r="C255" t="str">
            <v>Line item</v>
          </cell>
          <cell r="D255">
            <v>45120</v>
          </cell>
          <cell r="E255">
            <v>88.4</v>
          </cell>
          <cell r="F255">
            <v>89</v>
          </cell>
          <cell r="G255">
            <v>0.6</v>
          </cell>
          <cell r="H255">
            <v>0.6</v>
          </cell>
          <cell r="I255">
            <v>11.1</v>
          </cell>
          <cell r="J255" t="str">
            <v>Bachelor's degree</v>
          </cell>
          <cell r="K255" t="str">
            <v>None</v>
          </cell>
          <cell r="L255" t="str">
            <v>None</v>
          </cell>
          <cell r="M255" t="str">
            <v>—</v>
          </cell>
        </row>
        <row r="256">
          <cell r="A256" t="str">
            <v>23-0000</v>
          </cell>
          <cell r="B256" t="str">
            <v xml:space="preserve">  Legal occupations</v>
          </cell>
          <cell r="C256" t="str">
            <v>Summary</v>
          </cell>
          <cell r="D256">
            <v>99990</v>
          </cell>
          <cell r="E256">
            <v>1418.2</v>
          </cell>
          <cell r="F256">
            <v>1456.5</v>
          </cell>
          <cell r="G256">
            <v>38.299999999999997</v>
          </cell>
          <cell r="H256">
            <v>2.7</v>
          </cell>
          <cell r="I256">
            <v>83.8</v>
          </cell>
          <cell r="J256" t="str">
            <v>—</v>
          </cell>
          <cell r="K256" t="str">
            <v>—</v>
          </cell>
          <cell r="L256" t="str">
            <v>—</v>
          </cell>
          <cell r="M256" t="str">
            <v>—</v>
          </cell>
        </row>
        <row r="257">
          <cell r="A257" t="str">
            <v>23-1000</v>
          </cell>
          <cell r="B257" t="str">
            <v xml:space="preserve">    Lawyers, judges, and related workers</v>
          </cell>
          <cell r="C257" t="str">
            <v>Summary</v>
          </cell>
          <cell r="D257">
            <v>144040</v>
          </cell>
          <cell r="E257">
            <v>933.2</v>
          </cell>
          <cell r="F257">
            <v>970.4</v>
          </cell>
          <cell r="G257">
            <v>37.200000000000003</v>
          </cell>
          <cell r="H257">
            <v>4</v>
          </cell>
          <cell r="I257">
            <v>34.4</v>
          </cell>
          <cell r="J257" t="str">
            <v>—</v>
          </cell>
          <cell r="K257" t="str">
            <v>—</v>
          </cell>
          <cell r="L257" t="str">
            <v>—</v>
          </cell>
          <cell r="M257" t="str">
            <v>—</v>
          </cell>
        </row>
        <row r="258">
          <cell r="A258" t="str">
            <v>23-1010</v>
          </cell>
          <cell r="B258" t="str">
            <v xml:space="preserve">      Lawyers and judicial law clerks</v>
          </cell>
          <cell r="C258" t="str">
            <v>Summary</v>
          </cell>
          <cell r="D258">
            <v>148600</v>
          </cell>
          <cell r="E258">
            <v>879.3</v>
          </cell>
          <cell r="F258">
            <v>915.5</v>
          </cell>
          <cell r="G258">
            <v>36.200000000000003</v>
          </cell>
          <cell r="H258">
            <v>4.0999999999999996</v>
          </cell>
          <cell r="I258">
            <v>32.5</v>
          </cell>
          <cell r="J258" t="str">
            <v>—</v>
          </cell>
          <cell r="K258" t="str">
            <v>—</v>
          </cell>
          <cell r="L258" t="str">
            <v>—</v>
          </cell>
          <cell r="M258" t="str">
            <v>—</v>
          </cell>
        </row>
        <row r="259">
          <cell r="A259" t="str">
            <v>23-1011</v>
          </cell>
          <cell r="B259" t="str">
            <v xml:space="preserve">        Lawyers</v>
          </cell>
          <cell r="C259" t="str">
            <v>Line item</v>
          </cell>
          <cell r="D259">
            <v>151160</v>
          </cell>
          <cell r="E259">
            <v>864.8</v>
          </cell>
          <cell r="F259">
            <v>900.7</v>
          </cell>
          <cell r="G259">
            <v>35.9</v>
          </cell>
          <cell r="H259">
            <v>4.0999999999999996</v>
          </cell>
          <cell r="I259">
            <v>31.5</v>
          </cell>
          <cell r="J259" t="str">
            <v>Doctoral or professional degree</v>
          </cell>
          <cell r="K259" t="str">
            <v>None</v>
          </cell>
          <cell r="L259" t="str">
            <v>None</v>
          </cell>
          <cell r="M259" t="str">
            <v>OOH Content</v>
          </cell>
        </row>
        <row r="260">
          <cell r="A260" t="str">
            <v>23-1012</v>
          </cell>
          <cell r="B260" t="str">
            <v xml:space="preserve">        Judicial law clerks</v>
          </cell>
          <cell r="C260" t="str">
            <v>Line item</v>
          </cell>
          <cell r="D260">
            <v>60400</v>
          </cell>
          <cell r="E260">
            <v>14.5</v>
          </cell>
          <cell r="F260">
            <v>14.9</v>
          </cell>
          <cell r="G260">
            <v>0.4</v>
          </cell>
          <cell r="H260">
            <v>2.5</v>
          </cell>
          <cell r="I260">
            <v>1</v>
          </cell>
          <cell r="J260" t="str">
            <v>Doctoral or professional degree</v>
          </cell>
          <cell r="K260" t="str">
            <v>None</v>
          </cell>
          <cell r="L260" t="str">
            <v>None</v>
          </cell>
          <cell r="M260" t="str">
            <v>—</v>
          </cell>
        </row>
        <row r="261">
          <cell r="A261" t="str">
            <v>23-1020</v>
          </cell>
          <cell r="B261" t="str">
            <v xml:space="preserve">      Judges, magistrates, and other judicial workers</v>
          </cell>
          <cell r="C261" t="str">
            <v>Summary</v>
          </cell>
          <cell r="D261">
            <v>123220</v>
          </cell>
          <cell r="E261">
            <v>53.9</v>
          </cell>
          <cell r="F261">
            <v>54.9</v>
          </cell>
          <cell r="G261">
            <v>0.9</v>
          </cell>
          <cell r="H261">
            <v>1.8</v>
          </cell>
          <cell r="I261">
            <v>1.8</v>
          </cell>
          <cell r="J261" t="str">
            <v>—</v>
          </cell>
          <cell r="K261" t="str">
            <v>—</v>
          </cell>
          <cell r="L261" t="str">
            <v>—</v>
          </cell>
          <cell r="M261" t="str">
            <v>—</v>
          </cell>
        </row>
        <row r="262">
          <cell r="A262" t="str">
            <v>23-1021</v>
          </cell>
          <cell r="B262" t="str">
            <v xml:space="preserve">        Administrative law judges, adjudicators, and hearing officers</v>
          </cell>
          <cell r="C262" t="str">
            <v>Line item</v>
          </cell>
          <cell r="D262">
            <v>115230</v>
          </cell>
          <cell r="E262">
            <v>17.5</v>
          </cell>
          <cell r="F262">
            <v>17.399999999999999</v>
          </cell>
          <cell r="G262">
            <v>-0.1</v>
          </cell>
          <cell r="H262">
            <v>-0.7</v>
          </cell>
          <cell r="I262">
            <v>0.5</v>
          </cell>
          <cell r="J262" t="str">
            <v>Doctoral or professional degree</v>
          </cell>
          <cell r="K262" t="str">
            <v>5 years or more</v>
          </cell>
          <cell r="L262" t="str">
            <v>Short-term on-the-job training</v>
          </cell>
          <cell r="M262" t="str">
            <v>OOH Content</v>
          </cell>
        </row>
        <row r="263">
          <cell r="A263" t="str">
            <v>23-1022</v>
          </cell>
          <cell r="B263" t="str">
            <v xml:space="preserve">        Arbitrators, mediators, and conciliators</v>
          </cell>
          <cell r="C263" t="str">
            <v>Line item</v>
          </cell>
          <cell r="D263">
            <v>67710</v>
          </cell>
          <cell r="E263">
            <v>9.1</v>
          </cell>
          <cell r="F263">
            <v>9.5</v>
          </cell>
          <cell r="G263">
            <v>0.4</v>
          </cell>
          <cell r="H263">
            <v>4.3</v>
          </cell>
          <cell r="I263">
            <v>0.3</v>
          </cell>
          <cell r="J263" t="str">
            <v>Bachelor's degree</v>
          </cell>
          <cell r="K263" t="str">
            <v>Less than 5 years</v>
          </cell>
          <cell r="L263" t="str">
            <v>Moderate-term on-the-job training</v>
          </cell>
          <cell r="M263" t="str">
            <v>OOH Content</v>
          </cell>
        </row>
        <row r="264">
          <cell r="A264" t="str">
            <v>23-1023</v>
          </cell>
          <cell r="B264" t="str">
            <v xml:space="preserve">        Judges, magistrate judges, and magistrates</v>
          </cell>
          <cell r="C264" t="str">
            <v>Line item</v>
          </cell>
          <cell r="D264">
            <v>156210</v>
          </cell>
          <cell r="E264">
            <v>27.3</v>
          </cell>
          <cell r="F264">
            <v>28</v>
          </cell>
          <cell r="G264">
            <v>0.7</v>
          </cell>
          <cell r="H264">
            <v>2.5</v>
          </cell>
          <cell r="I264">
            <v>0.9</v>
          </cell>
          <cell r="J264" t="str">
            <v>Doctoral or professional degree</v>
          </cell>
          <cell r="K264" t="str">
            <v>5 years or more</v>
          </cell>
          <cell r="L264" t="str">
            <v>Short-term on-the-job training</v>
          </cell>
          <cell r="M264" t="str">
            <v>OOH Content</v>
          </cell>
        </row>
        <row r="265">
          <cell r="A265" t="str">
            <v>23-2000</v>
          </cell>
          <cell r="B265" t="str">
            <v xml:space="preserve">    Legal support workers</v>
          </cell>
          <cell r="C265" t="str">
            <v>Summary</v>
          </cell>
          <cell r="D265">
            <v>60930</v>
          </cell>
          <cell r="E265">
            <v>484.9</v>
          </cell>
          <cell r="F265">
            <v>486.1</v>
          </cell>
          <cell r="G265">
            <v>1.1000000000000001</v>
          </cell>
          <cell r="H265">
            <v>0.2</v>
          </cell>
          <cell r="I265">
            <v>49.4</v>
          </cell>
          <cell r="J265" t="str">
            <v>—</v>
          </cell>
          <cell r="K265" t="str">
            <v>—</v>
          </cell>
          <cell r="L265" t="str">
            <v>—</v>
          </cell>
          <cell r="M265" t="str">
            <v>—</v>
          </cell>
        </row>
        <row r="266">
          <cell r="A266" t="str">
            <v>23-2011</v>
          </cell>
          <cell r="B266" t="str">
            <v xml:space="preserve">      Paralegals and legal assistants</v>
          </cell>
          <cell r="C266" t="str">
            <v>Line item</v>
          </cell>
          <cell r="D266">
            <v>61010</v>
          </cell>
          <cell r="E266">
            <v>376.2</v>
          </cell>
          <cell r="F266">
            <v>376.8</v>
          </cell>
          <cell r="G266">
            <v>0.6</v>
          </cell>
          <cell r="H266">
            <v>0.2</v>
          </cell>
          <cell r="I266">
            <v>39.299999999999997</v>
          </cell>
          <cell r="J266" t="str">
            <v>Associate's degree</v>
          </cell>
          <cell r="K266" t="str">
            <v>None</v>
          </cell>
          <cell r="L266" t="str">
            <v>None</v>
          </cell>
          <cell r="M266" t="str">
            <v>OOH Content</v>
          </cell>
        </row>
        <row r="267">
          <cell r="A267" t="str">
            <v>23-2090</v>
          </cell>
          <cell r="B267" t="str">
            <v xml:space="preserve">      Miscellaneous legal support workers</v>
          </cell>
          <cell r="C267" t="str">
            <v>Summary</v>
          </cell>
          <cell r="D267">
            <v>60550</v>
          </cell>
          <cell r="E267">
            <v>108.7</v>
          </cell>
          <cell r="F267">
            <v>109.3</v>
          </cell>
          <cell r="G267">
            <v>0.5</v>
          </cell>
          <cell r="H267">
            <v>0.5</v>
          </cell>
          <cell r="I267">
            <v>10.199999999999999</v>
          </cell>
          <cell r="J267" t="str">
            <v>—</v>
          </cell>
          <cell r="K267" t="str">
            <v>—</v>
          </cell>
          <cell r="L267" t="str">
            <v>—</v>
          </cell>
          <cell r="M267" t="str">
            <v>—</v>
          </cell>
        </row>
        <row r="268">
          <cell r="A268" t="str">
            <v>23-2093</v>
          </cell>
          <cell r="B268" t="str">
            <v xml:space="preserve">        Title examiners, abstractors, and searchers</v>
          </cell>
          <cell r="C268" t="str">
            <v>Line item</v>
          </cell>
          <cell r="D268">
            <v>54980</v>
          </cell>
          <cell r="E268">
            <v>57.4</v>
          </cell>
          <cell r="F268">
            <v>58.5</v>
          </cell>
          <cell r="G268">
            <v>1.1000000000000001</v>
          </cell>
          <cell r="H268">
            <v>2</v>
          </cell>
          <cell r="I268">
            <v>5.4</v>
          </cell>
          <cell r="J268" t="str">
            <v>High school diploma or equivalent</v>
          </cell>
          <cell r="K268" t="str">
            <v>None</v>
          </cell>
          <cell r="L268" t="str">
            <v>Moderate-term on-the-job training</v>
          </cell>
          <cell r="M268" t="str">
            <v>—</v>
          </cell>
        </row>
        <row r="269">
          <cell r="A269" t="str">
            <v>23-2099</v>
          </cell>
          <cell r="B269" t="str">
            <v xml:space="preserve">        Legal support workers, all other</v>
          </cell>
          <cell r="C269" t="str">
            <v>Line item</v>
          </cell>
          <cell r="D269">
            <v>68760</v>
          </cell>
          <cell r="E269">
            <v>51.3</v>
          </cell>
          <cell r="F269">
            <v>50.7</v>
          </cell>
          <cell r="G269">
            <v>-0.6</v>
          </cell>
          <cell r="H269">
            <v>-1.2</v>
          </cell>
          <cell r="I269">
            <v>4.7</v>
          </cell>
          <cell r="J269" t="str">
            <v>Associate's degree</v>
          </cell>
          <cell r="K269" t="str">
            <v>None</v>
          </cell>
          <cell r="L269" t="str">
            <v>None</v>
          </cell>
          <cell r="M269" t="str">
            <v>—</v>
          </cell>
        </row>
        <row r="270">
          <cell r="A270" t="str">
            <v>25-0000</v>
          </cell>
          <cell r="B270" t="str">
            <v xml:space="preserve">  Educational instruction and library occupations</v>
          </cell>
          <cell r="C270" t="str">
            <v>Summary</v>
          </cell>
          <cell r="D270">
            <v>59220</v>
          </cell>
          <cell r="E270">
            <v>9813.2000000000007</v>
          </cell>
          <cell r="F270">
            <v>9875.4</v>
          </cell>
          <cell r="G270">
            <v>62.2</v>
          </cell>
          <cell r="H270">
            <v>0.6</v>
          </cell>
          <cell r="I270">
            <v>890.3</v>
          </cell>
          <cell r="J270" t="str">
            <v>—</v>
          </cell>
          <cell r="K270" t="str">
            <v>—</v>
          </cell>
          <cell r="L270" t="str">
            <v>—</v>
          </cell>
          <cell r="M270" t="str">
            <v>—</v>
          </cell>
        </row>
        <row r="271">
          <cell r="A271" t="str">
            <v>25-1000</v>
          </cell>
          <cell r="B271" t="str">
            <v xml:space="preserve">    Postsecondary teachers</v>
          </cell>
          <cell r="C271" t="str">
            <v>Summary</v>
          </cell>
          <cell r="D271">
            <v>81600</v>
          </cell>
          <cell r="E271">
            <v>1721.2</v>
          </cell>
          <cell r="F271">
            <v>1822.1</v>
          </cell>
          <cell r="G271">
            <v>100.9</v>
          </cell>
          <cell r="H271">
            <v>5.9</v>
          </cell>
          <cell r="I271">
            <v>136.4</v>
          </cell>
          <cell r="J271" t="str">
            <v>—</v>
          </cell>
          <cell r="K271" t="str">
            <v>—</v>
          </cell>
          <cell r="L271" t="str">
            <v>—</v>
          </cell>
          <cell r="M271" t="str">
            <v>—</v>
          </cell>
        </row>
        <row r="272">
          <cell r="A272" t="str">
            <v>25-1011</v>
          </cell>
          <cell r="B272" t="str">
            <v xml:space="preserve">      Business teachers, postsecondary</v>
          </cell>
          <cell r="C272" t="str">
            <v>Line item</v>
          </cell>
          <cell r="D272">
            <v>97270</v>
          </cell>
          <cell r="E272">
            <v>103.1</v>
          </cell>
          <cell r="F272">
            <v>109</v>
          </cell>
          <cell r="G272">
            <v>5.8</v>
          </cell>
          <cell r="H272">
            <v>5.7</v>
          </cell>
          <cell r="I272">
            <v>8.1</v>
          </cell>
          <cell r="J272" t="str">
            <v>Doctoral or professional degree</v>
          </cell>
          <cell r="K272" t="str">
            <v>None</v>
          </cell>
          <cell r="L272" t="str">
            <v>None</v>
          </cell>
          <cell r="M272" t="str">
            <v>OOH Content</v>
          </cell>
        </row>
        <row r="273">
          <cell r="A273" t="str">
            <v>25-1020</v>
          </cell>
          <cell r="B273" t="str">
            <v xml:space="preserve">      Math and computer science teachers, postsecondary</v>
          </cell>
          <cell r="C273" t="str">
            <v>Summary</v>
          </cell>
          <cell r="D273">
            <v>82390</v>
          </cell>
          <cell r="E273">
            <v>103.7</v>
          </cell>
          <cell r="F273">
            <v>107.4</v>
          </cell>
          <cell r="G273">
            <v>3.7</v>
          </cell>
          <cell r="H273">
            <v>3.6</v>
          </cell>
          <cell r="I273">
            <v>7.9</v>
          </cell>
          <cell r="J273" t="str">
            <v>—</v>
          </cell>
          <cell r="K273" t="str">
            <v>—</v>
          </cell>
          <cell r="L273" t="str">
            <v>—</v>
          </cell>
          <cell r="M273" t="str">
            <v>—</v>
          </cell>
        </row>
        <row r="274">
          <cell r="A274" t="str">
            <v>25-1021</v>
          </cell>
          <cell r="B274" t="str">
            <v xml:space="preserve">        Computer science teachers, postsecondary</v>
          </cell>
          <cell r="C274" t="str">
            <v>Line item</v>
          </cell>
          <cell r="D274">
            <v>96690</v>
          </cell>
          <cell r="E274">
            <v>44.8</v>
          </cell>
          <cell r="F274">
            <v>47.2</v>
          </cell>
          <cell r="G274">
            <v>2.4</v>
          </cell>
          <cell r="H274">
            <v>5.3</v>
          </cell>
          <cell r="I274">
            <v>3.5</v>
          </cell>
          <cell r="J274" t="str">
            <v>Doctoral or professional degree</v>
          </cell>
          <cell r="K274" t="str">
            <v>None</v>
          </cell>
          <cell r="L274" t="str">
            <v>None</v>
          </cell>
          <cell r="M274" t="str">
            <v>OOH Content</v>
          </cell>
        </row>
        <row r="275">
          <cell r="A275" t="str">
            <v>25-1022</v>
          </cell>
          <cell r="B275" t="str">
            <v xml:space="preserve">        Mathematical science teachers, postsecondary</v>
          </cell>
          <cell r="C275" t="str">
            <v>Line item</v>
          </cell>
          <cell r="D275">
            <v>79350</v>
          </cell>
          <cell r="E275">
            <v>58.9</v>
          </cell>
          <cell r="F275">
            <v>60.2</v>
          </cell>
          <cell r="G275">
            <v>1.3</v>
          </cell>
          <cell r="H275">
            <v>2.2999999999999998</v>
          </cell>
          <cell r="I275">
            <v>4.4000000000000004</v>
          </cell>
          <cell r="J275" t="str">
            <v>Doctoral or professional degree</v>
          </cell>
          <cell r="K275" t="str">
            <v>None</v>
          </cell>
          <cell r="L275" t="str">
            <v>None</v>
          </cell>
          <cell r="M275" t="str">
            <v>OOH Content</v>
          </cell>
        </row>
        <row r="276">
          <cell r="A276" t="str">
            <v>25-1030</v>
          </cell>
          <cell r="B276" t="str">
            <v xml:space="preserve">      Engineering and architecture teachers, postsecondary</v>
          </cell>
          <cell r="C276" t="str">
            <v>Summary</v>
          </cell>
          <cell r="D276">
            <v>105690</v>
          </cell>
          <cell r="E276">
            <v>62</v>
          </cell>
          <cell r="F276">
            <v>66.3</v>
          </cell>
          <cell r="G276">
            <v>4.3</v>
          </cell>
          <cell r="H276">
            <v>7</v>
          </cell>
          <cell r="I276">
            <v>5</v>
          </cell>
          <cell r="J276" t="str">
            <v>—</v>
          </cell>
          <cell r="K276" t="str">
            <v>—</v>
          </cell>
          <cell r="L276" t="str">
            <v>—</v>
          </cell>
          <cell r="M276" t="str">
            <v>—</v>
          </cell>
        </row>
        <row r="277">
          <cell r="A277" t="str">
            <v>25-1031</v>
          </cell>
          <cell r="B277" t="str">
            <v xml:space="preserve">        Architecture teachers, postsecondary</v>
          </cell>
          <cell r="C277" t="str">
            <v>Line item</v>
          </cell>
          <cell r="D277">
            <v>101480</v>
          </cell>
          <cell r="E277">
            <v>11.6</v>
          </cell>
          <cell r="F277">
            <v>11.9</v>
          </cell>
          <cell r="G277">
            <v>0.2</v>
          </cell>
          <cell r="H277">
            <v>2</v>
          </cell>
          <cell r="I277">
            <v>0.9</v>
          </cell>
          <cell r="J277" t="str">
            <v>Doctoral or professional degree</v>
          </cell>
          <cell r="K277" t="str">
            <v>None</v>
          </cell>
          <cell r="L277" t="str">
            <v>None</v>
          </cell>
          <cell r="M277" t="str">
            <v>OOH Content</v>
          </cell>
        </row>
        <row r="278">
          <cell r="A278" t="str">
            <v>25-1032</v>
          </cell>
          <cell r="B278" t="str">
            <v xml:space="preserve">        Engineering teachers, postsecondary</v>
          </cell>
          <cell r="C278" t="str">
            <v>Line item</v>
          </cell>
          <cell r="D278">
            <v>106120</v>
          </cell>
          <cell r="E278">
            <v>50.3</v>
          </cell>
          <cell r="F278">
            <v>54.4</v>
          </cell>
          <cell r="G278">
            <v>4.0999999999999996</v>
          </cell>
          <cell r="H278">
            <v>8.1</v>
          </cell>
          <cell r="I278">
            <v>4.0999999999999996</v>
          </cell>
          <cell r="J278" t="str">
            <v>Doctoral or professional degree</v>
          </cell>
          <cell r="K278" t="str">
            <v>None</v>
          </cell>
          <cell r="L278" t="str">
            <v>None</v>
          </cell>
          <cell r="M278" t="str">
            <v>OOH Content</v>
          </cell>
        </row>
        <row r="279">
          <cell r="A279" t="str">
            <v>25-1040</v>
          </cell>
          <cell r="B279" t="str">
            <v xml:space="preserve">      Life sciences teachers, postsecondary</v>
          </cell>
          <cell r="C279" t="str">
            <v>Summary</v>
          </cell>
          <cell r="D279">
            <v>83920</v>
          </cell>
          <cell r="E279">
            <v>78.3</v>
          </cell>
          <cell r="F279">
            <v>83.6</v>
          </cell>
          <cell r="G279">
            <v>5.3</v>
          </cell>
          <cell r="H279">
            <v>6.8</v>
          </cell>
          <cell r="I279">
            <v>6.3</v>
          </cell>
          <cell r="J279" t="str">
            <v>—</v>
          </cell>
          <cell r="K279" t="str">
            <v>—</v>
          </cell>
          <cell r="L279" t="str">
            <v>—</v>
          </cell>
          <cell r="M279" t="str">
            <v>—</v>
          </cell>
        </row>
        <row r="280">
          <cell r="A280" t="str">
            <v>25-1041</v>
          </cell>
          <cell r="B280" t="str">
            <v xml:space="preserve">        Agricultural sciences teachers, postsecondary</v>
          </cell>
          <cell r="C280" t="str">
            <v>Line item</v>
          </cell>
          <cell r="D280">
            <v>86350</v>
          </cell>
          <cell r="E280">
            <v>10.7</v>
          </cell>
          <cell r="F280">
            <v>11.2</v>
          </cell>
          <cell r="G280">
            <v>0.4</v>
          </cell>
          <cell r="H280">
            <v>4.0999999999999996</v>
          </cell>
          <cell r="I280">
            <v>0.8</v>
          </cell>
          <cell r="J280" t="str">
            <v>Doctoral or professional degree</v>
          </cell>
          <cell r="K280" t="str">
            <v>None</v>
          </cell>
          <cell r="L280" t="str">
            <v>None</v>
          </cell>
          <cell r="M280" t="str">
            <v>OOH Content</v>
          </cell>
        </row>
        <row r="281">
          <cell r="A281" t="str">
            <v>25-1042</v>
          </cell>
          <cell r="B281" t="str">
            <v xml:space="preserve">        Biological science teachers, postsecondary</v>
          </cell>
          <cell r="C281" t="str">
            <v>Line item</v>
          </cell>
          <cell r="D281">
            <v>83460</v>
          </cell>
          <cell r="E281">
            <v>66</v>
          </cell>
          <cell r="F281">
            <v>70.8</v>
          </cell>
          <cell r="G281">
            <v>4.8</v>
          </cell>
          <cell r="H281">
            <v>7.3</v>
          </cell>
          <cell r="I281">
            <v>5.4</v>
          </cell>
          <cell r="J281" t="str">
            <v>Doctoral or professional degree</v>
          </cell>
          <cell r="K281" t="str">
            <v>None</v>
          </cell>
          <cell r="L281" t="str">
            <v>None</v>
          </cell>
          <cell r="M281" t="str">
            <v>OOH Content</v>
          </cell>
        </row>
        <row r="282">
          <cell r="A282" t="str">
            <v>25-1043</v>
          </cell>
          <cell r="B282" t="str">
            <v xml:space="preserve">        Forestry and conservation science teachers, postsecondary</v>
          </cell>
          <cell r="C282" t="str">
            <v>Line item</v>
          </cell>
          <cell r="D282">
            <v>100830</v>
          </cell>
          <cell r="E282">
            <v>1.6</v>
          </cell>
          <cell r="F282">
            <v>1.7</v>
          </cell>
          <cell r="G282">
            <v>0.1</v>
          </cell>
          <cell r="H282">
            <v>4</v>
          </cell>
          <cell r="I282">
            <v>0.1</v>
          </cell>
          <cell r="J282" t="str">
            <v>Doctoral or professional degree</v>
          </cell>
          <cell r="K282" t="str">
            <v>None</v>
          </cell>
          <cell r="L282" t="str">
            <v>None</v>
          </cell>
          <cell r="M282" t="str">
            <v>OOH Content</v>
          </cell>
        </row>
        <row r="283">
          <cell r="A283" t="str">
            <v>25-1050</v>
          </cell>
          <cell r="B283" t="str">
            <v xml:space="preserve">      Physical sciences teachers, postsecondary</v>
          </cell>
          <cell r="C283" t="str">
            <v>Summary</v>
          </cell>
          <cell r="D283">
            <v>95520</v>
          </cell>
          <cell r="E283">
            <v>65.5</v>
          </cell>
          <cell r="F283">
            <v>67.099999999999994</v>
          </cell>
          <cell r="G283">
            <v>1.6</v>
          </cell>
          <cell r="H283">
            <v>2.5</v>
          </cell>
          <cell r="I283">
            <v>4.9000000000000004</v>
          </cell>
          <cell r="J283" t="str">
            <v>—</v>
          </cell>
          <cell r="K283" t="str">
            <v>—</v>
          </cell>
          <cell r="L283" t="str">
            <v>—</v>
          </cell>
          <cell r="M283" t="str">
            <v>—</v>
          </cell>
        </row>
        <row r="284">
          <cell r="A284" t="str">
            <v>25-1051</v>
          </cell>
          <cell r="B284" t="str">
            <v xml:space="preserve">        Atmospheric, earth, marine, and space sciences teachers, postsecondary</v>
          </cell>
          <cell r="C284" t="str">
            <v>Line item</v>
          </cell>
          <cell r="D284">
            <v>101390</v>
          </cell>
          <cell r="E284">
            <v>14</v>
          </cell>
          <cell r="F284">
            <v>14.4</v>
          </cell>
          <cell r="G284">
            <v>0.4</v>
          </cell>
          <cell r="H284">
            <v>2.6</v>
          </cell>
          <cell r="I284">
            <v>1</v>
          </cell>
          <cell r="J284" t="str">
            <v>Doctoral or professional degree</v>
          </cell>
          <cell r="K284" t="str">
            <v>None</v>
          </cell>
          <cell r="L284" t="str">
            <v>None</v>
          </cell>
          <cell r="M284" t="str">
            <v>OOH Content</v>
          </cell>
        </row>
        <row r="285">
          <cell r="A285" t="str">
            <v>25-1052</v>
          </cell>
          <cell r="B285" t="str">
            <v xml:space="preserve">        Chemistry teachers, postsecondary</v>
          </cell>
          <cell r="C285" t="str">
            <v>Line item</v>
          </cell>
          <cell r="D285">
            <v>86220</v>
          </cell>
          <cell r="E285">
            <v>25.4</v>
          </cell>
          <cell r="F285">
            <v>26</v>
          </cell>
          <cell r="G285">
            <v>0.6</v>
          </cell>
          <cell r="H285">
            <v>2.2000000000000002</v>
          </cell>
          <cell r="I285">
            <v>1.9</v>
          </cell>
          <cell r="J285" t="str">
            <v>Doctoral or professional degree</v>
          </cell>
          <cell r="K285" t="str">
            <v>None</v>
          </cell>
          <cell r="L285" t="str">
            <v>None</v>
          </cell>
          <cell r="M285" t="str">
            <v>OOH Content</v>
          </cell>
        </row>
        <row r="286">
          <cell r="A286" t="str">
            <v>25-1053</v>
          </cell>
          <cell r="B286" t="str">
            <v xml:space="preserve">        Environmental science teachers, postsecondary</v>
          </cell>
          <cell r="C286" t="str">
            <v>Line item</v>
          </cell>
          <cell r="D286">
            <v>87710</v>
          </cell>
          <cell r="E286">
            <v>9</v>
          </cell>
          <cell r="F286">
            <v>9.3000000000000007</v>
          </cell>
          <cell r="G286">
            <v>0.3</v>
          </cell>
          <cell r="H286">
            <v>2.9</v>
          </cell>
          <cell r="I286">
            <v>0.7</v>
          </cell>
          <cell r="J286" t="str">
            <v>Doctoral or professional degree</v>
          </cell>
          <cell r="K286" t="str">
            <v>None</v>
          </cell>
          <cell r="L286" t="str">
            <v>None</v>
          </cell>
          <cell r="M286" t="str">
            <v>OOH Content</v>
          </cell>
        </row>
        <row r="287">
          <cell r="A287" t="str">
            <v>25-1054</v>
          </cell>
          <cell r="B287" t="str">
            <v xml:space="preserve">        Physics teachers, postsecondary</v>
          </cell>
          <cell r="C287" t="str">
            <v>Line item</v>
          </cell>
          <cell r="D287">
            <v>97360</v>
          </cell>
          <cell r="E287">
            <v>17.100000000000001</v>
          </cell>
          <cell r="F287">
            <v>17.5</v>
          </cell>
          <cell r="G287">
            <v>0.4</v>
          </cell>
          <cell r="H287">
            <v>2.5</v>
          </cell>
          <cell r="I287">
            <v>1.3</v>
          </cell>
          <cell r="J287" t="str">
            <v>Doctoral or professional degree</v>
          </cell>
          <cell r="K287" t="str">
            <v>None</v>
          </cell>
          <cell r="L287" t="str">
            <v>None</v>
          </cell>
          <cell r="M287" t="str">
            <v>OOH Content</v>
          </cell>
        </row>
        <row r="288">
          <cell r="A288" t="str">
            <v>25-1060</v>
          </cell>
          <cell r="B288" t="str">
            <v xml:space="preserve">      Social sciences teachers, postsecondary</v>
          </cell>
          <cell r="C288" t="str">
            <v>Summary</v>
          </cell>
          <cell r="D288">
            <v>83360</v>
          </cell>
          <cell r="E288">
            <v>151.19999999999999</v>
          </cell>
          <cell r="F288">
            <v>155.19999999999999</v>
          </cell>
          <cell r="G288">
            <v>4</v>
          </cell>
          <cell r="H288">
            <v>2.7</v>
          </cell>
          <cell r="I288">
            <v>11.3</v>
          </cell>
          <cell r="J288" t="str">
            <v>—</v>
          </cell>
          <cell r="K288" t="str">
            <v>—</v>
          </cell>
          <cell r="L288" t="str">
            <v>—</v>
          </cell>
          <cell r="M288" t="str">
            <v>—</v>
          </cell>
        </row>
        <row r="289">
          <cell r="A289" t="str">
            <v>25-1061</v>
          </cell>
          <cell r="B289" t="str">
            <v xml:space="preserve">        Anthropology and archeology teachers, postsecondary</v>
          </cell>
          <cell r="C289" t="str">
            <v>Line item</v>
          </cell>
          <cell r="D289">
            <v>95770</v>
          </cell>
          <cell r="E289">
            <v>6.5</v>
          </cell>
          <cell r="F289">
            <v>6.7</v>
          </cell>
          <cell r="G289">
            <v>0.2</v>
          </cell>
          <cell r="H289">
            <v>2.7</v>
          </cell>
          <cell r="I289">
            <v>0.5</v>
          </cell>
          <cell r="J289" t="str">
            <v>Doctoral or professional degree</v>
          </cell>
          <cell r="K289" t="str">
            <v>None</v>
          </cell>
          <cell r="L289" t="str">
            <v>None</v>
          </cell>
          <cell r="M289" t="str">
            <v>OOH Content</v>
          </cell>
        </row>
        <row r="290">
          <cell r="A290" t="str">
            <v>25-1062</v>
          </cell>
          <cell r="B290" t="str">
            <v xml:space="preserve">        Area, ethnic, and cultural studies teachers, postsecondary</v>
          </cell>
          <cell r="C290" t="str">
            <v>Line item</v>
          </cell>
          <cell r="D290">
            <v>84290</v>
          </cell>
          <cell r="E290">
            <v>14.5</v>
          </cell>
          <cell r="F290">
            <v>14.8</v>
          </cell>
          <cell r="G290">
            <v>0.3</v>
          </cell>
          <cell r="H290">
            <v>2.4</v>
          </cell>
          <cell r="I290">
            <v>1.1000000000000001</v>
          </cell>
          <cell r="J290" t="str">
            <v>Doctoral or professional degree</v>
          </cell>
          <cell r="K290" t="str">
            <v>None</v>
          </cell>
          <cell r="L290" t="str">
            <v>None</v>
          </cell>
          <cell r="M290" t="str">
            <v>OOH Content</v>
          </cell>
        </row>
        <row r="291">
          <cell r="A291" t="str">
            <v>25-1063</v>
          </cell>
          <cell r="B291" t="str">
            <v xml:space="preserve">        Economics teachers, postsecondary</v>
          </cell>
          <cell r="C291" t="str">
            <v>Line item</v>
          </cell>
          <cell r="D291">
            <v>119980</v>
          </cell>
          <cell r="E291">
            <v>15.8</v>
          </cell>
          <cell r="F291">
            <v>16.100000000000001</v>
          </cell>
          <cell r="G291">
            <v>0.3</v>
          </cell>
          <cell r="H291">
            <v>2.1</v>
          </cell>
          <cell r="I291">
            <v>1.2</v>
          </cell>
          <cell r="J291" t="str">
            <v>Doctoral or professional degree</v>
          </cell>
          <cell r="K291" t="str">
            <v>None</v>
          </cell>
          <cell r="L291" t="str">
            <v>None</v>
          </cell>
          <cell r="M291" t="str">
            <v>OOH Content</v>
          </cell>
        </row>
        <row r="292">
          <cell r="A292" t="str">
            <v>25-1064</v>
          </cell>
          <cell r="B292" t="str">
            <v xml:space="preserve">        Geography teachers, postsecondary</v>
          </cell>
          <cell r="C292" t="str">
            <v>Line item</v>
          </cell>
          <cell r="D292">
            <v>86730</v>
          </cell>
          <cell r="E292">
            <v>4</v>
          </cell>
          <cell r="F292">
            <v>4.2</v>
          </cell>
          <cell r="G292">
            <v>0.1</v>
          </cell>
          <cell r="H292">
            <v>3.3</v>
          </cell>
          <cell r="I292">
            <v>0.3</v>
          </cell>
          <cell r="J292" t="str">
            <v>Doctoral or professional degree</v>
          </cell>
          <cell r="K292" t="str">
            <v>None</v>
          </cell>
          <cell r="L292" t="str">
            <v>None</v>
          </cell>
          <cell r="M292" t="str">
            <v>OOH Content</v>
          </cell>
        </row>
        <row r="293">
          <cell r="A293" t="str">
            <v>25-1065</v>
          </cell>
          <cell r="B293" t="str">
            <v xml:space="preserve">        Political science teachers, postsecondary</v>
          </cell>
          <cell r="C293" t="str">
            <v>Line item</v>
          </cell>
          <cell r="D293">
            <v>94680</v>
          </cell>
          <cell r="E293">
            <v>21.8</v>
          </cell>
          <cell r="F293">
            <v>22.2</v>
          </cell>
          <cell r="G293">
            <v>0.4</v>
          </cell>
          <cell r="H293">
            <v>2</v>
          </cell>
          <cell r="I293">
            <v>1.6</v>
          </cell>
          <cell r="J293" t="str">
            <v>Doctoral or professional degree</v>
          </cell>
          <cell r="K293" t="str">
            <v>None</v>
          </cell>
          <cell r="L293" t="str">
            <v>None</v>
          </cell>
          <cell r="M293" t="str">
            <v>OOH Content</v>
          </cell>
        </row>
        <row r="294">
          <cell r="A294" t="str">
            <v>25-1066</v>
          </cell>
          <cell r="B294" t="str">
            <v xml:space="preserve">        Psychology teachers, postsecondary</v>
          </cell>
          <cell r="C294" t="str">
            <v>Line item</v>
          </cell>
          <cell r="D294">
            <v>80330</v>
          </cell>
          <cell r="E294">
            <v>52.5</v>
          </cell>
          <cell r="F294">
            <v>54.4</v>
          </cell>
          <cell r="G294">
            <v>1.9</v>
          </cell>
          <cell r="H294">
            <v>3.6</v>
          </cell>
          <cell r="I294">
            <v>4</v>
          </cell>
          <cell r="J294" t="str">
            <v>Doctoral or professional degree</v>
          </cell>
          <cell r="K294" t="str">
            <v>None</v>
          </cell>
          <cell r="L294" t="str">
            <v>None</v>
          </cell>
          <cell r="M294" t="str">
            <v>OOH Content</v>
          </cell>
        </row>
        <row r="295">
          <cell r="A295" t="str">
            <v>25-1067</v>
          </cell>
          <cell r="B295" t="str">
            <v xml:space="preserve">        Sociology teachers, postsecondary</v>
          </cell>
          <cell r="C295" t="str">
            <v>Line item</v>
          </cell>
          <cell r="D295">
            <v>82540</v>
          </cell>
          <cell r="E295">
            <v>15.4</v>
          </cell>
          <cell r="F295">
            <v>15.7</v>
          </cell>
          <cell r="G295">
            <v>0.3</v>
          </cell>
          <cell r="H295">
            <v>2.1</v>
          </cell>
          <cell r="I295">
            <v>1.1000000000000001</v>
          </cell>
          <cell r="J295" t="str">
            <v>Doctoral or professional degree</v>
          </cell>
          <cell r="K295" t="str">
            <v>None</v>
          </cell>
          <cell r="L295" t="str">
            <v>None</v>
          </cell>
          <cell r="M295" t="str">
            <v>OOH Content</v>
          </cell>
        </row>
        <row r="296">
          <cell r="A296" t="str">
            <v>25-1069</v>
          </cell>
          <cell r="B296" t="str">
            <v xml:space="preserve">        Social sciences teachers, postsecondary, all other</v>
          </cell>
          <cell r="C296" t="str">
            <v>Line item</v>
          </cell>
          <cell r="D296">
            <v>75040</v>
          </cell>
          <cell r="E296">
            <v>20.7</v>
          </cell>
          <cell r="F296">
            <v>21.1</v>
          </cell>
          <cell r="G296">
            <v>0.4</v>
          </cell>
          <cell r="H296">
            <v>1.7</v>
          </cell>
          <cell r="I296">
            <v>1.5</v>
          </cell>
          <cell r="J296" t="str">
            <v>Doctoral or professional degree</v>
          </cell>
          <cell r="K296" t="str">
            <v>None</v>
          </cell>
          <cell r="L296" t="str">
            <v>None</v>
          </cell>
          <cell r="M296" t="str">
            <v>OOH Content</v>
          </cell>
        </row>
        <row r="297">
          <cell r="A297" t="str">
            <v>25-1070</v>
          </cell>
          <cell r="B297" t="str">
            <v xml:space="preserve">      Health teachers, postsecondary</v>
          </cell>
          <cell r="C297" t="str">
            <v>Summary</v>
          </cell>
          <cell r="D297">
            <v>100370</v>
          </cell>
          <cell r="E297">
            <v>381.2</v>
          </cell>
          <cell r="F297">
            <v>446.6</v>
          </cell>
          <cell r="G297">
            <v>65.400000000000006</v>
          </cell>
          <cell r="H297">
            <v>17.2</v>
          </cell>
          <cell r="I297">
            <v>36</v>
          </cell>
          <cell r="J297" t="str">
            <v>—</v>
          </cell>
          <cell r="K297" t="str">
            <v>—</v>
          </cell>
          <cell r="L297" t="str">
            <v>—</v>
          </cell>
          <cell r="M297" t="str">
            <v>—</v>
          </cell>
        </row>
        <row r="298">
          <cell r="A298" t="str">
            <v>25-1071</v>
          </cell>
          <cell r="B298" t="str">
            <v xml:space="preserve">        Health specialties teachers, postsecondary</v>
          </cell>
          <cell r="C298" t="str">
            <v>Line item</v>
          </cell>
          <cell r="D298">
            <v>105620</v>
          </cell>
          <cell r="E298">
            <v>289.60000000000002</v>
          </cell>
          <cell r="F298">
            <v>339.7</v>
          </cell>
          <cell r="G298">
            <v>50.1</v>
          </cell>
          <cell r="H298">
            <v>17.3</v>
          </cell>
          <cell r="I298">
            <v>27.4</v>
          </cell>
          <cell r="J298" t="str">
            <v>Doctoral or professional degree</v>
          </cell>
          <cell r="K298" t="str">
            <v>Less than 5 years</v>
          </cell>
          <cell r="L298" t="str">
            <v>None</v>
          </cell>
          <cell r="M298" t="str">
            <v>OOH Content</v>
          </cell>
        </row>
        <row r="299">
          <cell r="A299" t="str">
            <v>25-1072</v>
          </cell>
          <cell r="B299" t="str">
            <v xml:space="preserve">        Nursing instructors and teachers, postsecondary</v>
          </cell>
          <cell r="C299" t="str">
            <v>Line item</v>
          </cell>
          <cell r="D299">
            <v>79940</v>
          </cell>
          <cell r="E299">
            <v>91.6</v>
          </cell>
          <cell r="F299">
            <v>106.9</v>
          </cell>
          <cell r="G299">
            <v>15.3</v>
          </cell>
          <cell r="H299">
            <v>16.8</v>
          </cell>
          <cell r="I299">
            <v>8.6</v>
          </cell>
          <cell r="J299" t="str">
            <v>Doctoral or professional degree</v>
          </cell>
          <cell r="K299" t="str">
            <v>Less than 5 years</v>
          </cell>
          <cell r="L299" t="str">
            <v>None</v>
          </cell>
          <cell r="M299" t="str">
            <v>OOH Content</v>
          </cell>
        </row>
        <row r="300">
          <cell r="A300" t="str">
            <v>25-1080</v>
          </cell>
          <cell r="B300" t="str">
            <v xml:space="preserve">      Education and library science teachers, postsecondary</v>
          </cell>
          <cell r="C300" t="str">
            <v>Summary</v>
          </cell>
          <cell r="D300">
            <v>73050</v>
          </cell>
          <cell r="E300">
            <v>80</v>
          </cell>
          <cell r="F300">
            <v>81.8</v>
          </cell>
          <cell r="G300">
            <v>1.7</v>
          </cell>
          <cell r="H300">
            <v>2.2000000000000002</v>
          </cell>
          <cell r="I300">
            <v>5.9</v>
          </cell>
          <cell r="J300" t="str">
            <v>—</v>
          </cell>
          <cell r="K300" t="str">
            <v>—</v>
          </cell>
          <cell r="L300" t="str">
            <v>—</v>
          </cell>
          <cell r="M300" t="str">
            <v>—</v>
          </cell>
        </row>
        <row r="301">
          <cell r="A301" t="str">
            <v>25-1081</v>
          </cell>
          <cell r="B301" t="str">
            <v xml:space="preserve">        Education teachers, postsecondary</v>
          </cell>
          <cell r="C301" t="str">
            <v>Line item</v>
          </cell>
          <cell r="D301">
            <v>72090</v>
          </cell>
          <cell r="E301">
            <v>74.900000000000006</v>
          </cell>
          <cell r="F301">
            <v>76.5</v>
          </cell>
          <cell r="G301">
            <v>1.6</v>
          </cell>
          <cell r="H301">
            <v>2.1</v>
          </cell>
          <cell r="I301">
            <v>5.6</v>
          </cell>
          <cell r="J301" t="str">
            <v>Doctoral or professional degree</v>
          </cell>
          <cell r="K301" t="str">
            <v>Less than 5 years</v>
          </cell>
          <cell r="L301" t="str">
            <v>None</v>
          </cell>
          <cell r="M301" t="str">
            <v>OOH Content</v>
          </cell>
        </row>
        <row r="302">
          <cell r="A302" t="str">
            <v>25-1082</v>
          </cell>
          <cell r="B302" t="str">
            <v xml:space="preserve">        Library science teachers, postsecondary</v>
          </cell>
          <cell r="C302" t="str">
            <v>Line item</v>
          </cell>
          <cell r="D302">
            <v>78630</v>
          </cell>
          <cell r="E302">
            <v>5.0999999999999996</v>
          </cell>
          <cell r="F302">
            <v>5.3</v>
          </cell>
          <cell r="G302">
            <v>0.2</v>
          </cell>
          <cell r="H302">
            <v>3</v>
          </cell>
          <cell r="I302">
            <v>0.4</v>
          </cell>
          <cell r="J302" t="str">
            <v>Doctoral or professional degree</v>
          </cell>
          <cell r="K302" t="str">
            <v>None</v>
          </cell>
          <cell r="L302" t="str">
            <v>None</v>
          </cell>
          <cell r="M302" t="str">
            <v>OOH Content</v>
          </cell>
        </row>
        <row r="303">
          <cell r="A303" t="str">
            <v>25-1110</v>
          </cell>
          <cell r="B303" t="str">
            <v xml:space="preserve">      Law, criminal justice, and social work teachers, postsecondary</v>
          </cell>
          <cell r="C303" t="str">
            <v>Summary</v>
          </cell>
          <cell r="D303">
            <v>87870</v>
          </cell>
          <cell r="E303">
            <v>62.9</v>
          </cell>
          <cell r="F303">
            <v>64.2</v>
          </cell>
          <cell r="G303">
            <v>1.4</v>
          </cell>
          <cell r="H303">
            <v>2.2000000000000002</v>
          </cell>
          <cell r="I303">
            <v>4.7</v>
          </cell>
          <cell r="J303" t="str">
            <v>—</v>
          </cell>
          <cell r="K303" t="str">
            <v>—</v>
          </cell>
          <cell r="L303" t="str">
            <v>—</v>
          </cell>
          <cell r="M303" t="str">
            <v>—</v>
          </cell>
        </row>
        <row r="304">
          <cell r="A304" t="str">
            <v>25-1111</v>
          </cell>
          <cell r="B304" t="str">
            <v xml:space="preserve">        Criminal justice and law enforcement teachers, postsecondary</v>
          </cell>
          <cell r="C304" t="str">
            <v>Line item</v>
          </cell>
          <cell r="D304">
            <v>71470</v>
          </cell>
          <cell r="E304">
            <v>16.2</v>
          </cell>
          <cell r="F304">
            <v>16.5</v>
          </cell>
          <cell r="G304">
            <v>0.3</v>
          </cell>
          <cell r="H304">
            <v>2</v>
          </cell>
          <cell r="I304">
            <v>1.2</v>
          </cell>
          <cell r="J304" t="str">
            <v>Doctoral or professional degree</v>
          </cell>
          <cell r="K304" t="str">
            <v>None</v>
          </cell>
          <cell r="L304" t="str">
            <v>None</v>
          </cell>
          <cell r="M304" t="str">
            <v>OOH Content</v>
          </cell>
        </row>
        <row r="305">
          <cell r="A305" t="str">
            <v>25-1112</v>
          </cell>
          <cell r="B305" t="str">
            <v xml:space="preserve">        Law teachers, postsecondary</v>
          </cell>
          <cell r="C305" t="str">
            <v>Line item</v>
          </cell>
          <cell r="D305">
            <v>126650</v>
          </cell>
          <cell r="E305">
            <v>29.5</v>
          </cell>
          <cell r="F305">
            <v>30.2</v>
          </cell>
          <cell r="G305">
            <v>0.6</v>
          </cell>
          <cell r="H305">
            <v>2.2000000000000002</v>
          </cell>
          <cell r="I305">
            <v>2.2000000000000002</v>
          </cell>
          <cell r="J305" t="str">
            <v>Doctoral or professional degree</v>
          </cell>
          <cell r="K305" t="str">
            <v>Less than 5 years</v>
          </cell>
          <cell r="L305" t="str">
            <v>None</v>
          </cell>
          <cell r="M305" t="str">
            <v>OOH Content</v>
          </cell>
        </row>
        <row r="306">
          <cell r="A306" t="str">
            <v>25-1113</v>
          </cell>
          <cell r="B306" t="str">
            <v xml:space="preserve">        Social work teachers, postsecondary</v>
          </cell>
          <cell r="C306" t="str">
            <v>Line item</v>
          </cell>
          <cell r="D306">
            <v>76210</v>
          </cell>
          <cell r="E306">
            <v>17.100000000000001</v>
          </cell>
          <cell r="F306">
            <v>17.5</v>
          </cell>
          <cell r="G306">
            <v>0.4</v>
          </cell>
          <cell r="H306">
            <v>2.2999999999999998</v>
          </cell>
          <cell r="I306">
            <v>1.3</v>
          </cell>
          <cell r="J306" t="str">
            <v>Doctoral or professional degree</v>
          </cell>
          <cell r="K306" t="str">
            <v>None</v>
          </cell>
          <cell r="L306" t="str">
            <v>None</v>
          </cell>
          <cell r="M306" t="str">
            <v>OOH Content</v>
          </cell>
        </row>
        <row r="307">
          <cell r="A307" t="str">
            <v>25-1120</v>
          </cell>
          <cell r="B307" t="str">
            <v xml:space="preserve">      Arts, communications, history, and humanities teachers, postsecondary</v>
          </cell>
          <cell r="C307" t="str">
            <v>Summary</v>
          </cell>
          <cell r="D307">
            <v>79060</v>
          </cell>
          <cell r="E307">
            <v>309.2</v>
          </cell>
          <cell r="F307">
            <v>312.10000000000002</v>
          </cell>
          <cell r="G307">
            <v>2.9</v>
          </cell>
          <cell r="H307">
            <v>0.9</v>
          </cell>
          <cell r="I307">
            <v>22.4</v>
          </cell>
          <cell r="J307" t="str">
            <v>—</v>
          </cell>
          <cell r="K307" t="str">
            <v>—</v>
          </cell>
          <cell r="L307" t="str">
            <v>—</v>
          </cell>
          <cell r="M307" t="str">
            <v>—</v>
          </cell>
        </row>
        <row r="308">
          <cell r="A308" t="str">
            <v>25-1121</v>
          </cell>
          <cell r="B308" t="str">
            <v xml:space="preserve">        Art, drama, and music teachers, postsecondary</v>
          </cell>
          <cell r="C308" t="str">
            <v>Line item</v>
          </cell>
          <cell r="D308">
            <v>80190</v>
          </cell>
          <cell r="E308">
            <v>122.8</v>
          </cell>
          <cell r="F308">
            <v>124.8</v>
          </cell>
          <cell r="G308">
            <v>2.1</v>
          </cell>
          <cell r="H308">
            <v>1.7</v>
          </cell>
          <cell r="I308">
            <v>9</v>
          </cell>
          <cell r="J308" t="str">
            <v>Master's degree</v>
          </cell>
          <cell r="K308" t="str">
            <v>None</v>
          </cell>
          <cell r="L308" t="str">
            <v>None</v>
          </cell>
          <cell r="M308" t="str">
            <v>OOH Content</v>
          </cell>
        </row>
        <row r="309">
          <cell r="A309" t="str">
            <v>25-1122</v>
          </cell>
          <cell r="B309" t="str">
            <v xml:space="preserve">        Communications teachers, postsecondary</v>
          </cell>
          <cell r="C309" t="str">
            <v>Line item</v>
          </cell>
          <cell r="D309">
            <v>77800</v>
          </cell>
          <cell r="E309">
            <v>35.799999999999997</v>
          </cell>
          <cell r="F309">
            <v>36.6</v>
          </cell>
          <cell r="G309">
            <v>0.8</v>
          </cell>
          <cell r="H309">
            <v>2.1</v>
          </cell>
          <cell r="I309">
            <v>2.7</v>
          </cell>
          <cell r="J309" t="str">
            <v>Doctoral or professional degree</v>
          </cell>
          <cell r="K309" t="str">
            <v>None</v>
          </cell>
          <cell r="L309" t="str">
            <v>None</v>
          </cell>
          <cell r="M309" t="str">
            <v>OOH Content</v>
          </cell>
        </row>
        <row r="310">
          <cell r="A310" t="str">
            <v>25-1123</v>
          </cell>
          <cell r="B310" t="str">
            <v xml:space="preserve">        English language and literature teachers, postsecondary</v>
          </cell>
          <cell r="C310" t="str">
            <v>Line item</v>
          </cell>
          <cell r="D310">
            <v>78270</v>
          </cell>
          <cell r="E310">
            <v>72.2</v>
          </cell>
          <cell r="F310">
            <v>72.2</v>
          </cell>
          <cell r="G310">
            <v>0</v>
          </cell>
          <cell r="H310">
            <v>0</v>
          </cell>
          <cell r="I310">
            <v>5.0999999999999996</v>
          </cell>
          <cell r="J310" t="str">
            <v>Doctoral or professional degree</v>
          </cell>
          <cell r="K310" t="str">
            <v>None</v>
          </cell>
          <cell r="L310" t="str">
            <v>None</v>
          </cell>
          <cell r="M310" t="str">
            <v>OOH Content</v>
          </cell>
        </row>
        <row r="311">
          <cell r="A311" t="str">
            <v>25-1124</v>
          </cell>
          <cell r="B311" t="str">
            <v xml:space="preserve">        Foreign language and literature teachers, postsecondary</v>
          </cell>
          <cell r="C311" t="str">
            <v>Line item</v>
          </cell>
          <cell r="D311">
            <v>77010</v>
          </cell>
          <cell r="E311">
            <v>26.4</v>
          </cell>
          <cell r="F311">
            <v>26.4</v>
          </cell>
          <cell r="G311">
            <v>0</v>
          </cell>
          <cell r="H311">
            <v>-0.2</v>
          </cell>
          <cell r="I311">
            <v>1.9</v>
          </cell>
          <cell r="J311" t="str">
            <v>Doctoral or professional degree</v>
          </cell>
          <cell r="K311" t="str">
            <v>None</v>
          </cell>
          <cell r="L311" t="str">
            <v>None</v>
          </cell>
          <cell r="M311" t="str">
            <v>OOH Content</v>
          </cell>
        </row>
        <row r="312">
          <cell r="A312" t="str">
            <v>25-1125</v>
          </cell>
          <cell r="B312" t="str">
            <v xml:space="preserve">        History teachers, postsecondary</v>
          </cell>
          <cell r="C312" t="str">
            <v>Line item</v>
          </cell>
          <cell r="D312">
            <v>81500</v>
          </cell>
          <cell r="E312">
            <v>24.6</v>
          </cell>
          <cell r="F312">
            <v>24.6</v>
          </cell>
          <cell r="G312">
            <v>-0.1</v>
          </cell>
          <cell r="H312">
            <v>-0.2</v>
          </cell>
          <cell r="I312">
            <v>1.7</v>
          </cell>
          <cell r="J312" t="str">
            <v>Doctoral or professional degree</v>
          </cell>
          <cell r="K312" t="str">
            <v>None</v>
          </cell>
          <cell r="L312" t="str">
            <v>None</v>
          </cell>
          <cell r="M312" t="str">
            <v>OOH Content</v>
          </cell>
        </row>
        <row r="313">
          <cell r="A313" t="str">
            <v>25-1126</v>
          </cell>
          <cell r="B313" t="str">
            <v xml:space="preserve">        Philosophy and religion teachers, postsecondary</v>
          </cell>
          <cell r="C313" t="str">
            <v>Line item</v>
          </cell>
          <cell r="D313">
            <v>78050</v>
          </cell>
          <cell r="E313">
            <v>27.3</v>
          </cell>
          <cell r="F313">
            <v>27.5</v>
          </cell>
          <cell r="G313">
            <v>0.2</v>
          </cell>
          <cell r="H313">
            <v>0.7</v>
          </cell>
          <cell r="I313">
            <v>2</v>
          </cell>
          <cell r="J313" t="str">
            <v>Doctoral or professional degree</v>
          </cell>
          <cell r="K313" t="str">
            <v>None</v>
          </cell>
          <cell r="L313" t="str">
            <v>None</v>
          </cell>
          <cell r="M313" t="str">
            <v>OOH Content</v>
          </cell>
        </row>
        <row r="314">
          <cell r="A314" t="str">
            <v>25-1190</v>
          </cell>
          <cell r="B314" t="str">
            <v xml:space="preserve">      Miscellaneous postsecondary teachers</v>
          </cell>
          <cell r="C314" t="str">
            <v>Summary</v>
          </cell>
          <cell r="D314">
            <v>68800</v>
          </cell>
          <cell r="E314">
            <v>324.2</v>
          </cell>
          <cell r="F314">
            <v>328.9</v>
          </cell>
          <cell r="G314">
            <v>4.7</v>
          </cell>
          <cell r="H314">
            <v>1.4</v>
          </cell>
          <cell r="I314">
            <v>23.7</v>
          </cell>
          <cell r="J314" t="str">
            <v>—</v>
          </cell>
          <cell r="K314" t="str">
            <v>—</v>
          </cell>
          <cell r="L314" t="str">
            <v>—</v>
          </cell>
          <cell r="M314" t="str">
            <v>—</v>
          </cell>
        </row>
        <row r="315">
          <cell r="A315" t="str">
            <v>25-1192</v>
          </cell>
          <cell r="B315" t="str">
            <v xml:space="preserve">        Family and consumer sciences teachers, postsecondary</v>
          </cell>
          <cell r="C315" t="str">
            <v>Line item</v>
          </cell>
          <cell r="D315">
            <v>77280</v>
          </cell>
          <cell r="E315">
            <v>3.2</v>
          </cell>
          <cell r="F315">
            <v>3.3</v>
          </cell>
          <cell r="G315">
            <v>0.1</v>
          </cell>
          <cell r="H315">
            <v>3.4</v>
          </cell>
          <cell r="I315">
            <v>0.2</v>
          </cell>
          <cell r="J315" t="str">
            <v>Doctoral or professional degree</v>
          </cell>
          <cell r="K315" t="str">
            <v>None</v>
          </cell>
          <cell r="L315" t="str">
            <v>None</v>
          </cell>
          <cell r="M315" t="str">
            <v>OOH Content</v>
          </cell>
        </row>
        <row r="316">
          <cell r="A316" t="str">
            <v>25-1193</v>
          </cell>
          <cell r="B316" t="str">
            <v xml:space="preserve">        Recreation and fitness studies teachers, postsecondary</v>
          </cell>
          <cell r="C316" t="str">
            <v>Line item</v>
          </cell>
          <cell r="D316">
            <v>75890</v>
          </cell>
          <cell r="E316">
            <v>15.4</v>
          </cell>
          <cell r="F316">
            <v>15.7</v>
          </cell>
          <cell r="G316">
            <v>0.4</v>
          </cell>
          <cell r="H316">
            <v>2.4</v>
          </cell>
          <cell r="I316">
            <v>1.1000000000000001</v>
          </cell>
          <cell r="J316" t="str">
            <v>Doctoral or professional degree</v>
          </cell>
          <cell r="K316" t="str">
            <v>None</v>
          </cell>
          <cell r="L316" t="str">
            <v>None</v>
          </cell>
          <cell r="M316" t="str">
            <v>OOH Content</v>
          </cell>
        </row>
        <row r="317">
          <cell r="A317" t="str">
            <v>25-1194</v>
          </cell>
          <cell r="B317" t="str">
            <v xml:space="preserve">        Career/technical education teachers, postsecondary</v>
          </cell>
          <cell r="C317" t="str">
            <v>Line item</v>
          </cell>
          <cell r="D317">
            <v>61490</v>
          </cell>
          <cell r="E317">
            <v>122.2</v>
          </cell>
          <cell r="F317">
            <v>123</v>
          </cell>
          <cell r="G317">
            <v>0.8</v>
          </cell>
          <cell r="H317">
            <v>0.7</v>
          </cell>
          <cell r="I317">
            <v>8.8000000000000007</v>
          </cell>
          <cell r="J317" t="str">
            <v>Bachelor's degree</v>
          </cell>
          <cell r="K317" t="str">
            <v>Less than 5 years</v>
          </cell>
          <cell r="L317" t="str">
            <v>None</v>
          </cell>
          <cell r="M317" t="str">
            <v>OOH Content</v>
          </cell>
        </row>
        <row r="318">
          <cell r="A318" t="str">
            <v>25-1199</v>
          </cell>
          <cell r="B318" t="str">
            <v xml:space="preserve">        Postsecondary teachers, all other</v>
          </cell>
          <cell r="C318" t="str">
            <v>Line item</v>
          </cell>
          <cell r="D318">
            <v>78490</v>
          </cell>
          <cell r="E318">
            <v>183.4</v>
          </cell>
          <cell r="F318">
            <v>186.8</v>
          </cell>
          <cell r="G318">
            <v>3.4</v>
          </cell>
          <cell r="H318">
            <v>1.8</v>
          </cell>
          <cell r="I318">
            <v>13.5</v>
          </cell>
          <cell r="J318" t="str">
            <v>Doctoral or professional degree</v>
          </cell>
          <cell r="K318" t="str">
            <v>None</v>
          </cell>
          <cell r="L318" t="str">
            <v>None</v>
          </cell>
          <cell r="M318" t="str">
            <v>—</v>
          </cell>
        </row>
        <row r="319">
          <cell r="A319" t="str">
            <v>25-2000</v>
          </cell>
          <cell r="B319" t="str">
            <v xml:space="preserve">    Preschool, elementary, middle, secondary, and special education teachers</v>
          </cell>
          <cell r="C319" t="str">
            <v>Summary</v>
          </cell>
          <cell r="D319">
            <v>61960</v>
          </cell>
          <cell r="E319">
            <v>4500.1000000000004</v>
          </cell>
          <cell r="F319">
            <v>4453.2</v>
          </cell>
          <cell r="G319">
            <v>-46.9</v>
          </cell>
          <cell r="H319">
            <v>-1</v>
          </cell>
          <cell r="I319">
            <v>320.89999999999998</v>
          </cell>
          <cell r="J319" t="str">
            <v>—</v>
          </cell>
          <cell r="K319" t="str">
            <v>—</v>
          </cell>
          <cell r="L319" t="str">
            <v>—</v>
          </cell>
          <cell r="M319" t="str">
            <v>—</v>
          </cell>
        </row>
        <row r="320">
          <cell r="A320" t="str">
            <v>25-2010</v>
          </cell>
          <cell r="B320" t="str">
            <v xml:space="preserve">      Preschool and kindergarten teachers</v>
          </cell>
          <cell r="C320" t="str">
            <v>Summary</v>
          </cell>
          <cell r="D320">
            <v>40090</v>
          </cell>
          <cell r="E320">
            <v>672.3</v>
          </cell>
          <cell r="F320">
            <v>693.3</v>
          </cell>
          <cell r="G320">
            <v>21</v>
          </cell>
          <cell r="H320">
            <v>3.1</v>
          </cell>
          <cell r="I320">
            <v>78.2</v>
          </cell>
          <cell r="J320" t="str">
            <v>—</v>
          </cell>
          <cell r="K320" t="str">
            <v>—</v>
          </cell>
          <cell r="L320" t="str">
            <v>—</v>
          </cell>
          <cell r="M320" t="str">
            <v>—</v>
          </cell>
        </row>
        <row r="321">
          <cell r="A321" t="str">
            <v>25-2011</v>
          </cell>
          <cell r="B321" t="str">
            <v xml:space="preserve">        Preschool teachers, except special education</v>
          </cell>
          <cell r="C321" t="str">
            <v>Line item</v>
          </cell>
          <cell r="D321">
            <v>37120</v>
          </cell>
          <cell r="E321">
            <v>555.1</v>
          </cell>
          <cell r="F321">
            <v>578.1</v>
          </cell>
          <cell r="G321">
            <v>22.9</v>
          </cell>
          <cell r="H321">
            <v>4.0999999999999996</v>
          </cell>
          <cell r="I321">
            <v>65.5</v>
          </cell>
          <cell r="J321" t="str">
            <v>Associate's degree</v>
          </cell>
          <cell r="K321" t="str">
            <v>None</v>
          </cell>
          <cell r="L321" t="str">
            <v>None</v>
          </cell>
          <cell r="M321" t="str">
            <v>OOH Content</v>
          </cell>
        </row>
        <row r="322">
          <cell r="A322" t="str">
            <v>25-2012</v>
          </cell>
          <cell r="B322" t="str">
            <v xml:space="preserve">        Kindergarten teachers, except special education</v>
          </cell>
          <cell r="C322" t="str">
            <v>Line item</v>
          </cell>
          <cell r="D322">
            <v>61430</v>
          </cell>
          <cell r="E322">
            <v>117.2</v>
          </cell>
          <cell r="F322">
            <v>115.2</v>
          </cell>
          <cell r="G322">
            <v>-1.9</v>
          </cell>
          <cell r="H322">
            <v>-1.6</v>
          </cell>
          <cell r="I322">
            <v>12.8</v>
          </cell>
          <cell r="J322" t="str">
            <v>Bachelor's degree</v>
          </cell>
          <cell r="K322" t="str">
            <v>None</v>
          </cell>
          <cell r="L322" t="str">
            <v>None</v>
          </cell>
          <cell r="M322" t="str">
            <v>OOH Content</v>
          </cell>
        </row>
        <row r="323">
          <cell r="A323" t="str">
            <v>25-2020</v>
          </cell>
          <cell r="B323" t="str">
            <v xml:space="preserve">      Elementary and middle school teachers</v>
          </cell>
          <cell r="C323" t="str">
            <v>Summary</v>
          </cell>
          <cell r="D323">
            <v>62500</v>
          </cell>
          <cell r="E323">
            <v>2070.4</v>
          </cell>
          <cell r="F323">
            <v>2029.9</v>
          </cell>
          <cell r="G323">
            <v>-40.6</v>
          </cell>
          <cell r="H323">
            <v>-2</v>
          </cell>
          <cell r="I323">
            <v>132.4</v>
          </cell>
          <cell r="J323" t="str">
            <v>—</v>
          </cell>
          <cell r="K323" t="str">
            <v>—</v>
          </cell>
          <cell r="L323" t="str">
            <v>—</v>
          </cell>
          <cell r="M323" t="str">
            <v>—</v>
          </cell>
        </row>
        <row r="324">
          <cell r="A324" t="str">
            <v>25-2021</v>
          </cell>
          <cell r="B324" t="str">
            <v xml:space="preserve">        Elementary school teachers, except special education</v>
          </cell>
          <cell r="C324" t="str">
            <v>Line item</v>
          </cell>
          <cell r="D324">
            <v>62340</v>
          </cell>
          <cell r="E324">
            <v>1422.7</v>
          </cell>
          <cell r="F324">
            <v>1394.8</v>
          </cell>
          <cell r="G324">
            <v>-27.9</v>
          </cell>
          <cell r="H324">
            <v>-2</v>
          </cell>
          <cell r="I324">
            <v>91</v>
          </cell>
          <cell r="J324" t="str">
            <v>Bachelor's degree</v>
          </cell>
          <cell r="K324" t="str">
            <v>None</v>
          </cell>
          <cell r="L324" t="str">
            <v>None</v>
          </cell>
          <cell r="M324" t="str">
            <v>OOH Content</v>
          </cell>
        </row>
        <row r="325">
          <cell r="A325" t="str">
            <v>25-2022</v>
          </cell>
          <cell r="B325" t="str">
            <v xml:space="preserve">        Middle school teachers, except special and career/technical education</v>
          </cell>
          <cell r="C325" t="str">
            <v>Line item</v>
          </cell>
          <cell r="D325">
            <v>62970</v>
          </cell>
          <cell r="E325">
            <v>633.70000000000005</v>
          </cell>
          <cell r="F325">
            <v>621.29999999999995</v>
          </cell>
          <cell r="G325">
            <v>-12.4</v>
          </cell>
          <cell r="H325">
            <v>-2</v>
          </cell>
          <cell r="I325">
            <v>40.5</v>
          </cell>
          <cell r="J325" t="str">
            <v>Bachelor's degree</v>
          </cell>
          <cell r="K325" t="str">
            <v>None</v>
          </cell>
          <cell r="L325" t="str">
            <v>None</v>
          </cell>
          <cell r="M325" t="str">
            <v>OOH Content</v>
          </cell>
        </row>
        <row r="326">
          <cell r="A326" t="str">
            <v>25-2023</v>
          </cell>
          <cell r="B326" t="str">
            <v xml:space="preserve">        Career/technical education teachers, middle school</v>
          </cell>
          <cell r="C326" t="str">
            <v>Line item</v>
          </cell>
          <cell r="D326">
            <v>63620</v>
          </cell>
          <cell r="E326">
            <v>14</v>
          </cell>
          <cell r="F326">
            <v>13.8</v>
          </cell>
          <cell r="G326">
            <v>-0.3</v>
          </cell>
          <cell r="H326">
            <v>-2</v>
          </cell>
          <cell r="I326">
            <v>0.9</v>
          </cell>
          <cell r="J326" t="str">
            <v>Bachelor's degree</v>
          </cell>
          <cell r="K326" t="str">
            <v>Less than 5 years</v>
          </cell>
          <cell r="L326" t="str">
            <v>None</v>
          </cell>
          <cell r="M326" t="str">
            <v>OOH Content</v>
          </cell>
        </row>
        <row r="327">
          <cell r="A327" t="str">
            <v>25-2030</v>
          </cell>
          <cell r="B327" t="str">
            <v xml:space="preserve">      Secondary school teachers</v>
          </cell>
          <cell r="C327" t="str">
            <v>Summary</v>
          </cell>
          <cell r="D327">
            <v>64530</v>
          </cell>
          <cell r="E327">
            <v>1197.9000000000001</v>
          </cell>
          <cell r="F327">
            <v>1178.2</v>
          </cell>
          <cell r="G327">
            <v>-19.7</v>
          </cell>
          <cell r="H327">
            <v>-1.6</v>
          </cell>
          <cell r="I327">
            <v>72.400000000000006</v>
          </cell>
          <cell r="J327" t="str">
            <v>—</v>
          </cell>
          <cell r="K327" t="str">
            <v>—</v>
          </cell>
          <cell r="L327" t="str">
            <v>—</v>
          </cell>
          <cell r="M327" t="str">
            <v>—</v>
          </cell>
        </row>
        <row r="328">
          <cell r="A328" t="str">
            <v>25-2031</v>
          </cell>
          <cell r="B328" t="str">
            <v xml:space="preserve">        Secondary school teachers, except special and career/technical education</v>
          </cell>
          <cell r="C328" t="str">
            <v>Line item</v>
          </cell>
          <cell r="D328">
            <v>64580</v>
          </cell>
          <cell r="E328">
            <v>1094.5</v>
          </cell>
          <cell r="F328">
            <v>1076.7</v>
          </cell>
          <cell r="G328">
            <v>-17.8</v>
          </cell>
          <cell r="H328">
            <v>-1.6</v>
          </cell>
          <cell r="I328">
            <v>66.2</v>
          </cell>
          <cell r="J328" t="str">
            <v>Bachelor's degree</v>
          </cell>
          <cell r="K328" t="str">
            <v>None</v>
          </cell>
          <cell r="L328" t="str">
            <v>None</v>
          </cell>
          <cell r="M328" t="str">
            <v>OOH Content</v>
          </cell>
        </row>
        <row r="329">
          <cell r="A329" t="str">
            <v>25-2032</v>
          </cell>
          <cell r="B329" t="str">
            <v xml:space="preserve">        Career/technical education teachers, secondary school</v>
          </cell>
          <cell r="C329" t="str">
            <v>Line item</v>
          </cell>
          <cell r="D329">
            <v>63910</v>
          </cell>
          <cell r="E329">
            <v>103.4</v>
          </cell>
          <cell r="F329">
            <v>101.5</v>
          </cell>
          <cell r="G329">
            <v>-1.9</v>
          </cell>
          <cell r="H329">
            <v>-1.8</v>
          </cell>
          <cell r="I329">
            <v>6.2</v>
          </cell>
          <cell r="J329" t="str">
            <v>Bachelor's degree</v>
          </cell>
          <cell r="K329" t="str">
            <v>Less than 5 years</v>
          </cell>
          <cell r="L329" t="str">
            <v>None</v>
          </cell>
          <cell r="M329" t="str">
            <v>OOH Content</v>
          </cell>
        </row>
        <row r="330">
          <cell r="A330" t="str">
            <v>25-2050</v>
          </cell>
          <cell r="B330" t="str">
            <v xml:space="preserve">      Special education teachers</v>
          </cell>
          <cell r="C330" t="str">
            <v>Summary</v>
          </cell>
          <cell r="D330">
            <v>64270</v>
          </cell>
          <cell r="E330">
            <v>559.5</v>
          </cell>
          <cell r="F330">
            <v>551.79999999999995</v>
          </cell>
          <cell r="G330">
            <v>-7.7</v>
          </cell>
          <cell r="H330">
            <v>-1.4</v>
          </cell>
          <cell r="I330">
            <v>37.799999999999997</v>
          </cell>
          <cell r="J330" t="str">
            <v>—</v>
          </cell>
          <cell r="K330" t="str">
            <v>—</v>
          </cell>
          <cell r="L330" t="str">
            <v>—</v>
          </cell>
          <cell r="M330" t="str">
            <v>—</v>
          </cell>
        </row>
        <row r="331">
          <cell r="A331" t="str">
            <v>25-2051</v>
          </cell>
          <cell r="B331" t="str">
            <v xml:space="preserve">        Special education teachers, preschool</v>
          </cell>
          <cell r="C331" t="str">
            <v>Line item</v>
          </cell>
          <cell r="D331">
            <v>62190</v>
          </cell>
          <cell r="E331">
            <v>29.3</v>
          </cell>
          <cell r="F331">
            <v>29.7</v>
          </cell>
          <cell r="G331">
            <v>0.4</v>
          </cell>
          <cell r="H331">
            <v>1.4</v>
          </cell>
          <cell r="I331">
            <v>2.1</v>
          </cell>
          <cell r="J331" t="str">
            <v>Bachelor's degree</v>
          </cell>
          <cell r="K331" t="str">
            <v>None</v>
          </cell>
          <cell r="L331" t="str">
            <v>None</v>
          </cell>
          <cell r="M331" t="str">
            <v>OOH Content</v>
          </cell>
        </row>
        <row r="332">
          <cell r="A332" t="str">
            <v>25-2052</v>
          </cell>
          <cell r="B332" t="str">
            <v xml:space="preserve">        Special education teachers, kindergarten and elementary school</v>
          </cell>
          <cell r="C332" t="str">
            <v>Line item</v>
          </cell>
          <cell r="D332">
            <v>63000</v>
          </cell>
          <cell r="E332">
            <v>230.2</v>
          </cell>
          <cell r="F332">
            <v>226.1</v>
          </cell>
          <cell r="G332">
            <v>-4.0999999999999996</v>
          </cell>
          <cell r="H332">
            <v>-1.8</v>
          </cell>
          <cell r="I332">
            <v>15.4</v>
          </cell>
          <cell r="J332" t="str">
            <v>Bachelor's degree</v>
          </cell>
          <cell r="K332" t="str">
            <v>None</v>
          </cell>
          <cell r="L332" t="str">
            <v>None</v>
          </cell>
          <cell r="M332" t="str">
            <v>OOH Content</v>
          </cell>
        </row>
        <row r="333">
          <cell r="A333" t="str">
            <v>25-2057</v>
          </cell>
          <cell r="B333" t="str">
            <v xml:space="preserve">        Special education teachers, middle school</v>
          </cell>
          <cell r="C333" t="str">
            <v>Line item</v>
          </cell>
          <cell r="D333">
            <v>64880</v>
          </cell>
          <cell r="E333">
            <v>94.8</v>
          </cell>
          <cell r="F333">
            <v>93</v>
          </cell>
          <cell r="G333">
            <v>-1.8</v>
          </cell>
          <cell r="H333">
            <v>-1.9</v>
          </cell>
          <cell r="I333">
            <v>6.3</v>
          </cell>
          <cell r="J333" t="str">
            <v>Bachelor's degree</v>
          </cell>
          <cell r="K333" t="str">
            <v>None</v>
          </cell>
          <cell r="L333" t="str">
            <v>None</v>
          </cell>
          <cell r="M333" t="str">
            <v>OOH Content</v>
          </cell>
        </row>
        <row r="334">
          <cell r="A334" t="str">
            <v>25-2058</v>
          </cell>
          <cell r="B334" t="str">
            <v xml:space="preserve">        Special education teachers, secondary school</v>
          </cell>
          <cell r="C334" t="str">
            <v>Line item</v>
          </cell>
          <cell r="D334">
            <v>69590</v>
          </cell>
          <cell r="E334">
            <v>164.2</v>
          </cell>
          <cell r="F334">
            <v>161.5</v>
          </cell>
          <cell r="G334">
            <v>-2.6</v>
          </cell>
          <cell r="H334">
            <v>-1.6</v>
          </cell>
          <cell r="I334">
            <v>11.1</v>
          </cell>
          <cell r="J334" t="str">
            <v>Bachelor's degree</v>
          </cell>
          <cell r="K334" t="str">
            <v>None</v>
          </cell>
          <cell r="L334" t="str">
            <v>None</v>
          </cell>
          <cell r="M334" t="str">
            <v>OOH Content</v>
          </cell>
        </row>
        <row r="335">
          <cell r="A335" t="str">
            <v>25-2059</v>
          </cell>
          <cell r="B335" t="str">
            <v xml:space="preserve">        Special education teachers, all other</v>
          </cell>
          <cell r="C335" t="str">
            <v>Line item</v>
          </cell>
          <cell r="D335">
            <v>67430</v>
          </cell>
          <cell r="E335">
            <v>41</v>
          </cell>
          <cell r="F335">
            <v>41.5</v>
          </cell>
          <cell r="G335">
            <v>0.4</v>
          </cell>
          <cell r="H335">
            <v>1.1000000000000001</v>
          </cell>
          <cell r="I335">
            <v>2.9</v>
          </cell>
          <cell r="J335" t="str">
            <v>Bachelor's degree</v>
          </cell>
          <cell r="K335" t="str">
            <v>None</v>
          </cell>
          <cell r="L335" t="str">
            <v>None</v>
          </cell>
          <cell r="M335" t="str">
            <v>OOH Content</v>
          </cell>
        </row>
        <row r="336">
          <cell r="A336" t="str">
            <v>25-3000</v>
          </cell>
          <cell r="B336" t="str">
            <v xml:space="preserve">    Other teachers and instructors</v>
          </cell>
          <cell r="C336" t="str">
            <v>Summary</v>
          </cell>
          <cell r="D336">
            <v>44220</v>
          </cell>
          <cell r="E336">
            <v>1337.7</v>
          </cell>
          <cell r="F336">
            <v>1357.1</v>
          </cell>
          <cell r="G336">
            <v>19.399999999999999</v>
          </cell>
          <cell r="H336">
            <v>1.4</v>
          </cell>
          <cell r="I336">
            <v>171.4</v>
          </cell>
          <cell r="J336" t="str">
            <v>—</v>
          </cell>
          <cell r="K336" t="str">
            <v>—</v>
          </cell>
          <cell r="L336" t="str">
            <v>—</v>
          </cell>
          <cell r="M336" t="str">
            <v>—</v>
          </cell>
        </row>
        <row r="337">
          <cell r="A337" t="str">
            <v>25-3011</v>
          </cell>
          <cell r="B337" t="str">
            <v xml:space="preserve">      Adult basic education, adult secondary education, and english as a second language instructors</v>
          </cell>
          <cell r="C337" t="str">
            <v>Line item</v>
          </cell>
          <cell r="D337">
            <v>59950</v>
          </cell>
          <cell r="E337">
            <v>40.9</v>
          </cell>
          <cell r="F337">
            <v>35.299999999999997</v>
          </cell>
          <cell r="G337">
            <v>-5.6</v>
          </cell>
          <cell r="H337">
            <v>-13.7</v>
          </cell>
          <cell r="I337">
            <v>3.9</v>
          </cell>
          <cell r="J337" t="str">
            <v>Bachelor's degree</v>
          </cell>
          <cell r="K337" t="str">
            <v>None</v>
          </cell>
          <cell r="L337" t="str">
            <v>None</v>
          </cell>
          <cell r="M337" t="str">
            <v>OOH Content</v>
          </cell>
        </row>
        <row r="338">
          <cell r="A338" t="str">
            <v>25-3021</v>
          </cell>
          <cell r="B338" t="str">
            <v xml:space="preserve">      Self-enrichment teachers</v>
          </cell>
          <cell r="C338" t="str">
            <v>Line item</v>
          </cell>
          <cell r="D338">
            <v>45590</v>
          </cell>
          <cell r="E338">
            <v>417.5</v>
          </cell>
          <cell r="F338">
            <v>433</v>
          </cell>
          <cell r="G338">
            <v>15.5</v>
          </cell>
          <cell r="H338">
            <v>3.7</v>
          </cell>
          <cell r="I338">
            <v>51.4</v>
          </cell>
          <cell r="J338" t="str">
            <v>High school diploma or equivalent</v>
          </cell>
          <cell r="K338" t="str">
            <v>Less than 5 years</v>
          </cell>
          <cell r="L338" t="str">
            <v>None</v>
          </cell>
          <cell r="M338" t="str">
            <v>—</v>
          </cell>
        </row>
        <row r="339">
          <cell r="A339" t="str">
            <v>25-3031</v>
          </cell>
          <cell r="B339" t="str">
            <v xml:space="preserve">      Substitute teachers, short-term</v>
          </cell>
          <cell r="C339" t="str">
            <v>Line item</v>
          </cell>
          <cell r="D339">
            <v>38470</v>
          </cell>
          <cell r="E339">
            <v>510.1</v>
          </cell>
          <cell r="F339">
            <v>518.5</v>
          </cell>
          <cell r="G339">
            <v>8.4</v>
          </cell>
          <cell r="H339">
            <v>1.6</v>
          </cell>
          <cell r="I339">
            <v>61.1</v>
          </cell>
          <cell r="J339" t="str">
            <v>Bachelor's degree</v>
          </cell>
          <cell r="K339" t="str">
            <v>None</v>
          </cell>
          <cell r="L339" t="str">
            <v>None</v>
          </cell>
          <cell r="M339" t="str">
            <v>—</v>
          </cell>
        </row>
        <row r="340">
          <cell r="A340" t="str">
            <v>25-3041</v>
          </cell>
          <cell r="B340" t="str">
            <v xml:space="preserve">      Tutors</v>
          </cell>
          <cell r="C340" t="str">
            <v>Line item</v>
          </cell>
          <cell r="D340">
            <v>40090</v>
          </cell>
          <cell r="E340">
            <v>215.5</v>
          </cell>
          <cell r="F340">
            <v>216.8</v>
          </cell>
          <cell r="G340">
            <v>1.3</v>
          </cell>
          <cell r="H340">
            <v>0.6</v>
          </cell>
          <cell r="I340">
            <v>37.1</v>
          </cell>
          <cell r="J340" t="str">
            <v>Some college, no degree</v>
          </cell>
          <cell r="K340" t="str">
            <v>None</v>
          </cell>
          <cell r="L340" t="str">
            <v>None</v>
          </cell>
          <cell r="M340" t="str">
            <v>OOH Content</v>
          </cell>
        </row>
        <row r="341">
          <cell r="A341" t="str">
            <v>25-3099</v>
          </cell>
          <cell r="B341" t="str">
            <v xml:space="preserve">      Teachers and instructors, all other</v>
          </cell>
          <cell r="C341" t="str">
            <v>Line item</v>
          </cell>
          <cell r="D341">
            <v>64690</v>
          </cell>
          <cell r="E341">
            <v>153.80000000000001</v>
          </cell>
          <cell r="F341">
            <v>153.5</v>
          </cell>
          <cell r="G341">
            <v>-0.2</v>
          </cell>
          <cell r="H341">
            <v>-0.1</v>
          </cell>
          <cell r="I341">
            <v>18</v>
          </cell>
          <cell r="J341" t="str">
            <v>Bachelor's degree</v>
          </cell>
          <cell r="K341" t="str">
            <v>None</v>
          </cell>
          <cell r="L341" t="str">
            <v>None</v>
          </cell>
          <cell r="M341" t="str">
            <v>—</v>
          </cell>
        </row>
        <row r="342">
          <cell r="A342" t="str">
            <v>25-4000</v>
          </cell>
          <cell r="B342" t="str">
            <v xml:space="preserve">    Librarians, curators, and archivists</v>
          </cell>
          <cell r="C342" t="str">
            <v>Summary</v>
          </cell>
          <cell r="D342">
            <v>57100</v>
          </cell>
          <cell r="E342">
            <v>260.8</v>
          </cell>
          <cell r="F342">
            <v>260.10000000000002</v>
          </cell>
          <cell r="G342">
            <v>-0.7</v>
          </cell>
          <cell r="H342">
            <v>-0.3</v>
          </cell>
          <cell r="I342">
            <v>31.2</v>
          </cell>
          <cell r="J342" t="str">
            <v>—</v>
          </cell>
          <cell r="K342" t="str">
            <v>—</v>
          </cell>
          <cell r="L342" t="str">
            <v>—</v>
          </cell>
          <cell r="M342" t="str">
            <v>—</v>
          </cell>
        </row>
        <row r="343">
          <cell r="A343" t="str">
            <v>25-4010</v>
          </cell>
          <cell r="B343" t="str">
            <v xml:space="preserve">      Archivists, curators, and museum technicians</v>
          </cell>
          <cell r="C343" t="str">
            <v>Summary</v>
          </cell>
          <cell r="D343">
            <v>57100</v>
          </cell>
          <cell r="E343">
            <v>40.200000000000003</v>
          </cell>
          <cell r="F343">
            <v>42.4</v>
          </cell>
          <cell r="G343">
            <v>2.2999999999999998</v>
          </cell>
          <cell r="H343">
            <v>5.6</v>
          </cell>
          <cell r="I343">
            <v>4.8</v>
          </cell>
          <cell r="J343" t="str">
            <v>—</v>
          </cell>
          <cell r="K343" t="str">
            <v>—</v>
          </cell>
          <cell r="L343" t="str">
            <v>—</v>
          </cell>
          <cell r="M343" t="str">
            <v>—</v>
          </cell>
        </row>
        <row r="344">
          <cell r="A344" t="str">
            <v>25-4011</v>
          </cell>
          <cell r="B344" t="str">
            <v xml:space="preserve">        Archivists</v>
          </cell>
          <cell r="C344" t="str">
            <v>Line item</v>
          </cell>
          <cell r="D344">
            <v>61570</v>
          </cell>
          <cell r="E344">
            <v>9.3000000000000007</v>
          </cell>
          <cell r="F344">
            <v>9.6999999999999993</v>
          </cell>
          <cell r="G344">
            <v>0.4</v>
          </cell>
          <cell r="H344">
            <v>3.8</v>
          </cell>
          <cell r="I344">
            <v>1.1000000000000001</v>
          </cell>
          <cell r="J344" t="str">
            <v>Master's degree</v>
          </cell>
          <cell r="K344" t="str">
            <v>None</v>
          </cell>
          <cell r="L344" t="str">
            <v>None</v>
          </cell>
          <cell r="M344" t="str">
            <v>OOH Content</v>
          </cell>
        </row>
        <row r="345">
          <cell r="A345" t="str">
            <v>25-4012</v>
          </cell>
          <cell r="B345" t="str">
            <v xml:space="preserve">        Curators</v>
          </cell>
          <cell r="C345" t="str">
            <v>Line item</v>
          </cell>
          <cell r="D345">
            <v>61770</v>
          </cell>
          <cell r="E345">
            <v>15.1</v>
          </cell>
          <cell r="F345">
            <v>16.2</v>
          </cell>
          <cell r="G345">
            <v>1.1000000000000001</v>
          </cell>
          <cell r="H345">
            <v>7</v>
          </cell>
          <cell r="I345">
            <v>1.8</v>
          </cell>
          <cell r="J345" t="str">
            <v>Master's degree</v>
          </cell>
          <cell r="K345" t="str">
            <v>None</v>
          </cell>
          <cell r="L345" t="str">
            <v>None</v>
          </cell>
          <cell r="M345" t="str">
            <v>OOH Content</v>
          </cell>
        </row>
        <row r="346">
          <cell r="A346" t="str">
            <v>25-4013</v>
          </cell>
          <cell r="B346" t="str">
            <v xml:space="preserve">        Museum technicians and conservators</v>
          </cell>
          <cell r="C346" t="str">
            <v>Line item</v>
          </cell>
          <cell r="D346">
            <v>47460</v>
          </cell>
          <cell r="E346">
            <v>15.7</v>
          </cell>
          <cell r="F346">
            <v>16.5</v>
          </cell>
          <cell r="G346">
            <v>0.8</v>
          </cell>
          <cell r="H346">
            <v>5.4</v>
          </cell>
          <cell r="I346">
            <v>1.9</v>
          </cell>
          <cell r="J346" t="str">
            <v>Bachelor's degree</v>
          </cell>
          <cell r="K346" t="str">
            <v>None</v>
          </cell>
          <cell r="L346" t="str">
            <v>None</v>
          </cell>
          <cell r="M346" t="str">
            <v>OOH Content</v>
          </cell>
        </row>
        <row r="347">
          <cell r="A347" t="str">
            <v>25-4022</v>
          </cell>
          <cell r="B347" t="str">
            <v xml:space="preserve">      Librarians and media collections specialists</v>
          </cell>
          <cell r="C347" t="str">
            <v>Line item</v>
          </cell>
          <cell r="D347">
            <v>64320</v>
          </cell>
          <cell r="E347">
            <v>142.1</v>
          </cell>
          <cell r="F347">
            <v>144.5</v>
          </cell>
          <cell r="G347">
            <v>2.4</v>
          </cell>
          <cell r="H347">
            <v>1.7</v>
          </cell>
          <cell r="I347">
            <v>13.5</v>
          </cell>
          <cell r="J347" t="str">
            <v>Master's degree</v>
          </cell>
          <cell r="K347" t="str">
            <v>None</v>
          </cell>
          <cell r="L347" t="str">
            <v>None</v>
          </cell>
          <cell r="M347" t="str">
            <v>OOH Content</v>
          </cell>
        </row>
        <row r="348">
          <cell r="A348" t="str">
            <v>25-4031</v>
          </cell>
          <cell r="B348" t="str">
            <v xml:space="preserve">      Library technicians</v>
          </cell>
          <cell r="C348" t="str">
            <v>Line item</v>
          </cell>
          <cell r="D348">
            <v>39970</v>
          </cell>
          <cell r="E348">
            <v>78.599999999999994</v>
          </cell>
          <cell r="F348">
            <v>73.2</v>
          </cell>
          <cell r="G348">
            <v>-5.4</v>
          </cell>
          <cell r="H348">
            <v>-6.8</v>
          </cell>
          <cell r="I348">
            <v>13</v>
          </cell>
          <cell r="J348" t="str">
            <v>Postsecondary nondegree award</v>
          </cell>
          <cell r="K348" t="str">
            <v>None</v>
          </cell>
          <cell r="L348" t="str">
            <v>None</v>
          </cell>
          <cell r="M348" t="str">
            <v>OOH Content</v>
          </cell>
        </row>
        <row r="349">
          <cell r="A349" t="str">
            <v>25-9000</v>
          </cell>
          <cell r="B349" t="str">
            <v xml:space="preserve">    Other educational instruction and library occupations</v>
          </cell>
          <cell r="C349" t="str">
            <v>Summary</v>
          </cell>
          <cell r="D349">
            <v>36690</v>
          </cell>
          <cell r="E349">
            <v>1993.3</v>
          </cell>
          <cell r="F349">
            <v>1982.9</v>
          </cell>
          <cell r="G349">
            <v>-10.5</v>
          </cell>
          <cell r="H349">
            <v>-0.5</v>
          </cell>
          <cell r="I349">
            <v>230.4</v>
          </cell>
          <cell r="J349" t="str">
            <v>—</v>
          </cell>
          <cell r="K349" t="str">
            <v>—</v>
          </cell>
          <cell r="L349" t="str">
            <v>—</v>
          </cell>
          <cell r="M349" t="str">
            <v>—</v>
          </cell>
        </row>
        <row r="350">
          <cell r="A350" t="str">
            <v>25-9021</v>
          </cell>
          <cell r="B350" t="str">
            <v xml:space="preserve">      Farm and home management educators</v>
          </cell>
          <cell r="C350" t="str">
            <v>Line item</v>
          </cell>
          <cell r="D350">
            <v>58120</v>
          </cell>
          <cell r="E350">
            <v>12.4</v>
          </cell>
          <cell r="F350">
            <v>12.1</v>
          </cell>
          <cell r="G350">
            <v>-0.3</v>
          </cell>
          <cell r="H350">
            <v>-2.5</v>
          </cell>
          <cell r="I350">
            <v>1.1000000000000001</v>
          </cell>
          <cell r="J350" t="str">
            <v>Master's degree</v>
          </cell>
          <cell r="K350" t="str">
            <v>None</v>
          </cell>
          <cell r="L350" t="str">
            <v>None</v>
          </cell>
          <cell r="M350" t="str">
            <v>—</v>
          </cell>
        </row>
        <row r="351">
          <cell r="A351" t="str">
            <v>25-9031</v>
          </cell>
          <cell r="B351" t="str">
            <v xml:space="preserve">      Instructional coordinators</v>
          </cell>
          <cell r="C351" t="str">
            <v>Line item</v>
          </cell>
          <cell r="D351">
            <v>74720</v>
          </cell>
          <cell r="E351">
            <v>232.6</v>
          </cell>
          <cell r="F351">
            <v>235.5</v>
          </cell>
          <cell r="G351">
            <v>2.9</v>
          </cell>
          <cell r="H351">
            <v>1.3</v>
          </cell>
          <cell r="I351">
            <v>21.9</v>
          </cell>
          <cell r="J351" t="str">
            <v>Master's degree</v>
          </cell>
          <cell r="K351" t="str">
            <v>5 years or more</v>
          </cell>
          <cell r="L351" t="str">
            <v>None</v>
          </cell>
          <cell r="M351" t="str">
            <v>OOH Content</v>
          </cell>
        </row>
        <row r="352">
          <cell r="A352" t="str">
            <v>25-9040</v>
          </cell>
          <cell r="B352" t="str">
            <v xml:space="preserve">      Teaching assistants</v>
          </cell>
          <cell r="C352" t="str">
            <v>Summary</v>
          </cell>
          <cell r="D352">
            <v>35550</v>
          </cell>
          <cell r="E352">
            <v>1616.3</v>
          </cell>
          <cell r="F352">
            <v>1601.3</v>
          </cell>
          <cell r="G352">
            <v>-15.1</v>
          </cell>
          <cell r="H352">
            <v>-0.9</v>
          </cell>
          <cell r="I352">
            <v>195</v>
          </cell>
          <cell r="J352" t="str">
            <v>—</v>
          </cell>
          <cell r="K352" t="str">
            <v>—</v>
          </cell>
          <cell r="L352" t="str">
            <v>—</v>
          </cell>
          <cell r="M352" t="str">
            <v>—</v>
          </cell>
        </row>
        <row r="353">
          <cell r="A353" t="str">
            <v>25-9044</v>
          </cell>
          <cell r="B353" t="str">
            <v xml:space="preserve">        Teaching assistants, postsecondary</v>
          </cell>
          <cell r="C353" t="str">
            <v>Line item</v>
          </cell>
          <cell r="D353">
            <v>44930</v>
          </cell>
          <cell r="E353">
            <v>193.6</v>
          </cell>
          <cell r="F353">
            <v>199.6</v>
          </cell>
          <cell r="G353">
            <v>6</v>
          </cell>
          <cell r="H353">
            <v>3.1</v>
          </cell>
          <cell r="I353">
            <v>24.6</v>
          </cell>
          <cell r="J353" t="str">
            <v>Bachelor's degree</v>
          </cell>
          <cell r="K353" t="str">
            <v>None</v>
          </cell>
          <cell r="L353" t="str">
            <v>None</v>
          </cell>
          <cell r="M353" t="str">
            <v>—</v>
          </cell>
        </row>
        <row r="354">
          <cell r="A354" t="str">
            <v>25-9045</v>
          </cell>
          <cell r="B354" t="str">
            <v xml:space="preserve">        Teaching assistants, except postsecondary</v>
          </cell>
          <cell r="C354" t="str">
            <v>Line item</v>
          </cell>
          <cell r="D354">
            <v>35240</v>
          </cell>
          <cell r="E354">
            <v>1422.8</v>
          </cell>
          <cell r="F354">
            <v>1401.7</v>
          </cell>
          <cell r="G354">
            <v>-21.1</v>
          </cell>
          <cell r="H354">
            <v>-1.5</v>
          </cell>
          <cell r="I354">
            <v>170.4</v>
          </cell>
          <cell r="J354" t="str">
            <v>Some college, no degree</v>
          </cell>
          <cell r="K354" t="str">
            <v>None</v>
          </cell>
          <cell r="L354" t="str">
            <v>None</v>
          </cell>
          <cell r="M354" t="str">
            <v>OOH Content</v>
          </cell>
        </row>
        <row r="355">
          <cell r="A355" t="str">
            <v>25-9099</v>
          </cell>
          <cell r="B355" t="str">
            <v xml:space="preserve">      Educational instruction and library workers, all other</v>
          </cell>
          <cell r="C355" t="str">
            <v>Line item</v>
          </cell>
          <cell r="D355">
            <v>48400</v>
          </cell>
          <cell r="E355">
            <v>132</v>
          </cell>
          <cell r="F355">
            <v>134</v>
          </cell>
          <cell r="G355">
            <v>2</v>
          </cell>
          <cell r="H355">
            <v>1.5</v>
          </cell>
          <cell r="I355">
            <v>12.5</v>
          </cell>
          <cell r="J355" t="str">
            <v>Bachelor's degree</v>
          </cell>
          <cell r="K355" t="str">
            <v>None</v>
          </cell>
          <cell r="L355" t="str">
            <v>None</v>
          </cell>
          <cell r="M355" t="str">
            <v>—</v>
          </cell>
        </row>
        <row r="356">
          <cell r="A356" t="str">
            <v>27-0000</v>
          </cell>
          <cell r="B356" t="str">
            <v xml:space="preserve">  Arts, design, entertainment, sports, and media occupations</v>
          </cell>
          <cell r="C356" t="str">
            <v>Summary</v>
          </cell>
          <cell r="D356">
            <v>60140</v>
          </cell>
          <cell r="E356">
            <v>3021.1</v>
          </cell>
          <cell r="F356">
            <v>3104.6</v>
          </cell>
          <cell r="G356">
            <v>83.5</v>
          </cell>
          <cell r="H356">
            <v>2.8</v>
          </cell>
          <cell r="I356">
            <v>289.39999999999998</v>
          </cell>
          <cell r="J356" t="str">
            <v>—</v>
          </cell>
          <cell r="K356" t="str">
            <v>—</v>
          </cell>
          <cell r="L356" t="str">
            <v>—</v>
          </cell>
          <cell r="M356" t="str">
            <v>—</v>
          </cell>
        </row>
        <row r="357">
          <cell r="A357" t="str">
            <v>27-1000</v>
          </cell>
          <cell r="B357" t="str">
            <v xml:space="preserve">    Art and design workers</v>
          </cell>
          <cell r="C357" t="str">
            <v>Summary</v>
          </cell>
          <cell r="D357">
            <v>53180</v>
          </cell>
          <cell r="E357">
            <v>950.3</v>
          </cell>
          <cell r="F357">
            <v>971.8</v>
          </cell>
          <cell r="G357">
            <v>21.5</v>
          </cell>
          <cell r="H357">
            <v>2.2999999999999998</v>
          </cell>
          <cell r="I357">
            <v>84.9</v>
          </cell>
          <cell r="J357" t="str">
            <v>—</v>
          </cell>
          <cell r="K357" t="str">
            <v>—</v>
          </cell>
          <cell r="L357" t="str">
            <v>—</v>
          </cell>
          <cell r="M357" t="str">
            <v>—</v>
          </cell>
        </row>
        <row r="358">
          <cell r="A358" t="str">
            <v>27-1010</v>
          </cell>
          <cell r="B358" t="str">
            <v xml:space="preserve">      Artists and related workers</v>
          </cell>
          <cell r="C358" t="str">
            <v>Summary</v>
          </cell>
          <cell r="D358">
            <v>99060</v>
          </cell>
          <cell r="E358">
            <v>244.2</v>
          </cell>
          <cell r="F358">
            <v>250.8</v>
          </cell>
          <cell r="G358">
            <v>6.7</v>
          </cell>
          <cell r="H358">
            <v>2.7</v>
          </cell>
          <cell r="I358">
            <v>21.7</v>
          </cell>
          <cell r="J358" t="str">
            <v>—</v>
          </cell>
          <cell r="K358" t="str">
            <v>—</v>
          </cell>
          <cell r="L358" t="str">
            <v>—</v>
          </cell>
          <cell r="M358" t="str">
            <v>—</v>
          </cell>
        </row>
        <row r="359">
          <cell r="A359" t="str">
            <v>27-1011</v>
          </cell>
          <cell r="B359" t="str">
            <v xml:space="preserve">        Art directors</v>
          </cell>
          <cell r="C359" t="str">
            <v>Line item</v>
          </cell>
          <cell r="D359">
            <v>111040</v>
          </cell>
          <cell r="E359">
            <v>135</v>
          </cell>
          <cell r="F359">
            <v>140.69999999999999</v>
          </cell>
          <cell r="G359">
            <v>5.7</v>
          </cell>
          <cell r="H359">
            <v>4.2</v>
          </cell>
          <cell r="I359">
            <v>12.3</v>
          </cell>
          <cell r="J359" t="str">
            <v>Bachelor's degree</v>
          </cell>
          <cell r="K359" t="str">
            <v>5 years or more</v>
          </cell>
          <cell r="L359" t="str">
            <v>None</v>
          </cell>
          <cell r="M359" t="str">
            <v>OOH Content</v>
          </cell>
        </row>
        <row r="360">
          <cell r="A360" t="str">
            <v>27-1012</v>
          </cell>
          <cell r="B360" t="str">
            <v xml:space="preserve">        Craft artists</v>
          </cell>
          <cell r="C360" t="str">
            <v>Line item</v>
          </cell>
          <cell r="D360">
            <v>38480</v>
          </cell>
          <cell r="E360">
            <v>11.6</v>
          </cell>
          <cell r="F360">
            <v>11.9</v>
          </cell>
          <cell r="G360">
            <v>0.2</v>
          </cell>
          <cell r="H360">
            <v>2.1</v>
          </cell>
          <cell r="I360">
            <v>1</v>
          </cell>
          <cell r="J360" t="str">
            <v>No formal educational credential</v>
          </cell>
          <cell r="K360" t="str">
            <v>None</v>
          </cell>
          <cell r="L360" t="str">
            <v>Long-term on-the-job training</v>
          </cell>
          <cell r="M360" t="str">
            <v>OOH Content</v>
          </cell>
        </row>
        <row r="361">
          <cell r="A361" t="str">
            <v>27-1013</v>
          </cell>
          <cell r="B361" t="str">
            <v xml:space="preserve">        Fine artists, including painters, sculptors, and illustrators</v>
          </cell>
          <cell r="C361" t="str">
            <v>Line item</v>
          </cell>
          <cell r="D361">
            <v>60560</v>
          </cell>
          <cell r="E361">
            <v>26.5</v>
          </cell>
          <cell r="F361">
            <v>26.2</v>
          </cell>
          <cell r="G361">
            <v>-0.3</v>
          </cell>
          <cell r="H361">
            <v>-1.2</v>
          </cell>
          <cell r="I361">
            <v>2.2000000000000002</v>
          </cell>
          <cell r="J361" t="str">
            <v>Bachelor's degree</v>
          </cell>
          <cell r="K361" t="str">
            <v>None</v>
          </cell>
          <cell r="L361" t="str">
            <v>Long-term on-the-job training</v>
          </cell>
          <cell r="M361" t="str">
            <v>OOH Content</v>
          </cell>
        </row>
        <row r="362">
          <cell r="A362" t="str">
            <v>27-1014</v>
          </cell>
          <cell r="B362" t="str">
            <v xml:space="preserve">        Special effects artists and animators</v>
          </cell>
          <cell r="C362" t="str">
            <v>Line item</v>
          </cell>
          <cell r="D362">
            <v>99800</v>
          </cell>
          <cell r="E362">
            <v>57.1</v>
          </cell>
          <cell r="F362">
            <v>58</v>
          </cell>
          <cell r="G362">
            <v>0.9</v>
          </cell>
          <cell r="H362">
            <v>1.6</v>
          </cell>
          <cell r="I362">
            <v>5</v>
          </cell>
          <cell r="J362" t="str">
            <v>Bachelor's degree</v>
          </cell>
          <cell r="K362" t="str">
            <v>None</v>
          </cell>
          <cell r="L362" t="str">
            <v>None</v>
          </cell>
          <cell r="M362" t="str">
            <v>OOH Content</v>
          </cell>
        </row>
        <row r="363">
          <cell r="A363" t="str">
            <v>27-1019</v>
          </cell>
          <cell r="B363" t="str">
            <v xml:space="preserve">        Artists and related workers, all other</v>
          </cell>
          <cell r="C363" t="str">
            <v>Line item</v>
          </cell>
          <cell r="D363">
            <v>72760</v>
          </cell>
          <cell r="E363">
            <v>13.9</v>
          </cell>
          <cell r="F363">
            <v>14</v>
          </cell>
          <cell r="G363">
            <v>0.1</v>
          </cell>
          <cell r="H363">
            <v>0.8</v>
          </cell>
          <cell r="I363">
            <v>1.2</v>
          </cell>
          <cell r="J363" t="str">
            <v>No formal educational credential</v>
          </cell>
          <cell r="K363" t="str">
            <v>None</v>
          </cell>
          <cell r="L363" t="str">
            <v>Long-term on-the-job training</v>
          </cell>
          <cell r="M363" t="str">
            <v>OOH Content</v>
          </cell>
        </row>
        <row r="364">
          <cell r="A364" t="str">
            <v>27-1020</v>
          </cell>
          <cell r="B364" t="str">
            <v xml:space="preserve">      Designers</v>
          </cell>
          <cell r="C364" t="str">
            <v>Summary</v>
          </cell>
          <cell r="D364">
            <v>49020</v>
          </cell>
          <cell r="E364">
            <v>706.1</v>
          </cell>
          <cell r="F364">
            <v>721</v>
          </cell>
          <cell r="G364">
            <v>14.9</v>
          </cell>
          <cell r="H364">
            <v>2.1</v>
          </cell>
          <cell r="I364">
            <v>63.2</v>
          </cell>
          <cell r="J364" t="str">
            <v>—</v>
          </cell>
          <cell r="K364" t="str">
            <v>—</v>
          </cell>
          <cell r="L364" t="str">
            <v>—</v>
          </cell>
          <cell r="M364" t="str">
            <v>—</v>
          </cell>
        </row>
        <row r="365">
          <cell r="A365" t="str">
            <v>27-1021</v>
          </cell>
          <cell r="B365" t="str">
            <v xml:space="preserve">        Commercial and industrial designers</v>
          </cell>
          <cell r="C365" t="str">
            <v>Line item</v>
          </cell>
          <cell r="D365">
            <v>79450</v>
          </cell>
          <cell r="E365">
            <v>30.6</v>
          </cell>
          <cell r="F365">
            <v>31.6</v>
          </cell>
          <cell r="G365">
            <v>1</v>
          </cell>
          <cell r="H365">
            <v>3.2</v>
          </cell>
          <cell r="I365">
            <v>2.5</v>
          </cell>
          <cell r="J365" t="str">
            <v>Bachelor's degree</v>
          </cell>
          <cell r="K365" t="str">
            <v>None</v>
          </cell>
          <cell r="L365" t="str">
            <v>None</v>
          </cell>
          <cell r="M365" t="str">
            <v>OOH Content</v>
          </cell>
        </row>
        <row r="366">
          <cell r="A366" t="str">
            <v>27-1022</v>
          </cell>
          <cell r="B366" t="str">
            <v xml:space="preserve">        Fashion designers</v>
          </cell>
          <cell r="C366" t="str">
            <v>Line item</v>
          </cell>
          <cell r="D366">
            <v>80690</v>
          </cell>
          <cell r="E366">
            <v>25.7</v>
          </cell>
          <cell r="F366">
            <v>26.2</v>
          </cell>
          <cell r="G366">
            <v>0.5</v>
          </cell>
          <cell r="H366">
            <v>2</v>
          </cell>
          <cell r="I366">
            <v>2.2999999999999998</v>
          </cell>
          <cell r="J366" t="str">
            <v>Bachelor's degree</v>
          </cell>
          <cell r="K366" t="str">
            <v>None</v>
          </cell>
          <cell r="L366" t="str">
            <v>None</v>
          </cell>
          <cell r="M366" t="str">
            <v>OOH Content</v>
          </cell>
        </row>
        <row r="367">
          <cell r="A367" t="str">
            <v>27-1023</v>
          </cell>
          <cell r="B367" t="str">
            <v xml:space="preserve">        Floral designers</v>
          </cell>
          <cell r="C367" t="str">
            <v>Line item</v>
          </cell>
          <cell r="D367">
            <v>36120</v>
          </cell>
          <cell r="E367">
            <v>43.8</v>
          </cell>
          <cell r="F367">
            <v>41.2</v>
          </cell>
          <cell r="G367">
            <v>-2.6</v>
          </cell>
          <cell r="H367">
            <v>-5.9</v>
          </cell>
          <cell r="I367">
            <v>5.0999999999999996</v>
          </cell>
          <cell r="J367" t="str">
            <v>High school diploma or equivalent</v>
          </cell>
          <cell r="K367" t="str">
            <v>None</v>
          </cell>
          <cell r="L367" t="str">
            <v>Moderate-term on-the-job training</v>
          </cell>
          <cell r="M367" t="str">
            <v>OOH Content</v>
          </cell>
        </row>
        <row r="368">
          <cell r="A368" t="str">
            <v>27-1024</v>
          </cell>
          <cell r="B368" t="str">
            <v xml:space="preserve">        Graphic designers</v>
          </cell>
          <cell r="C368" t="str">
            <v>Line item</v>
          </cell>
          <cell r="D368">
            <v>61300</v>
          </cell>
          <cell r="E368">
            <v>265.89999999999998</v>
          </cell>
          <cell r="F368">
            <v>271.5</v>
          </cell>
          <cell r="G368">
            <v>5.7</v>
          </cell>
          <cell r="H368">
            <v>2.1</v>
          </cell>
          <cell r="I368">
            <v>20</v>
          </cell>
          <cell r="J368" t="str">
            <v>Bachelor's degree</v>
          </cell>
          <cell r="K368" t="str">
            <v>None</v>
          </cell>
          <cell r="L368" t="str">
            <v>None</v>
          </cell>
          <cell r="M368" t="str">
            <v>OOH Content</v>
          </cell>
        </row>
        <row r="369">
          <cell r="A369" t="str">
            <v>27-1025</v>
          </cell>
          <cell r="B369" t="str">
            <v xml:space="preserve">        Interior designers</v>
          </cell>
          <cell r="C369" t="str">
            <v>Line item</v>
          </cell>
          <cell r="D369">
            <v>63490</v>
          </cell>
          <cell r="E369">
            <v>87.1</v>
          </cell>
          <cell r="F369">
            <v>89.9</v>
          </cell>
          <cell r="G369">
            <v>2.8</v>
          </cell>
          <cell r="H369">
            <v>3.2</v>
          </cell>
          <cell r="I369">
            <v>7.8</v>
          </cell>
          <cell r="J369" t="str">
            <v>Bachelor's degree</v>
          </cell>
          <cell r="K369" t="str">
            <v>None</v>
          </cell>
          <cell r="L369" t="str">
            <v>None</v>
          </cell>
          <cell r="M369" t="str">
            <v>OOH Content</v>
          </cell>
        </row>
        <row r="370">
          <cell r="A370" t="str">
            <v>27-1026</v>
          </cell>
          <cell r="B370" t="str">
            <v xml:space="preserve">        Merchandise displayers and window trimmers</v>
          </cell>
          <cell r="C370" t="str">
            <v>Line item</v>
          </cell>
          <cell r="D370">
            <v>37350</v>
          </cell>
          <cell r="E370">
            <v>193</v>
          </cell>
          <cell r="F370">
            <v>199.3</v>
          </cell>
          <cell r="G370">
            <v>6.2</v>
          </cell>
          <cell r="H370">
            <v>3.2</v>
          </cell>
          <cell r="I370">
            <v>20.8</v>
          </cell>
          <cell r="J370" t="str">
            <v>High school diploma or equivalent</v>
          </cell>
          <cell r="K370" t="str">
            <v>None</v>
          </cell>
          <cell r="L370" t="str">
            <v>Short-term on-the-job training</v>
          </cell>
          <cell r="M370" t="str">
            <v>—</v>
          </cell>
        </row>
        <row r="371">
          <cell r="A371" t="str">
            <v>27-1027</v>
          </cell>
          <cell r="B371" t="str">
            <v xml:space="preserve">        Set and exhibit designers</v>
          </cell>
          <cell r="C371" t="str">
            <v>Line item</v>
          </cell>
          <cell r="D371">
            <v>66280</v>
          </cell>
          <cell r="E371">
            <v>31.3</v>
          </cell>
          <cell r="F371">
            <v>32</v>
          </cell>
          <cell r="G371">
            <v>0.7</v>
          </cell>
          <cell r="H371">
            <v>2.2999999999999998</v>
          </cell>
          <cell r="I371">
            <v>2.5</v>
          </cell>
          <cell r="J371" t="str">
            <v>Bachelor's degree</v>
          </cell>
          <cell r="K371" t="str">
            <v>None</v>
          </cell>
          <cell r="L371" t="str">
            <v>None</v>
          </cell>
          <cell r="M371" t="str">
            <v>OOH Content</v>
          </cell>
        </row>
        <row r="372">
          <cell r="A372" t="str">
            <v>27-1029</v>
          </cell>
          <cell r="B372" t="str">
            <v xml:space="preserve">        Designers, all other</v>
          </cell>
          <cell r="C372" t="str">
            <v>Line item</v>
          </cell>
          <cell r="D372">
            <v>66220</v>
          </cell>
          <cell r="E372">
            <v>28.6</v>
          </cell>
          <cell r="F372">
            <v>29.2</v>
          </cell>
          <cell r="G372">
            <v>0.6</v>
          </cell>
          <cell r="H372">
            <v>2</v>
          </cell>
          <cell r="I372">
            <v>2.2000000000000002</v>
          </cell>
          <cell r="J372" t="str">
            <v>Bachelor's degree</v>
          </cell>
          <cell r="K372" t="str">
            <v>None</v>
          </cell>
          <cell r="L372" t="str">
            <v>None</v>
          </cell>
          <cell r="M372" t="str">
            <v>—</v>
          </cell>
        </row>
        <row r="373">
          <cell r="A373" t="str">
            <v>27-2000</v>
          </cell>
          <cell r="B373" t="str">
            <v xml:space="preserve">    Entertainers and performers, sports and related workers</v>
          </cell>
          <cell r="C373" t="str">
            <v>Summary</v>
          </cell>
          <cell r="D373">
            <v>54870</v>
          </cell>
          <cell r="E373">
            <v>854.1</v>
          </cell>
          <cell r="F373">
            <v>889.4</v>
          </cell>
          <cell r="G373">
            <v>35.299999999999997</v>
          </cell>
          <cell r="H373">
            <v>4.0999999999999996</v>
          </cell>
          <cell r="I373">
            <v>99.7</v>
          </cell>
          <cell r="J373" t="str">
            <v>—</v>
          </cell>
          <cell r="K373" t="str">
            <v>—</v>
          </cell>
          <cell r="L373" t="str">
            <v>—</v>
          </cell>
          <cell r="M373" t="str">
            <v>—</v>
          </cell>
        </row>
        <row r="374">
          <cell r="A374" t="str">
            <v>27-2010</v>
          </cell>
          <cell r="B374" t="str">
            <v xml:space="preserve">      Actors, producers, and directors</v>
          </cell>
          <cell r="C374" t="str">
            <v>Summary</v>
          </cell>
          <cell r="D374">
            <v>78000</v>
          </cell>
          <cell r="E374">
            <v>223.9</v>
          </cell>
          <cell r="F374">
            <v>232.4</v>
          </cell>
          <cell r="G374">
            <v>8.4</v>
          </cell>
          <cell r="H374">
            <v>3.8</v>
          </cell>
          <cell r="I374">
            <v>19.100000000000001</v>
          </cell>
          <cell r="J374" t="str">
            <v>—</v>
          </cell>
          <cell r="K374" t="str">
            <v>—</v>
          </cell>
          <cell r="L374" t="str">
            <v>—</v>
          </cell>
          <cell r="M374" t="str">
            <v>—</v>
          </cell>
        </row>
        <row r="375">
          <cell r="A375" t="str">
            <v>27-2011</v>
          </cell>
          <cell r="B375" t="str">
            <v xml:space="preserve">        Actors</v>
          </cell>
          <cell r="C375" t="str">
            <v>Line item</v>
          </cell>
          <cell r="D375" t="str">
            <v>—</v>
          </cell>
          <cell r="E375">
            <v>57</v>
          </cell>
          <cell r="F375">
            <v>57.1</v>
          </cell>
          <cell r="G375">
            <v>0.2</v>
          </cell>
          <cell r="H375">
            <v>0.3</v>
          </cell>
          <cell r="I375">
            <v>6.3</v>
          </cell>
          <cell r="J375" t="str">
            <v>Some college, no degree</v>
          </cell>
          <cell r="K375" t="str">
            <v>None</v>
          </cell>
          <cell r="L375" t="str">
            <v>Long-term on-the-job training</v>
          </cell>
          <cell r="M375" t="str">
            <v>OOH Content</v>
          </cell>
        </row>
        <row r="376">
          <cell r="A376" t="str">
            <v>27-2012</v>
          </cell>
          <cell r="B376" t="str">
            <v xml:space="preserve">        Producers and directors</v>
          </cell>
          <cell r="C376" t="str">
            <v>Line item</v>
          </cell>
          <cell r="D376">
            <v>83480</v>
          </cell>
          <cell r="E376">
            <v>167</v>
          </cell>
          <cell r="F376">
            <v>175.2</v>
          </cell>
          <cell r="G376">
            <v>8.3000000000000007</v>
          </cell>
          <cell r="H376">
            <v>4.9000000000000004</v>
          </cell>
          <cell r="I376">
            <v>12.8</v>
          </cell>
          <cell r="J376" t="str">
            <v>Bachelor's degree</v>
          </cell>
          <cell r="K376" t="str">
            <v>Less than 5 years</v>
          </cell>
          <cell r="L376" t="str">
            <v>None</v>
          </cell>
          <cell r="M376" t="str">
            <v>OOH Content</v>
          </cell>
        </row>
        <row r="377">
          <cell r="A377" t="str">
            <v>27-2020</v>
          </cell>
          <cell r="B377" t="str">
            <v xml:space="preserve">      Athletes, coaches, umpires, and related workers</v>
          </cell>
          <cell r="C377" t="str">
            <v>Summary</v>
          </cell>
          <cell r="D377">
            <v>45920</v>
          </cell>
          <cell r="E377">
            <v>344.9</v>
          </cell>
          <cell r="F377">
            <v>366.6</v>
          </cell>
          <cell r="G377">
            <v>21.7</v>
          </cell>
          <cell r="H377">
            <v>6.3</v>
          </cell>
          <cell r="I377">
            <v>48.5</v>
          </cell>
          <cell r="J377" t="str">
            <v>—</v>
          </cell>
          <cell r="K377" t="str">
            <v>—</v>
          </cell>
          <cell r="L377" t="str">
            <v>—</v>
          </cell>
          <cell r="M377" t="str">
            <v>—</v>
          </cell>
        </row>
        <row r="378">
          <cell r="A378" t="str">
            <v>27-2021</v>
          </cell>
          <cell r="B378" t="str">
            <v xml:space="preserve">        Athletes and sports competitors</v>
          </cell>
          <cell r="C378" t="str">
            <v>Line item</v>
          </cell>
          <cell r="D378">
            <v>62360</v>
          </cell>
          <cell r="E378">
            <v>19.100000000000001</v>
          </cell>
          <cell r="F378">
            <v>20.2</v>
          </cell>
          <cell r="G378">
            <v>1</v>
          </cell>
          <cell r="H378">
            <v>5.5</v>
          </cell>
          <cell r="I378">
            <v>2.1</v>
          </cell>
          <cell r="J378" t="str">
            <v>No formal educational credential</v>
          </cell>
          <cell r="K378" t="str">
            <v>None</v>
          </cell>
          <cell r="L378" t="str">
            <v>Long-term on-the-job training</v>
          </cell>
          <cell r="M378" t="str">
            <v>OOH Content</v>
          </cell>
        </row>
        <row r="379">
          <cell r="A379" t="str">
            <v>27-2022</v>
          </cell>
          <cell r="B379" t="str">
            <v xml:space="preserve">        Coaches and scouts</v>
          </cell>
          <cell r="C379" t="str">
            <v>Line item</v>
          </cell>
          <cell r="D379">
            <v>45920</v>
          </cell>
          <cell r="E379">
            <v>306.5</v>
          </cell>
          <cell r="F379">
            <v>326</v>
          </cell>
          <cell r="G379">
            <v>19.5</v>
          </cell>
          <cell r="H379">
            <v>6.4</v>
          </cell>
          <cell r="I379">
            <v>41.8</v>
          </cell>
          <cell r="J379" t="str">
            <v>Bachelor's degree</v>
          </cell>
          <cell r="K379" t="str">
            <v>None</v>
          </cell>
          <cell r="L379" t="str">
            <v>None</v>
          </cell>
          <cell r="M379" t="str">
            <v>OOH Content</v>
          </cell>
        </row>
        <row r="380">
          <cell r="A380" t="str">
            <v>27-2023</v>
          </cell>
          <cell r="B380" t="str">
            <v xml:space="preserve">        Umpires, referees, and other sports officials</v>
          </cell>
          <cell r="C380" t="str">
            <v>Line item</v>
          </cell>
          <cell r="D380">
            <v>38820</v>
          </cell>
          <cell r="E380">
            <v>19.3</v>
          </cell>
          <cell r="F380">
            <v>20.399999999999999</v>
          </cell>
          <cell r="G380">
            <v>1.1000000000000001</v>
          </cell>
          <cell r="H380">
            <v>5.7</v>
          </cell>
          <cell r="I380">
            <v>4.5999999999999996</v>
          </cell>
          <cell r="J380" t="str">
            <v>High school diploma or equivalent</v>
          </cell>
          <cell r="K380" t="str">
            <v>None</v>
          </cell>
          <cell r="L380" t="str">
            <v>Moderate-term on-the-job training</v>
          </cell>
          <cell r="M380" t="str">
            <v>OOH Content</v>
          </cell>
        </row>
        <row r="381">
          <cell r="A381" t="str">
            <v>27-2030</v>
          </cell>
          <cell r="B381" t="str">
            <v xml:space="preserve">      Dancers and choreographers</v>
          </cell>
          <cell r="C381" t="str">
            <v>Summary</v>
          </cell>
          <cell r="D381">
            <v>51020</v>
          </cell>
          <cell r="E381">
            <v>17</v>
          </cell>
          <cell r="F381">
            <v>17.8</v>
          </cell>
          <cell r="G381">
            <v>0.8</v>
          </cell>
          <cell r="H381">
            <v>4.9000000000000004</v>
          </cell>
          <cell r="I381">
            <v>2.5</v>
          </cell>
          <cell r="J381" t="str">
            <v>—</v>
          </cell>
          <cell r="K381" t="str">
            <v>—</v>
          </cell>
          <cell r="L381" t="str">
            <v>—</v>
          </cell>
          <cell r="M381" t="str">
            <v>—</v>
          </cell>
        </row>
        <row r="382">
          <cell r="A382" t="str">
            <v>27-2031</v>
          </cell>
          <cell r="B382" t="str">
            <v xml:space="preserve">        Dancers</v>
          </cell>
          <cell r="C382" t="str">
            <v>Line item</v>
          </cell>
          <cell r="D382" t="str">
            <v>—</v>
          </cell>
          <cell r="E382">
            <v>12.3</v>
          </cell>
          <cell r="F382">
            <v>12.9</v>
          </cell>
          <cell r="G382">
            <v>0.6</v>
          </cell>
          <cell r="H382">
            <v>4.5</v>
          </cell>
          <cell r="I382">
            <v>1.8</v>
          </cell>
          <cell r="J382" t="str">
            <v>No formal educational credential</v>
          </cell>
          <cell r="K382" t="str">
            <v>None</v>
          </cell>
          <cell r="L382" t="str">
            <v>Long-term on-the-job training</v>
          </cell>
          <cell r="M382" t="str">
            <v>OOH Content</v>
          </cell>
        </row>
        <row r="383">
          <cell r="A383" t="str">
            <v>27-2032</v>
          </cell>
          <cell r="B383" t="str">
            <v xml:space="preserve">        Choreographers</v>
          </cell>
          <cell r="C383" t="str">
            <v>Line item</v>
          </cell>
          <cell r="D383">
            <v>55600</v>
          </cell>
          <cell r="E383">
            <v>4.5999999999999996</v>
          </cell>
          <cell r="F383">
            <v>4.9000000000000004</v>
          </cell>
          <cell r="G383">
            <v>0.3</v>
          </cell>
          <cell r="H383">
            <v>6.1</v>
          </cell>
          <cell r="I383">
            <v>0.7</v>
          </cell>
          <cell r="J383" t="str">
            <v>High school diploma or equivalent</v>
          </cell>
          <cell r="K383" t="str">
            <v>5 years or more</v>
          </cell>
          <cell r="L383" t="str">
            <v>Long-term on-the-job training</v>
          </cell>
          <cell r="M383" t="str">
            <v>OOH Content</v>
          </cell>
        </row>
        <row r="384">
          <cell r="A384" t="str">
            <v>27-2040</v>
          </cell>
          <cell r="B384" t="str">
            <v xml:space="preserve">      Musicians, singers, and related workers</v>
          </cell>
          <cell r="C384" t="str">
            <v>Summary</v>
          </cell>
          <cell r="D384" t="str">
            <v>—</v>
          </cell>
          <cell r="E384">
            <v>217.1</v>
          </cell>
          <cell r="F384">
            <v>218.8</v>
          </cell>
          <cell r="G384">
            <v>1.7</v>
          </cell>
          <cell r="H384">
            <v>0.8</v>
          </cell>
          <cell r="I384">
            <v>23.7</v>
          </cell>
          <cell r="J384" t="str">
            <v>—</v>
          </cell>
          <cell r="K384" t="str">
            <v>—</v>
          </cell>
          <cell r="L384" t="str">
            <v>—</v>
          </cell>
          <cell r="M384" t="str">
            <v>—</v>
          </cell>
        </row>
        <row r="385">
          <cell r="A385" t="str">
            <v>27-2041</v>
          </cell>
          <cell r="B385" t="str">
            <v xml:space="preserve">        Music directors and composers</v>
          </cell>
          <cell r="C385" t="str">
            <v>Line item</v>
          </cell>
          <cell r="D385">
            <v>63670</v>
          </cell>
          <cell r="E385">
            <v>47.3</v>
          </cell>
          <cell r="F385">
            <v>47.2</v>
          </cell>
          <cell r="G385">
            <v>-0.1</v>
          </cell>
          <cell r="H385">
            <v>-0.3</v>
          </cell>
          <cell r="I385">
            <v>4.3</v>
          </cell>
          <cell r="J385" t="str">
            <v>Bachelor's degree</v>
          </cell>
          <cell r="K385" t="str">
            <v>Less than 5 years</v>
          </cell>
          <cell r="L385" t="str">
            <v>None</v>
          </cell>
          <cell r="M385" t="str">
            <v>OOH Content</v>
          </cell>
        </row>
        <row r="386">
          <cell r="A386" t="str">
            <v>27-2042</v>
          </cell>
          <cell r="B386" t="str">
            <v xml:space="preserve">        Musicians and singers</v>
          </cell>
          <cell r="C386" t="str">
            <v>Line item</v>
          </cell>
          <cell r="D386" t="str">
            <v>—</v>
          </cell>
          <cell r="E386">
            <v>169.8</v>
          </cell>
          <cell r="F386">
            <v>171.6</v>
          </cell>
          <cell r="G386">
            <v>1.8</v>
          </cell>
          <cell r="H386">
            <v>1.1000000000000001</v>
          </cell>
          <cell r="I386">
            <v>19.399999999999999</v>
          </cell>
          <cell r="J386" t="str">
            <v>No formal educational credential</v>
          </cell>
          <cell r="K386" t="str">
            <v>None</v>
          </cell>
          <cell r="L386" t="str">
            <v>Long-term on-the-job training</v>
          </cell>
          <cell r="M386" t="str">
            <v>OOH Content</v>
          </cell>
        </row>
        <row r="387">
          <cell r="A387" t="str">
            <v>27-2090</v>
          </cell>
          <cell r="B387" t="str">
            <v xml:space="preserve">      Miscellaneous entertainers and performers, sports and related workers</v>
          </cell>
          <cell r="C387" t="str">
            <v>Summary</v>
          </cell>
          <cell r="D387" t="str">
            <v>—</v>
          </cell>
          <cell r="E387">
            <v>51.2</v>
          </cell>
          <cell r="F387">
            <v>53.9</v>
          </cell>
          <cell r="G387">
            <v>2.7</v>
          </cell>
          <cell r="H387">
            <v>5.3</v>
          </cell>
          <cell r="I387">
            <v>5.8</v>
          </cell>
          <cell r="J387" t="str">
            <v>—</v>
          </cell>
          <cell r="K387" t="str">
            <v>—</v>
          </cell>
          <cell r="L387" t="str">
            <v>—</v>
          </cell>
          <cell r="M387" t="str">
            <v>—</v>
          </cell>
        </row>
        <row r="388">
          <cell r="A388" t="str">
            <v>27-2091</v>
          </cell>
          <cell r="B388" t="str">
            <v xml:space="preserve">        Disc jockeys, except radio</v>
          </cell>
          <cell r="C388" t="str">
            <v>Line item</v>
          </cell>
          <cell r="D388" t="str">
            <v>—</v>
          </cell>
          <cell r="E388">
            <v>15.4</v>
          </cell>
          <cell r="F388">
            <v>16</v>
          </cell>
          <cell r="G388">
            <v>0.6</v>
          </cell>
          <cell r="H388">
            <v>3.8</v>
          </cell>
          <cell r="I388">
            <v>1.5</v>
          </cell>
          <cell r="J388" t="str">
            <v>High school diploma or equivalent</v>
          </cell>
          <cell r="K388" t="str">
            <v>None</v>
          </cell>
          <cell r="L388" t="str">
            <v>Short-term on-the-job training</v>
          </cell>
          <cell r="M388" t="str">
            <v>OOH Content</v>
          </cell>
        </row>
        <row r="389">
          <cell r="A389" t="str">
            <v>27-2099</v>
          </cell>
          <cell r="B389" t="str">
            <v xml:space="preserve">        Entertainers and performers, sports and related workers, all other</v>
          </cell>
          <cell r="C389" t="str">
            <v>Line item</v>
          </cell>
          <cell r="D389" t="str">
            <v>—</v>
          </cell>
          <cell r="E389">
            <v>35.799999999999997</v>
          </cell>
          <cell r="F389">
            <v>38</v>
          </cell>
          <cell r="G389">
            <v>2.1</v>
          </cell>
          <cell r="H389">
            <v>6</v>
          </cell>
          <cell r="I389">
            <v>4.4000000000000004</v>
          </cell>
          <cell r="J389" t="str">
            <v>No formal educational credential</v>
          </cell>
          <cell r="K389" t="str">
            <v>None</v>
          </cell>
          <cell r="L389" t="str">
            <v>Short-term on-the-job training</v>
          </cell>
          <cell r="M389" t="str">
            <v>—</v>
          </cell>
        </row>
        <row r="390">
          <cell r="A390" t="str">
            <v>27-3000</v>
          </cell>
          <cell r="B390" t="str">
            <v xml:space="preserve">    Media and communication workers</v>
          </cell>
          <cell r="C390" t="str">
            <v>Summary</v>
          </cell>
          <cell r="D390">
            <v>70300</v>
          </cell>
          <cell r="E390">
            <v>824.3</v>
          </cell>
          <cell r="F390">
            <v>844.4</v>
          </cell>
          <cell r="G390">
            <v>20.100000000000001</v>
          </cell>
          <cell r="H390">
            <v>2.4</v>
          </cell>
          <cell r="I390">
            <v>73.400000000000006</v>
          </cell>
          <cell r="J390" t="str">
            <v>—</v>
          </cell>
          <cell r="K390" t="str">
            <v>—</v>
          </cell>
          <cell r="L390" t="str">
            <v>—</v>
          </cell>
          <cell r="M390" t="str">
            <v>—</v>
          </cell>
        </row>
        <row r="391">
          <cell r="A391" t="str">
            <v>27-3011</v>
          </cell>
          <cell r="B391" t="str">
            <v xml:space="preserve">      Broadcast announcers and radio disc jockeys</v>
          </cell>
          <cell r="C391" t="str">
            <v>Line item</v>
          </cell>
          <cell r="D391">
            <v>45680</v>
          </cell>
          <cell r="E391">
            <v>24.1</v>
          </cell>
          <cell r="F391">
            <v>22.8</v>
          </cell>
          <cell r="G391">
            <v>-1.3</v>
          </cell>
          <cell r="H391">
            <v>-5.5</v>
          </cell>
          <cell r="I391">
            <v>2.2999999999999998</v>
          </cell>
          <cell r="J391" t="str">
            <v>Bachelor's degree</v>
          </cell>
          <cell r="K391" t="str">
            <v>None</v>
          </cell>
          <cell r="L391" t="str">
            <v>None</v>
          </cell>
          <cell r="M391" t="str">
            <v>OOH Content</v>
          </cell>
        </row>
        <row r="392">
          <cell r="A392" t="str">
            <v>27-3023</v>
          </cell>
          <cell r="B392" t="str">
            <v xml:space="preserve">      News analysts, reporters, and journalists</v>
          </cell>
          <cell r="C392" t="str">
            <v>Line item</v>
          </cell>
          <cell r="D392">
            <v>60280</v>
          </cell>
          <cell r="E392">
            <v>49.3</v>
          </cell>
          <cell r="F392">
            <v>47.4</v>
          </cell>
          <cell r="G392">
            <v>-1.9</v>
          </cell>
          <cell r="H392">
            <v>-3.9</v>
          </cell>
          <cell r="I392">
            <v>4.0999999999999996</v>
          </cell>
          <cell r="J392" t="str">
            <v>Bachelor's degree</v>
          </cell>
          <cell r="K392" t="str">
            <v>None</v>
          </cell>
          <cell r="L392" t="str">
            <v>None</v>
          </cell>
          <cell r="M392" t="str">
            <v>OOH Content</v>
          </cell>
        </row>
        <row r="393">
          <cell r="A393" t="str">
            <v>27-3031</v>
          </cell>
          <cell r="B393" t="str">
            <v xml:space="preserve">      Public relations specialists</v>
          </cell>
          <cell r="C393" t="str">
            <v>Line item</v>
          </cell>
          <cell r="D393">
            <v>69780</v>
          </cell>
          <cell r="E393">
            <v>315.89999999999998</v>
          </cell>
          <cell r="F393">
            <v>331</v>
          </cell>
          <cell r="G393">
            <v>15</v>
          </cell>
          <cell r="H393">
            <v>4.8</v>
          </cell>
          <cell r="I393">
            <v>27.6</v>
          </cell>
          <cell r="J393" t="str">
            <v>Bachelor's degree</v>
          </cell>
          <cell r="K393" t="str">
            <v>None</v>
          </cell>
          <cell r="L393" t="str">
            <v>None</v>
          </cell>
          <cell r="M393" t="str">
            <v>OOH Content</v>
          </cell>
        </row>
        <row r="394">
          <cell r="A394" t="str">
            <v>27-3040</v>
          </cell>
          <cell r="B394" t="str">
            <v xml:space="preserve">      Writers and editors</v>
          </cell>
          <cell r="C394" t="str">
            <v>Summary</v>
          </cell>
          <cell r="D394">
            <v>78100</v>
          </cell>
          <cell r="E394">
            <v>307.60000000000002</v>
          </cell>
          <cell r="F394">
            <v>313.7</v>
          </cell>
          <cell r="G394">
            <v>6.1</v>
          </cell>
          <cell r="H394">
            <v>2</v>
          </cell>
          <cell r="I394">
            <v>27.7</v>
          </cell>
          <cell r="J394" t="str">
            <v>—</v>
          </cell>
          <cell r="K394" t="str">
            <v>—</v>
          </cell>
          <cell r="L394" t="str">
            <v>—</v>
          </cell>
          <cell r="M394" t="str">
            <v>—</v>
          </cell>
        </row>
        <row r="395">
          <cell r="A395" t="str">
            <v>27-3041</v>
          </cell>
          <cell r="B395" t="str">
            <v xml:space="preserve">        Editors</v>
          </cell>
          <cell r="C395" t="str">
            <v>Line item</v>
          </cell>
          <cell r="D395">
            <v>75260</v>
          </cell>
          <cell r="E395">
            <v>115.8</v>
          </cell>
          <cell r="F395">
            <v>116.5</v>
          </cell>
          <cell r="G395">
            <v>0.7</v>
          </cell>
          <cell r="H395">
            <v>0.6</v>
          </cell>
          <cell r="I395">
            <v>9.8000000000000007</v>
          </cell>
          <cell r="J395" t="str">
            <v>Bachelor's degree</v>
          </cell>
          <cell r="K395" t="str">
            <v>Less than 5 years</v>
          </cell>
          <cell r="L395" t="str">
            <v>None</v>
          </cell>
          <cell r="M395" t="str">
            <v>OOH Content</v>
          </cell>
        </row>
        <row r="396">
          <cell r="A396" t="str">
            <v>27-3042</v>
          </cell>
          <cell r="B396" t="str">
            <v xml:space="preserve">        Technical writers</v>
          </cell>
          <cell r="C396" t="str">
            <v>Line item</v>
          </cell>
          <cell r="D396">
            <v>91670</v>
          </cell>
          <cell r="E396">
            <v>56.4</v>
          </cell>
          <cell r="F396">
            <v>56.9</v>
          </cell>
          <cell r="G396">
            <v>0.5</v>
          </cell>
          <cell r="H396">
            <v>0.9</v>
          </cell>
          <cell r="I396">
            <v>4.5</v>
          </cell>
          <cell r="J396" t="str">
            <v>Bachelor's degree</v>
          </cell>
          <cell r="K396" t="str">
            <v>Less than 5 years</v>
          </cell>
          <cell r="L396" t="str">
            <v>Short-term on-the-job training</v>
          </cell>
          <cell r="M396" t="str">
            <v>OOH Content</v>
          </cell>
        </row>
        <row r="397">
          <cell r="A397" t="str">
            <v>27-3043</v>
          </cell>
          <cell r="B397" t="str">
            <v xml:space="preserve">        Writers and authors</v>
          </cell>
          <cell r="C397" t="str">
            <v>Line item</v>
          </cell>
          <cell r="D397">
            <v>72270</v>
          </cell>
          <cell r="E397">
            <v>135.4</v>
          </cell>
          <cell r="F397">
            <v>140.30000000000001</v>
          </cell>
          <cell r="G397">
            <v>4.9000000000000004</v>
          </cell>
          <cell r="H397">
            <v>3.6</v>
          </cell>
          <cell r="I397">
            <v>13.4</v>
          </cell>
          <cell r="J397" t="str">
            <v>Bachelor's degree</v>
          </cell>
          <cell r="K397" t="str">
            <v>None</v>
          </cell>
          <cell r="L397" t="str">
            <v>Long-term on-the-job training</v>
          </cell>
          <cell r="M397" t="str">
            <v>OOH Content</v>
          </cell>
        </row>
        <row r="398">
          <cell r="A398" t="str">
            <v>27-3090</v>
          </cell>
          <cell r="B398" t="str">
            <v xml:space="preserve">      Miscellaneous media and communication workers</v>
          </cell>
          <cell r="C398" t="str">
            <v>Summary</v>
          </cell>
          <cell r="D398">
            <v>62500</v>
          </cell>
          <cell r="E398">
            <v>127.4</v>
          </cell>
          <cell r="F398">
            <v>129.5</v>
          </cell>
          <cell r="G398">
            <v>2.2000000000000002</v>
          </cell>
          <cell r="H398">
            <v>1.7</v>
          </cell>
          <cell r="I398">
            <v>11.6</v>
          </cell>
          <cell r="J398" t="str">
            <v>—</v>
          </cell>
          <cell r="K398" t="str">
            <v>—</v>
          </cell>
          <cell r="L398" t="str">
            <v>—</v>
          </cell>
          <cell r="M398" t="str">
            <v>—</v>
          </cell>
        </row>
        <row r="399">
          <cell r="A399" t="str">
            <v>27-3091</v>
          </cell>
          <cell r="B399" t="str">
            <v xml:space="preserve">        Interpreters and translators</v>
          </cell>
          <cell r="C399" t="str">
            <v>Line item</v>
          </cell>
          <cell r="D399">
            <v>59440</v>
          </cell>
          <cell r="E399">
            <v>75.3</v>
          </cell>
          <cell r="F399">
            <v>76.599999999999994</v>
          </cell>
          <cell r="G399">
            <v>1.3</v>
          </cell>
          <cell r="H399">
            <v>1.7</v>
          </cell>
          <cell r="I399">
            <v>6.9</v>
          </cell>
          <cell r="J399" t="str">
            <v>Bachelor's degree</v>
          </cell>
          <cell r="K399" t="str">
            <v>None</v>
          </cell>
          <cell r="L399" t="str">
            <v>None</v>
          </cell>
          <cell r="M399" t="str">
            <v>OOH Content</v>
          </cell>
        </row>
        <row r="400">
          <cell r="A400" t="str">
            <v>27-3092</v>
          </cell>
          <cell r="B400" t="str">
            <v xml:space="preserve">        Court reporters and simultaneous captioners</v>
          </cell>
          <cell r="C400" t="str">
            <v>Line item</v>
          </cell>
          <cell r="D400">
            <v>67310</v>
          </cell>
          <cell r="E400">
            <v>17.7</v>
          </cell>
          <cell r="F400">
            <v>17.7</v>
          </cell>
          <cell r="G400">
            <v>0</v>
          </cell>
          <cell r="H400">
            <v>-0.3</v>
          </cell>
          <cell r="I400">
            <v>1.7</v>
          </cell>
          <cell r="J400" t="str">
            <v>Postsecondary nondegree award</v>
          </cell>
          <cell r="K400" t="str">
            <v>None</v>
          </cell>
          <cell r="L400" t="str">
            <v>Short-term on-the-job training</v>
          </cell>
          <cell r="M400" t="str">
            <v>OOH Content</v>
          </cell>
        </row>
        <row r="401">
          <cell r="A401" t="str">
            <v>27-3099</v>
          </cell>
          <cell r="B401" t="str">
            <v xml:space="preserve">        Media and communication workers, all other</v>
          </cell>
          <cell r="C401" t="str">
            <v>Line item</v>
          </cell>
          <cell r="D401">
            <v>71770</v>
          </cell>
          <cell r="E401">
            <v>34.299999999999997</v>
          </cell>
          <cell r="F401">
            <v>35.299999999999997</v>
          </cell>
          <cell r="G401">
            <v>0.9</v>
          </cell>
          <cell r="H401">
            <v>2.7</v>
          </cell>
          <cell r="I401">
            <v>3</v>
          </cell>
          <cell r="J401" t="str">
            <v>High school diploma or equivalent</v>
          </cell>
          <cell r="K401" t="str">
            <v>None</v>
          </cell>
          <cell r="L401" t="str">
            <v>Short-term on-the-job training</v>
          </cell>
          <cell r="M401" t="str">
            <v>—</v>
          </cell>
        </row>
        <row r="402">
          <cell r="A402" t="str">
            <v>27-4000</v>
          </cell>
          <cell r="B402" t="str">
            <v xml:space="preserve">    Media and communication equipment workers</v>
          </cell>
          <cell r="C402" t="str">
            <v>Summary</v>
          </cell>
          <cell r="D402">
            <v>56480</v>
          </cell>
          <cell r="E402">
            <v>392.3</v>
          </cell>
          <cell r="F402">
            <v>398.9</v>
          </cell>
          <cell r="G402">
            <v>6.6</v>
          </cell>
          <cell r="H402">
            <v>1.7</v>
          </cell>
          <cell r="I402">
            <v>31.4</v>
          </cell>
          <cell r="J402" t="str">
            <v>—</v>
          </cell>
          <cell r="K402" t="str">
            <v>—</v>
          </cell>
          <cell r="L402" t="str">
            <v>—</v>
          </cell>
          <cell r="M402" t="str">
            <v>—</v>
          </cell>
        </row>
        <row r="403">
          <cell r="A403" t="str">
            <v>27-4010</v>
          </cell>
          <cell r="B403" t="str">
            <v xml:space="preserve">      Broadcast, sound, and lighting technicians</v>
          </cell>
          <cell r="C403" t="str">
            <v>Summary</v>
          </cell>
          <cell r="D403">
            <v>56600</v>
          </cell>
          <cell r="E403">
            <v>146.1</v>
          </cell>
          <cell r="F403">
            <v>147.69999999999999</v>
          </cell>
          <cell r="G403">
            <v>1.5</v>
          </cell>
          <cell r="H403">
            <v>1</v>
          </cell>
          <cell r="I403">
            <v>11.1</v>
          </cell>
          <cell r="J403" t="str">
            <v>—</v>
          </cell>
          <cell r="K403" t="str">
            <v>—</v>
          </cell>
          <cell r="L403" t="str">
            <v>—</v>
          </cell>
          <cell r="M403" t="str">
            <v>—</v>
          </cell>
        </row>
        <row r="404">
          <cell r="A404" t="str">
            <v>27-4011</v>
          </cell>
          <cell r="B404" t="str">
            <v xml:space="preserve">        Audio and video technicians</v>
          </cell>
          <cell r="C404" t="str">
            <v>Line item</v>
          </cell>
          <cell r="D404">
            <v>54830</v>
          </cell>
          <cell r="E404">
            <v>92.3</v>
          </cell>
          <cell r="F404">
            <v>95.4</v>
          </cell>
          <cell r="G404">
            <v>3.1</v>
          </cell>
          <cell r="H404">
            <v>3.3</v>
          </cell>
          <cell r="I404">
            <v>7.3</v>
          </cell>
          <cell r="J404" t="str">
            <v>Postsecondary nondegree award</v>
          </cell>
          <cell r="K404" t="str">
            <v>None</v>
          </cell>
          <cell r="L404" t="str">
            <v>Short-term on-the-job training</v>
          </cell>
          <cell r="M404" t="str">
            <v>OOH Content</v>
          </cell>
        </row>
        <row r="405">
          <cell r="A405" t="str">
            <v>27-4012</v>
          </cell>
          <cell r="B405" t="str">
            <v xml:space="preserve">        Broadcast technicians</v>
          </cell>
          <cell r="C405" t="str">
            <v>Line item</v>
          </cell>
          <cell r="D405">
            <v>53920</v>
          </cell>
          <cell r="E405">
            <v>24.8</v>
          </cell>
          <cell r="F405">
            <v>24.2</v>
          </cell>
          <cell r="G405">
            <v>-0.7</v>
          </cell>
          <cell r="H405">
            <v>-2.8</v>
          </cell>
          <cell r="I405">
            <v>1.8</v>
          </cell>
          <cell r="J405" t="str">
            <v>Associate's degree</v>
          </cell>
          <cell r="K405" t="str">
            <v>None</v>
          </cell>
          <cell r="L405" t="str">
            <v>Short-term on-the-job training</v>
          </cell>
          <cell r="M405" t="str">
            <v>OOH Content</v>
          </cell>
        </row>
        <row r="406">
          <cell r="A406" t="str">
            <v>27-4014</v>
          </cell>
          <cell r="B406" t="str">
            <v xml:space="preserve">        Sound engineering technicians</v>
          </cell>
          <cell r="C406" t="str">
            <v>Line item</v>
          </cell>
          <cell r="D406">
            <v>66430</v>
          </cell>
          <cell r="E406">
            <v>16.899999999999999</v>
          </cell>
          <cell r="F406">
            <v>16.600000000000001</v>
          </cell>
          <cell r="G406">
            <v>-0.3</v>
          </cell>
          <cell r="H406">
            <v>-1.7</v>
          </cell>
          <cell r="I406">
            <v>1.2</v>
          </cell>
          <cell r="J406" t="str">
            <v>Postsecondary nondegree award</v>
          </cell>
          <cell r="K406" t="str">
            <v>None</v>
          </cell>
          <cell r="L406" t="str">
            <v>Short-term on-the-job training</v>
          </cell>
          <cell r="M406" t="str">
            <v>OOH Content</v>
          </cell>
        </row>
        <row r="407">
          <cell r="A407" t="str">
            <v>27-4015</v>
          </cell>
          <cell r="B407" t="str">
            <v xml:space="preserve">        Lighting technicians</v>
          </cell>
          <cell r="C407" t="str">
            <v>Line item</v>
          </cell>
          <cell r="D407">
            <v>60560</v>
          </cell>
          <cell r="E407">
            <v>12.1</v>
          </cell>
          <cell r="F407">
            <v>11.5</v>
          </cell>
          <cell r="G407">
            <v>-0.6</v>
          </cell>
          <cell r="H407">
            <v>-4.5999999999999996</v>
          </cell>
          <cell r="I407">
            <v>0.8</v>
          </cell>
          <cell r="J407" t="str">
            <v>Postsecondary nondegree award</v>
          </cell>
          <cell r="K407" t="str">
            <v>None</v>
          </cell>
          <cell r="L407" t="str">
            <v>Short-term on-the-job training</v>
          </cell>
          <cell r="M407" t="str">
            <v>OOH Content</v>
          </cell>
        </row>
        <row r="408">
          <cell r="A408" t="str">
            <v>27-4021</v>
          </cell>
          <cell r="B408" t="str">
            <v xml:space="preserve">      Photographers</v>
          </cell>
          <cell r="C408" t="str">
            <v>Line item</v>
          </cell>
          <cell r="D408">
            <v>42520</v>
          </cell>
          <cell r="E408">
            <v>151.19999999999999</v>
          </cell>
          <cell r="F408">
            <v>154</v>
          </cell>
          <cell r="G408">
            <v>2.8</v>
          </cell>
          <cell r="H408">
            <v>1.8</v>
          </cell>
          <cell r="I408">
            <v>12.7</v>
          </cell>
          <cell r="J408" t="str">
            <v>High school diploma or equivalent</v>
          </cell>
          <cell r="K408" t="str">
            <v>None</v>
          </cell>
          <cell r="L408" t="str">
            <v>Moderate-term on-the-job training</v>
          </cell>
          <cell r="M408" t="str">
            <v>OOH Content</v>
          </cell>
        </row>
        <row r="409">
          <cell r="A409" t="str">
            <v>27-4030</v>
          </cell>
          <cell r="B409" t="str">
            <v xml:space="preserve">      Television, video, and film camera operators and editors</v>
          </cell>
          <cell r="C409" t="str">
            <v>Summary</v>
          </cell>
          <cell r="D409">
            <v>70570</v>
          </cell>
          <cell r="E409">
            <v>79.900000000000006</v>
          </cell>
          <cell r="F409">
            <v>82.1</v>
          </cell>
          <cell r="G409">
            <v>2.2000000000000002</v>
          </cell>
          <cell r="H409">
            <v>2.7</v>
          </cell>
          <cell r="I409">
            <v>6.4</v>
          </cell>
          <cell r="J409" t="str">
            <v>—</v>
          </cell>
          <cell r="K409" t="str">
            <v>—</v>
          </cell>
          <cell r="L409" t="str">
            <v>—</v>
          </cell>
          <cell r="M409" t="str">
            <v>—</v>
          </cell>
        </row>
        <row r="410">
          <cell r="A410" t="str">
            <v>27-4031</v>
          </cell>
          <cell r="B410" t="str">
            <v xml:space="preserve">        Camera operators, television, video, and film</v>
          </cell>
          <cell r="C410" t="str">
            <v>Line item</v>
          </cell>
          <cell r="D410">
            <v>68810</v>
          </cell>
          <cell r="E410">
            <v>36.4</v>
          </cell>
          <cell r="F410">
            <v>36.9</v>
          </cell>
          <cell r="G410">
            <v>0.4</v>
          </cell>
          <cell r="H410">
            <v>1.2</v>
          </cell>
          <cell r="I410">
            <v>2.9</v>
          </cell>
          <cell r="J410" t="str">
            <v>Bachelor's degree</v>
          </cell>
          <cell r="K410" t="str">
            <v>None</v>
          </cell>
          <cell r="L410" t="str">
            <v>None</v>
          </cell>
          <cell r="M410" t="str">
            <v>OOH Content</v>
          </cell>
        </row>
        <row r="411">
          <cell r="A411" t="str">
            <v>27-4032</v>
          </cell>
          <cell r="B411" t="str">
            <v xml:space="preserve">        Film and video editors</v>
          </cell>
          <cell r="C411" t="str">
            <v>Line item</v>
          </cell>
          <cell r="D411">
            <v>70980</v>
          </cell>
          <cell r="E411">
            <v>43.5</v>
          </cell>
          <cell r="F411">
            <v>45.2</v>
          </cell>
          <cell r="G411">
            <v>1.7</v>
          </cell>
          <cell r="H411">
            <v>4</v>
          </cell>
          <cell r="I411">
            <v>3.6</v>
          </cell>
          <cell r="J411" t="str">
            <v>Bachelor's degree</v>
          </cell>
          <cell r="K411" t="str">
            <v>None</v>
          </cell>
          <cell r="L411" t="str">
            <v>None</v>
          </cell>
          <cell r="M411" t="str">
            <v>OOH Content</v>
          </cell>
        </row>
        <row r="412">
          <cell r="A412" t="str">
            <v>27-4099</v>
          </cell>
          <cell r="B412" t="str">
            <v xml:space="preserve">      Media and communication equipment workers, all other</v>
          </cell>
          <cell r="C412" t="str">
            <v>Line item</v>
          </cell>
          <cell r="D412">
            <v>67190</v>
          </cell>
          <cell r="E412">
            <v>15.1</v>
          </cell>
          <cell r="F412">
            <v>15.2</v>
          </cell>
          <cell r="G412">
            <v>0.1</v>
          </cell>
          <cell r="H412">
            <v>0.6</v>
          </cell>
          <cell r="I412">
            <v>1.1000000000000001</v>
          </cell>
          <cell r="J412" t="str">
            <v>High school diploma or equivalent</v>
          </cell>
          <cell r="K412" t="str">
            <v>None</v>
          </cell>
          <cell r="L412" t="str">
            <v>Short-term on-the-job training</v>
          </cell>
          <cell r="M412" t="str">
            <v>—</v>
          </cell>
        </row>
        <row r="413">
          <cell r="A413" t="str">
            <v>29-0000</v>
          </cell>
          <cell r="B413" t="str">
            <v xml:space="preserve">  Healthcare practitioners and technical occupations</v>
          </cell>
          <cell r="C413" t="str">
            <v>Summary</v>
          </cell>
          <cell r="D413">
            <v>83090</v>
          </cell>
          <cell r="E413">
            <v>10067.5</v>
          </cell>
          <cell r="F413">
            <v>10794.4</v>
          </cell>
          <cell r="G413">
            <v>726.9</v>
          </cell>
          <cell r="H413">
            <v>7.2</v>
          </cell>
          <cell r="I413">
            <v>634.9</v>
          </cell>
          <cell r="J413" t="str">
            <v>—</v>
          </cell>
          <cell r="K413" t="str">
            <v>—</v>
          </cell>
          <cell r="L413" t="str">
            <v>—</v>
          </cell>
          <cell r="M413" t="str">
            <v>—</v>
          </cell>
        </row>
        <row r="414">
          <cell r="A414" t="str">
            <v>29-1000</v>
          </cell>
          <cell r="B414" t="str">
            <v xml:space="preserve">    Healthcare diagnosing or treating practitioners</v>
          </cell>
          <cell r="C414" t="str">
            <v>Summary</v>
          </cell>
          <cell r="D414">
            <v>101370</v>
          </cell>
          <cell r="E414">
            <v>6715.1</v>
          </cell>
          <cell r="F414">
            <v>7241.6</v>
          </cell>
          <cell r="G414">
            <v>526.4</v>
          </cell>
          <cell r="H414">
            <v>7.8</v>
          </cell>
          <cell r="I414">
            <v>363.3</v>
          </cell>
          <cell r="J414" t="str">
            <v>—</v>
          </cell>
          <cell r="K414" t="str">
            <v>—</v>
          </cell>
          <cell r="L414" t="str">
            <v>—</v>
          </cell>
          <cell r="M414" t="str">
            <v>—</v>
          </cell>
        </row>
        <row r="415">
          <cell r="A415" t="str">
            <v>29-1011</v>
          </cell>
          <cell r="B415" t="str">
            <v xml:space="preserve">      Chiropractors</v>
          </cell>
          <cell r="C415" t="str">
            <v>Line item</v>
          </cell>
          <cell r="D415">
            <v>79000</v>
          </cell>
          <cell r="E415">
            <v>57.2</v>
          </cell>
          <cell r="F415">
            <v>62.6</v>
          </cell>
          <cell r="G415">
            <v>5.4</v>
          </cell>
          <cell r="H415">
            <v>9.5</v>
          </cell>
          <cell r="I415">
            <v>2.8</v>
          </cell>
          <cell r="J415" t="str">
            <v>Doctoral or professional degree</v>
          </cell>
          <cell r="K415" t="str">
            <v>None</v>
          </cell>
          <cell r="L415" t="str">
            <v>None</v>
          </cell>
          <cell r="M415" t="str">
            <v>OOH Content</v>
          </cell>
        </row>
        <row r="416">
          <cell r="A416" t="str">
            <v>29-1020</v>
          </cell>
          <cell r="B416" t="str">
            <v xml:space="preserve">      Dentists</v>
          </cell>
          <cell r="C416" t="str">
            <v>Summary</v>
          </cell>
          <cell r="D416">
            <v>179210</v>
          </cell>
          <cell r="E416">
            <v>149.30000000000001</v>
          </cell>
          <cell r="F416">
            <v>155.19999999999999</v>
          </cell>
          <cell r="G416">
            <v>5.9</v>
          </cell>
          <cell r="H416">
            <v>4</v>
          </cell>
          <cell r="I416">
            <v>4.5</v>
          </cell>
          <cell r="J416" t="str">
            <v>—</v>
          </cell>
          <cell r="K416" t="str">
            <v>—</v>
          </cell>
          <cell r="L416" t="str">
            <v>—</v>
          </cell>
          <cell r="M416" t="str">
            <v>—</v>
          </cell>
        </row>
        <row r="417">
          <cell r="A417" t="str">
            <v>29-1021</v>
          </cell>
          <cell r="B417" t="str">
            <v xml:space="preserve">        Dentists, general</v>
          </cell>
          <cell r="C417" t="str">
            <v>Line item</v>
          </cell>
          <cell r="D417">
            <v>172790</v>
          </cell>
          <cell r="E417">
            <v>129.80000000000001</v>
          </cell>
          <cell r="F417">
            <v>135.19999999999999</v>
          </cell>
          <cell r="G417">
            <v>5.4</v>
          </cell>
          <cell r="H417">
            <v>4.0999999999999996</v>
          </cell>
          <cell r="I417">
            <v>3.9</v>
          </cell>
          <cell r="J417" t="str">
            <v>Doctoral or professional degree</v>
          </cell>
          <cell r="K417" t="str">
            <v>None</v>
          </cell>
          <cell r="L417" t="str">
            <v>None</v>
          </cell>
          <cell r="M417" t="str">
            <v>OOH Content</v>
          </cell>
        </row>
        <row r="418">
          <cell r="A418" t="str">
            <v>29-1022</v>
          </cell>
          <cell r="B418" t="str">
            <v xml:space="preserve">        Oral and maxillofacial surgeons</v>
          </cell>
          <cell r="C418" t="str">
            <v>Line item</v>
          </cell>
          <cell r="D418" t="str">
            <v>&gt;=$239,200</v>
          </cell>
          <cell r="E418">
            <v>6.1</v>
          </cell>
          <cell r="F418">
            <v>6.4</v>
          </cell>
          <cell r="G418">
            <v>0.3</v>
          </cell>
          <cell r="H418">
            <v>4.0999999999999996</v>
          </cell>
          <cell r="I418">
            <v>0.2</v>
          </cell>
          <cell r="J418" t="str">
            <v>Doctoral or professional degree</v>
          </cell>
          <cell r="K418" t="str">
            <v>None</v>
          </cell>
          <cell r="L418" t="str">
            <v>Internship/residency</v>
          </cell>
          <cell r="M418" t="str">
            <v>OOH Content</v>
          </cell>
        </row>
        <row r="419">
          <cell r="A419" t="str">
            <v>29-1023</v>
          </cell>
          <cell r="B419" t="str">
            <v xml:space="preserve">        Orthodontists</v>
          </cell>
          <cell r="C419" t="str">
            <v>Line item</v>
          </cell>
          <cell r="D419" t="str">
            <v>&gt;=$239,200</v>
          </cell>
          <cell r="E419">
            <v>5.9</v>
          </cell>
          <cell r="F419">
            <v>6.2</v>
          </cell>
          <cell r="G419">
            <v>0.3</v>
          </cell>
          <cell r="H419">
            <v>4.4000000000000004</v>
          </cell>
          <cell r="I419">
            <v>0.2</v>
          </cell>
          <cell r="J419" t="str">
            <v>Doctoral or professional degree</v>
          </cell>
          <cell r="K419" t="str">
            <v>None</v>
          </cell>
          <cell r="L419" t="str">
            <v>Internship/residency</v>
          </cell>
          <cell r="M419" t="str">
            <v>OOH Content</v>
          </cell>
        </row>
        <row r="420">
          <cell r="A420" t="str">
            <v>29-1024</v>
          </cell>
          <cell r="B420" t="str">
            <v xml:space="preserve">        Prosthodontists</v>
          </cell>
          <cell r="C420" t="str">
            <v>Line item</v>
          </cell>
          <cell r="D420" t="str">
            <v>&gt;=$239,200</v>
          </cell>
          <cell r="E420">
            <v>0.9</v>
          </cell>
          <cell r="F420">
            <v>0.9</v>
          </cell>
          <cell r="G420">
            <v>0</v>
          </cell>
          <cell r="H420">
            <v>4.5</v>
          </cell>
          <cell r="I420">
            <v>0</v>
          </cell>
          <cell r="J420" t="str">
            <v>Doctoral or professional degree</v>
          </cell>
          <cell r="K420" t="str">
            <v>None</v>
          </cell>
          <cell r="L420" t="str">
            <v>Internship/residency</v>
          </cell>
          <cell r="M420" t="str">
            <v>OOH Content</v>
          </cell>
        </row>
        <row r="421">
          <cell r="A421" t="str">
            <v>29-1029</v>
          </cell>
          <cell r="B421" t="str">
            <v xml:space="preserve">        Dentists, all other specialists</v>
          </cell>
          <cell r="C421" t="str">
            <v>Line item</v>
          </cell>
          <cell r="D421">
            <v>225770</v>
          </cell>
          <cell r="E421">
            <v>6.6</v>
          </cell>
          <cell r="F421">
            <v>6.6</v>
          </cell>
          <cell r="G421">
            <v>0</v>
          </cell>
          <cell r="H421">
            <v>0.3</v>
          </cell>
          <cell r="I421">
            <v>0.2</v>
          </cell>
          <cell r="J421" t="str">
            <v>Doctoral or professional degree</v>
          </cell>
          <cell r="K421" t="str">
            <v>None</v>
          </cell>
          <cell r="L421" t="str">
            <v>Internship/residency</v>
          </cell>
          <cell r="M421" t="str">
            <v>OOH Content</v>
          </cell>
        </row>
        <row r="422">
          <cell r="A422" t="str">
            <v>29-1031</v>
          </cell>
          <cell r="B422" t="str">
            <v xml:space="preserve">      Dietitians and nutritionists</v>
          </cell>
          <cell r="C422" t="str">
            <v>Line item</v>
          </cell>
          <cell r="D422">
            <v>73850</v>
          </cell>
          <cell r="E422">
            <v>90.9</v>
          </cell>
          <cell r="F422">
            <v>95.9</v>
          </cell>
          <cell r="G422">
            <v>5</v>
          </cell>
          <cell r="H422">
            <v>5.5</v>
          </cell>
          <cell r="I422">
            <v>6.2</v>
          </cell>
          <cell r="J422" t="str">
            <v>Bachelor's degree</v>
          </cell>
          <cell r="K422" t="str">
            <v>None</v>
          </cell>
          <cell r="L422" t="str">
            <v>Internship/residency</v>
          </cell>
          <cell r="M422" t="str">
            <v>OOH Content</v>
          </cell>
        </row>
        <row r="423">
          <cell r="A423" t="str">
            <v>29-1041</v>
          </cell>
          <cell r="B423" t="str">
            <v xml:space="preserve">      Optometrists</v>
          </cell>
          <cell r="C423" t="str">
            <v>Line item</v>
          </cell>
          <cell r="D423">
            <v>134830</v>
          </cell>
          <cell r="E423">
            <v>47.8</v>
          </cell>
          <cell r="F423">
            <v>51.6</v>
          </cell>
          <cell r="G423">
            <v>3.8</v>
          </cell>
          <cell r="H423">
            <v>8</v>
          </cell>
          <cell r="I423">
            <v>2.4</v>
          </cell>
          <cell r="J423" t="str">
            <v>Doctoral or professional degree</v>
          </cell>
          <cell r="K423" t="str">
            <v>None</v>
          </cell>
          <cell r="L423" t="str">
            <v>None</v>
          </cell>
          <cell r="M423" t="str">
            <v>OOH Content</v>
          </cell>
        </row>
        <row r="424">
          <cell r="A424" t="str">
            <v>29-1051</v>
          </cell>
          <cell r="B424" t="str">
            <v xml:space="preserve">      Pharmacists</v>
          </cell>
          <cell r="C424" t="str">
            <v>Line item</v>
          </cell>
          <cell r="D424">
            <v>137480</v>
          </cell>
          <cell r="E424">
            <v>335.1</v>
          </cell>
          <cell r="F424">
            <v>350.5</v>
          </cell>
          <cell r="G424">
            <v>15.4</v>
          </cell>
          <cell r="H424">
            <v>4.5999999999999996</v>
          </cell>
          <cell r="I424">
            <v>14.2</v>
          </cell>
          <cell r="J424" t="str">
            <v>Doctoral or professional degree</v>
          </cell>
          <cell r="K424" t="str">
            <v>None</v>
          </cell>
          <cell r="L424" t="str">
            <v>None</v>
          </cell>
          <cell r="M424" t="str">
            <v>OOH Content</v>
          </cell>
        </row>
        <row r="425">
          <cell r="A425" t="str">
            <v>29-1071</v>
          </cell>
          <cell r="B425" t="str">
            <v xml:space="preserve">      Physician assistants</v>
          </cell>
          <cell r="C425" t="str">
            <v>Line item</v>
          </cell>
          <cell r="D425">
            <v>133260</v>
          </cell>
          <cell r="E425">
            <v>162.69999999999999</v>
          </cell>
          <cell r="F425">
            <v>195.8</v>
          </cell>
          <cell r="G425">
            <v>33.200000000000003</v>
          </cell>
          <cell r="H425">
            <v>20.399999999999999</v>
          </cell>
          <cell r="I425">
            <v>12</v>
          </cell>
          <cell r="J425" t="str">
            <v>Master's degree</v>
          </cell>
          <cell r="K425" t="str">
            <v>None</v>
          </cell>
          <cell r="L425" t="str">
            <v>None</v>
          </cell>
          <cell r="M425" t="str">
            <v>OOH Content</v>
          </cell>
        </row>
        <row r="426">
          <cell r="A426" t="str">
            <v>29-1081</v>
          </cell>
          <cell r="B426" t="str">
            <v xml:space="preserve">      Podiatrists</v>
          </cell>
          <cell r="C426" t="str">
            <v>Line item</v>
          </cell>
          <cell r="D426">
            <v>152800</v>
          </cell>
          <cell r="E426">
            <v>9.6999999999999993</v>
          </cell>
          <cell r="F426">
            <v>9.9</v>
          </cell>
          <cell r="G426">
            <v>0.2</v>
          </cell>
          <cell r="H426">
            <v>1.8</v>
          </cell>
          <cell r="I426">
            <v>0.3</v>
          </cell>
          <cell r="J426" t="str">
            <v>Doctoral or professional degree</v>
          </cell>
          <cell r="K426" t="str">
            <v>None</v>
          </cell>
          <cell r="L426" t="str">
            <v>Internship/residency</v>
          </cell>
          <cell r="M426" t="str">
            <v>OOH Content</v>
          </cell>
        </row>
        <row r="427">
          <cell r="A427" t="str">
            <v>29-1120</v>
          </cell>
          <cell r="B427" t="str">
            <v xml:space="preserve">      Therapists</v>
          </cell>
          <cell r="C427" t="str">
            <v>Summary</v>
          </cell>
          <cell r="D427">
            <v>95010</v>
          </cell>
          <cell r="E427">
            <v>869.4</v>
          </cell>
          <cell r="F427">
            <v>975.3</v>
          </cell>
          <cell r="G427">
            <v>106</v>
          </cell>
          <cell r="H427">
            <v>12.2</v>
          </cell>
          <cell r="I427">
            <v>53.5</v>
          </cell>
          <cell r="J427" t="str">
            <v>—</v>
          </cell>
          <cell r="K427" t="str">
            <v>—</v>
          </cell>
          <cell r="L427" t="str">
            <v>—</v>
          </cell>
          <cell r="M427" t="str">
            <v>—</v>
          </cell>
        </row>
        <row r="428">
          <cell r="A428" t="str">
            <v>29-1122</v>
          </cell>
          <cell r="B428" t="str">
            <v xml:space="preserve">        Occupational therapists</v>
          </cell>
          <cell r="C428" t="str">
            <v>Line item</v>
          </cell>
          <cell r="D428">
            <v>98340</v>
          </cell>
          <cell r="E428">
            <v>160</v>
          </cell>
          <cell r="F428">
            <v>182.1</v>
          </cell>
          <cell r="G428">
            <v>22.1</v>
          </cell>
          <cell r="H428">
            <v>13.8</v>
          </cell>
          <cell r="I428">
            <v>10.199999999999999</v>
          </cell>
          <cell r="J428" t="str">
            <v>Master's degree</v>
          </cell>
          <cell r="K428" t="str">
            <v>None</v>
          </cell>
          <cell r="L428" t="str">
            <v>None</v>
          </cell>
          <cell r="M428" t="str">
            <v>OOH Content</v>
          </cell>
        </row>
        <row r="429">
          <cell r="A429" t="str">
            <v>29-1123</v>
          </cell>
          <cell r="B429" t="str">
            <v xml:space="preserve">        Physical therapists</v>
          </cell>
          <cell r="C429" t="str">
            <v>Line item</v>
          </cell>
          <cell r="D429">
            <v>101020</v>
          </cell>
          <cell r="E429">
            <v>267.2</v>
          </cell>
          <cell r="F429">
            <v>296.39999999999998</v>
          </cell>
          <cell r="G429">
            <v>29.3</v>
          </cell>
          <cell r="H429">
            <v>10.9</v>
          </cell>
          <cell r="I429">
            <v>13.2</v>
          </cell>
          <cell r="J429" t="str">
            <v>Doctoral or professional degree</v>
          </cell>
          <cell r="K429" t="str">
            <v>None</v>
          </cell>
          <cell r="L429" t="str">
            <v>None</v>
          </cell>
          <cell r="M429" t="str">
            <v>OOH Content</v>
          </cell>
        </row>
        <row r="430">
          <cell r="A430" t="str">
            <v>29-1124</v>
          </cell>
          <cell r="B430" t="str">
            <v xml:space="preserve">        Radiation therapists</v>
          </cell>
          <cell r="C430" t="str">
            <v>Line item</v>
          </cell>
          <cell r="D430">
            <v>101990</v>
          </cell>
          <cell r="E430">
            <v>19.2</v>
          </cell>
          <cell r="F430">
            <v>19.600000000000001</v>
          </cell>
          <cell r="G430">
            <v>0.4</v>
          </cell>
          <cell r="H430">
            <v>1.9</v>
          </cell>
          <cell r="I430">
            <v>0.9</v>
          </cell>
          <cell r="J430" t="str">
            <v>Associate's degree</v>
          </cell>
          <cell r="K430" t="str">
            <v>None</v>
          </cell>
          <cell r="L430" t="str">
            <v>None</v>
          </cell>
          <cell r="M430" t="str">
            <v>OOH Content</v>
          </cell>
        </row>
        <row r="431">
          <cell r="A431" t="str">
            <v>29-1125</v>
          </cell>
          <cell r="B431" t="str">
            <v xml:space="preserve">        Recreational therapists</v>
          </cell>
          <cell r="C431" t="str">
            <v>Line item</v>
          </cell>
          <cell r="D431">
            <v>60280</v>
          </cell>
          <cell r="E431">
            <v>16.100000000000001</v>
          </cell>
          <cell r="F431">
            <v>16.600000000000001</v>
          </cell>
          <cell r="G431">
            <v>0.5</v>
          </cell>
          <cell r="H431">
            <v>3.3</v>
          </cell>
          <cell r="I431">
            <v>1.3</v>
          </cell>
          <cell r="J431" t="str">
            <v>Bachelor's degree</v>
          </cell>
          <cell r="K431" t="str">
            <v>None</v>
          </cell>
          <cell r="L431" t="str">
            <v>None</v>
          </cell>
          <cell r="M431" t="str">
            <v>OOH Content</v>
          </cell>
        </row>
        <row r="432">
          <cell r="A432" t="str">
            <v>29-1126</v>
          </cell>
          <cell r="B432" t="str">
            <v xml:space="preserve">        Respiratory therapists</v>
          </cell>
          <cell r="C432" t="str">
            <v>Line item</v>
          </cell>
          <cell r="D432">
            <v>80450</v>
          </cell>
          <cell r="E432">
            <v>139.6</v>
          </cell>
          <cell r="F432">
            <v>156.4</v>
          </cell>
          <cell r="G432">
            <v>16.8</v>
          </cell>
          <cell r="H432">
            <v>12.1</v>
          </cell>
          <cell r="I432">
            <v>8.8000000000000007</v>
          </cell>
          <cell r="J432" t="str">
            <v>Associate's degree</v>
          </cell>
          <cell r="K432" t="str">
            <v>None</v>
          </cell>
          <cell r="L432" t="str">
            <v>None</v>
          </cell>
          <cell r="M432" t="str">
            <v>OOH Content</v>
          </cell>
        </row>
        <row r="433">
          <cell r="A433" t="str">
            <v>29-1127</v>
          </cell>
          <cell r="B433" t="str">
            <v xml:space="preserve">        Speech-language pathologists</v>
          </cell>
          <cell r="C433" t="str">
            <v>Line item</v>
          </cell>
          <cell r="D433">
            <v>95410</v>
          </cell>
          <cell r="E433">
            <v>187.4</v>
          </cell>
          <cell r="F433">
            <v>215.5</v>
          </cell>
          <cell r="G433">
            <v>28.2</v>
          </cell>
          <cell r="H433">
            <v>15</v>
          </cell>
          <cell r="I433">
            <v>13.3</v>
          </cell>
          <cell r="J433" t="str">
            <v>Master's degree</v>
          </cell>
          <cell r="K433" t="str">
            <v>None</v>
          </cell>
          <cell r="L433" t="str">
            <v>Internship/residency</v>
          </cell>
          <cell r="M433" t="str">
            <v>OOH Content</v>
          </cell>
        </row>
        <row r="434">
          <cell r="A434" t="str">
            <v>29-1128</v>
          </cell>
          <cell r="B434" t="str">
            <v xml:space="preserve">        Exercise physiologists</v>
          </cell>
          <cell r="C434" t="str">
            <v>Line item</v>
          </cell>
          <cell r="D434">
            <v>58160</v>
          </cell>
          <cell r="E434">
            <v>23.9</v>
          </cell>
          <cell r="F434">
            <v>26.1</v>
          </cell>
          <cell r="G434">
            <v>2.2999999999999998</v>
          </cell>
          <cell r="H434">
            <v>9.5</v>
          </cell>
          <cell r="I434">
            <v>1.7</v>
          </cell>
          <cell r="J434" t="str">
            <v>Bachelor's degree</v>
          </cell>
          <cell r="K434" t="str">
            <v>None</v>
          </cell>
          <cell r="L434" t="str">
            <v>None</v>
          </cell>
          <cell r="M434" t="str">
            <v>OOH Content</v>
          </cell>
        </row>
        <row r="435">
          <cell r="A435" t="str">
            <v>29-1129</v>
          </cell>
          <cell r="B435" t="str">
            <v xml:space="preserve">        Therapists, all other</v>
          </cell>
          <cell r="C435" t="str">
            <v>Line item</v>
          </cell>
          <cell r="D435">
            <v>65010</v>
          </cell>
          <cell r="E435">
            <v>56.1</v>
          </cell>
          <cell r="F435">
            <v>62.5</v>
          </cell>
          <cell r="G435">
            <v>6.4</v>
          </cell>
          <cell r="H435">
            <v>11.5</v>
          </cell>
          <cell r="I435">
            <v>4.0999999999999996</v>
          </cell>
          <cell r="J435" t="str">
            <v>Bachelor's degree</v>
          </cell>
          <cell r="K435" t="str">
            <v>None</v>
          </cell>
          <cell r="L435" t="str">
            <v>None</v>
          </cell>
          <cell r="M435" t="str">
            <v>—</v>
          </cell>
        </row>
        <row r="436">
          <cell r="A436" t="str">
            <v>29-1131</v>
          </cell>
          <cell r="B436" t="str">
            <v xml:space="preserve">      Veterinarians</v>
          </cell>
          <cell r="C436" t="str">
            <v>Line item</v>
          </cell>
          <cell r="D436">
            <v>125510</v>
          </cell>
          <cell r="E436">
            <v>86.4</v>
          </cell>
          <cell r="F436">
            <v>94.7</v>
          </cell>
          <cell r="G436">
            <v>8.3000000000000007</v>
          </cell>
          <cell r="H436">
            <v>9.6</v>
          </cell>
          <cell r="I436">
            <v>3</v>
          </cell>
          <cell r="J436" t="str">
            <v>Doctoral or professional degree</v>
          </cell>
          <cell r="K436" t="str">
            <v>None</v>
          </cell>
          <cell r="L436" t="str">
            <v>None</v>
          </cell>
          <cell r="M436" t="str">
            <v>OOH Content</v>
          </cell>
        </row>
        <row r="437">
          <cell r="A437" t="str">
            <v>29-1141</v>
          </cell>
          <cell r="B437" t="str">
            <v xml:space="preserve">      Registered nurses</v>
          </cell>
          <cell r="C437" t="str">
            <v>Line item</v>
          </cell>
          <cell r="D437">
            <v>93600</v>
          </cell>
          <cell r="E437">
            <v>3391</v>
          </cell>
          <cell r="F437">
            <v>3557.1</v>
          </cell>
          <cell r="G437">
            <v>166.1</v>
          </cell>
          <cell r="H437">
            <v>4.9000000000000004</v>
          </cell>
          <cell r="I437">
            <v>189.1</v>
          </cell>
          <cell r="J437" t="str">
            <v>Bachelor's degree</v>
          </cell>
          <cell r="K437" t="str">
            <v>None</v>
          </cell>
          <cell r="L437" t="str">
            <v>None</v>
          </cell>
          <cell r="M437" t="str">
            <v>OOH Content</v>
          </cell>
        </row>
        <row r="438">
          <cell r="A438" t="str">
            <v>29-1151</v>
          </cell>
          <cell r="B438" t="str">
            <v xml:space="preserve">      Nurse anesthetists</v>
          </cell>
          <cell r="C438" t="str">
            <v>Line item</v>
          </cell>
          <cell r="D438">
            <v>223210</v>
          </cell>
          <cell r="E438">
            <v>53.8</v>
          </cell>
          <cell r="F438">
            <v>58.5</v>
          </cell>
          <cell r="G438">
            <v>4.5999999999999996</v>
          </cell>
          <cell r="H438">
            <v>8.6</v>
          </cell>
          <cell r="I438">
            <v>2.7</v>
          </cell>
          <cell r="J438" t="str">
            <v>Master's degree</v>
          </cell>
          <cell r="K438" t="str">
            <v>None</v>
          </cell>
          <cell r="L438" t="str">
            <v>None</v>
          </cell>
          <cell r="M438" t="str">
            <v>OOH Content</v>
          </cell>
        </row>
        <row r="439">
          <cell r="A439" t="str">
            <v>29-1161</v>
          </cell>
          <cell r="B439" t="str">
            <v xml:space="preserve">      Nurse midwives</v>
          </cell>
          <cell r="C439" t="str">
            <v>Line item</v>
          </cell>
          <cell r="D439">
            <v>128790</v>
          </cell>
          <cell r="E439">
            <v>8.6</v>
          </cell>
          <cell r="F439">
            <v>9.5</v>
          </cell>
          <cell r="G439">
            <v>0.9</v>
          </cell>
          <cell r="H439">
            <v>11.1</v>
          </cell>
          <cell r="I439">
            <v>0.5</v>
          </cell>
          <cell r="J439" t="str">
            <v>Master's degree</v>
          </cell>
          <cell r="K439" t="str">
            <v>None</v>
          </cell>
          <cell r="L439" t="str">
            <v>None</v>
          </cell>
          <cell r="M439" t="str">
            <v>OOH Content</v>
          </cell>
        </row>
        <row r="440">
          <cell r="A440" t="str">
            <v>29-1171</v>
          </cell>
          <cell r="B440" t="str">
            <v xml:space="preserve">      Nurse practitioners</v>
          </cell>
          <cell r="C440" t="str">
            <v>Line item</v>
          </cell>
          <cell r="D440">
            <v>129210</v>
          </cell>
          <cell r="E440">
            <v>320.39999999999998</v>
          </cell>
          <cell r="F440">
            <v>448.8</v>
          </cell>
          <cell r="G440">
            <v>128.4</v>
          </cell>
          <cell r="H440">
            <v>40.1</v>
          </cell>
          <cell r="I440">
            <v>29.5</v>
          </cell>
          <cell r="J440" t="str">
            <v>Master's degree</v>
          </cell>
          <cell r="K440" t="str">
            <v>None</v>
          </cell>
          <cell r="L440" t="str">
            <v>None</v>
          </cell>
          <cell r="M440" t="str">
            <v>OOH Content</v>
          </cell>
        </row>
        <row r="441">
          <cell r="A441" t="str">
            <v>29-1181</v>
          </cell>
          <cell r="B441" t="str">
            <v xml:space="preserve">      Audiologists</v>
          </cell>
          <cell r="C441" t="str">
            <v>Line item</v>
          </cell>
          <cell r="D441">
            <v>92120</v>
          </cell>
          <cell r="E441">
            <v>15.8</v>
          </cell>
          <cell r="F441">
            <v>17.3</v>
          </cell>
          <cell r="G441">
            <v>1.5</v>
          </cell>
          <cell r="H441">
            <v>9.5</v>
          </cell>
          <cell r="I441">
            <v>0.7</v>
          </cell>
          <cell r="J441" t="str">
            <v>Doctoral or professional degree</v>
          </cell>
          <cell r="K441" t="str">
            <v>None</v>
          </cell>
          <cell r="L441" t="str">
            <v>None</v>
          </cell>
          <cell r="M441" t="str">
            <v>OOH Content</v>
          </cell>
        </row>
        <row r="442">
          <cell r="A442" t="str">
            <v>29-1210</v>
          </cell>
          <cell r="B442" t="str">
            <v xml:space="preserve">      Physicians</v>
          </cell>
          <cell r="C442" t="str">
            <v>Summary</v>
          </cell>
          <cell r="D442" t="str">
            <v>&gt;=$239,200</v>
          </cell>
          <cell r="E442">
            <v>785.6</v>
          </cell>
          <cell r="F442">
            <v>807.7</v>
          </cell>
          <cell r="G442">
            <v>22.1</v>
          </cell>
          <cell r="H442">
            <v>2.8</v>
          </cell>
          <cell r="I442">
            <v>22.3</v>
          </cell>
          <cell r="J442" t="str">
            <v>—</v>
          </cell>
          <cell r="K442" t="str">
            <v>—</v>
          </cell>
          <cell r="L442" t="str">
            <v>—</v>
          </cell>
          <cell r="M442" t="str">
            <v>—</v>
          </cell>
        </row>
        <row r="443">
          <cell r="A443" t="str">
            <v>29-1211</v>
          </cell>
          <cell r="B443" t="str">
            <v xml:space="preserve">        Anesthesiologists</v>
          </cell>
          <cell r="C443" t="str">
            <v>Line item</v>
          </cell>
          <cell r="D443" t="str">
            <v>&gt;=$239,200</v>
          </cell>
          <cell r="E443">
            <v>45.3</v>
          </cell>
          <cell r="F443">
            <v>46.7</v>
          </cell>
          <cell r="G443">
            <v>1.4</v>
          </cell>
          <cell r="H443">
            <v>3.2</v>
          </cell>
          <cell r="I443">
            <v>1.3</v>
          </cell>
          <cell r="J443" t="str">
            <v>Doctoral or professional degree</v>
          </cell>
          <cell r="K443" t="str">
            <v>None</v>
          </cell>
          <cell r="L443" t="str">
            <v>Internship/residency</v>
          </cell>
          <cell r="M443" t="str">
            <v>OOH Content</v>
          </cell>
        </row>
        <row r="444">
          <cell r="A444" t="str">
            <v>29-1212</v>
          </cell>
          <cell r="B444" t="str">
            <v xml:space="preserve">        Cardiologists</v>
          </cell>
          <cell r="C444" t="str">
            <v>Line item</v>
          </cell>
          <cell r="D444" t="str">
            <v>&gt;=$239,200</v>
          </cell>
          <cell r="E444">
            <v>19.399999999999999</v>
          </cell>
          <cell r="F444">
            <v>20.2</v>
          </cell>
          <cell r="G444">
            <v>0.8</v>
          </cell>
          <cell r="H444">
            <v>4.0999999999999996</v>
          </cell>
          <cell r="I444">
            <v>0.6</v>
          </cell>
          <cell r="J444" t="str">
            <v>Doctoral or professional degree</v>
          </cell>
          <cell r="K444" t="str">
            <v>None</v>
          </cell>
          <cell r="L444" t="str">
            <v>Internship/residency</v>
          </cell>
          <cell r="M444" t="str">
            <v>OOH Content</v>
          </cell>
        </row>
        <row r="445">
          <cell r="A445" t="str">
            <v>29-1213</v>
          </cell>
          <cell r="B445" t="str">
            <v xml:space="preserve">        Dermatologists</v>
          </cell>
          <cell r="C445" t="str">
            <v>Line item</v>
          </cell>
          <cell r="D445" t="str">
            <v>&gt;=$239,200</v>
          </cell>
          <cell r="E445">
            <v>10.9</v>
          </cell>
          <cell r="F445">
            <v>11.6</v>
          </cell>
          <cell r="G445">
            <v>0.7</v>
          </cell>
          <cell r="H445">
            <v>6.4</v>
          </cell>
          <cell r="I445">
            <v>0.4</v>
          </cell>
          <cell r="J445" t="str">
            <v>Doctoral or professional degree</v>
          </cell>
          <cell r="K445" t="str">
            <v>None</v>
          </cell>
          <cell r="L445" t="str">
            <v>Internship/residency</v>
          </cell>
          <cell r="M445" t="str">
            <v>OOH Content</v>
          </cell>
        </row>
        <row r="446">
          <cell r="A446" t="str">
            <v>29-1214</v>
          </cell>
          <cell r="B446" t="str">
            <v xml:space="preserve">        Emergency medicine physicians</v>
          </cell>
          <cell r="C446" t="str">
            <v>Line item</v>
          </cell>
          <cell r="D446" t="str">
            <v>&gt;=$239,200</v>
          </cell>
          <cell r="E446">
            <v>36.1</v>
          </cell>
          <cell r="F446">
            <v>37.1</v>
          </cell>
          <cell r="G446">
            <v>1</v>
          </cell>
          <cell r="H446">
            <v>2.7</v>
          </cell>
          <cell r="I446">
            <v>1</v>
          </cell>
          <cell r="J446" t="str">
            <v>Doctoral or professional degree</v>
          </cell>
          <cell r="K446" t="str">
            <v>None</v>
          </cell>
          <cell r="L446" t="str">
            <v>Internship/residency</v>
          </cell>
          <cell r="M446" t="str">
            <v>OOH Content</v>
          </cell>
        </row>
        <row r="447">
          <cell r="A447" t="str">
            <v>29-1215</v>
          </cell>
          <cell r="B447" t="str">
            <v xml:space="preserve">        Family medicine physicians</v>
          </cell>
          <cell r="C447" t="str">
            <v>Line item</v>
          </cell>
          <cell r="D447">
            <v>238380</v>
          </cell>
          <cell r="E447">
            <v>116</v>
          </cell>
          <cell r="F447">
            <v>119.1</v>
          </cell>
          <cell r="G447">
            <v>3.1</v>
          </cell>
          <cell r="H447">
            <v>2.7</v>
          </cell>
          <cell r="I447">
            <v>3.3</v>
          </cell>
          <cell r="J447" t="str">
            <v>Doctoral or professional degree</v>
          </cell>
          <cell r="K447" t="str">
            <v>None</v>
          </cell>
          <cell r="L447" t="str">
            <v>Internship/residency</v>
          </cell>
          <cell r="M447" t="str">
            <v>OOH Content</v>
          </cell>
        </row>
        <row r="448">
          <cell r="A448" t="str">
            <v>29-1216</v>
          </cell>
          <cell r="B448" t="str">
            <v xml:space="preserve">        General internal medicine physicians</v>
          </cell>
          <cell r="C448" t="str">
            <v>Line item</v>
          </cell>
          <cell r="D448">
            <v>236350</v>
          </cell>
          <cell r="E448">
            <v>73.2</v>
          </cell>
          <cell r="F448">
            <v>75.599999999999994</v>
          </cell>
          <cell r="G448">
            <v>2.4</v>
          </cell>
          <cell r="H448">
            <v>3.3</v>
          </cell>
          <cell r="I448">
            <v>2.1</v>
          </cell>
          <cell r="J448" t="str">
            <v>Doctoral or professional degree</v>
          </cell>
          <cell r="K448" t="str">
            <v>None</v>
          </cell>
          <cell r="L448" t="str">
            <v>Internship/residency</v>
          </cell>
          <cell r="M448" t="str">
            <v>OOH Content</v>
          </cell>
        </row>
        <row r="449">
          <cell r="A449" t="str">
            <v>29-1217</v>
          </cell>
          <cell r="B449" t="str">
            <v xml:space="preserve">        Neurologists</v>
          </cell>
          <cell r="C449" t="str">
            <v>Line item</v>
          </cell>
          <cell r="D449" t="str">
            <v>&gt;=$239,200</v>
          </cell>
          <cell r="E449">
            <v>8.3000000000000007</v>
          </cell>
          <cell r="F449">
            <v>8.8000000000000007</v>
          </cell>
          <cell r="G449">
            <v>0.5</v>
          </cell>
          <cell r="H449">
            <v>5.4</v>
          </cell>
          <cell r="I449">
            <v>0.3</v>
          </cell>
          <cell r="J449" t="str">
            <v>Doctoral or professional degree</v>
          </cell>
          <cell r="K449" t="str">
            <v>None</v>
          </cell>
          <cell r="L449" t="str">
            <v>Internship/residency</v>
          </cell>
          <cell r="M449" t="str">
            <v>OOH Content</v>
          </cell>
        </row>
        <row r="450">
          <cell r="A450" t="str">
            <v>29-1218</v>
          </cell>
          <cell r="B450" t="str">
            <v xml:space="preserve">        Obstetricians and gynecologists</v>
          </cell>
          <cell r="C450" t="str">
            <v>Line item</v>
          </cell>
          <cell r="D450" t="str">
            <v>&gt;=$239,200</v>
          </cell>
          <cell r="E450">
            <v>21.5</v>
          </cell>
          <cell r="F450">
            <v>21.7</v>
          </cell>
          <cell r="G450">
            <v>0.3</v>
          </cell>
          <cell r="H450">
            <v>1.2</v>
          </cell>
          <cell r="I450">
            <v>0.6</v>
          </cell>
          <cell r="J450" t="str">
            <v>Doctoral or professional degree</v>
          </cell>
          <cell r="K450" t="str">
            <v>None</v>
          </cell>
          <cell r="L450" t="str">
            <v>Internship/residency</v>
          </cell>
          <cell r="M450" t="str">
            <v>OOH Content</v>
          </cell>
        </row>
        <row r="451">
          <cell r="A451" t="str">
            <v>29-1221</v>
          </cell>
          <cell r="B451" t="str">
            <v xml:space="preserve">        Pediatricians, general</v>
          </cell>
          <cell r="C451" t="str">
            <v>Line item</v>
          </cell>
          <cell r="D451">
            <v>210130</v>
          </cell>
          <cell r="E451">
            <v>46.4</v>
          </cell>
          <cell r="F451">
            <v>46.8</v>
          </cell>
          <cell r="G451">
            <v>0.4</v>
          </cell>
          <cell r="H451">
            <v>0.8</v>
          </cell>
          <cell r="I451">
            <v>1.2</v>
          </cell>
          <cell r="J451" t="str">
            <v>Doctoral or professional degree</v>
          </cell>
          <cell r="K451" t="str">
            <v>None</v>
          </cell>
          <cell r="L451" t="str">
            <v>Internship/residency</v>
          </cell>
          <cell r="M451" t="str">
            <v>OOH Content</v>
          </cell>
        </row>
        <row r="452">
          <cell r="A452" t="str">
            <v>29-1222</v>
          </cell>
          <cell r="B452" t="str">
            <v xml:space="preserve">        Physicians, pathologists</v>
          </cell>
          <cell r="C452" t="str">
            <v>Line item</v>
          </cell>
          <cell r="D452" t="str">
            <v>&gt;=$239,200</v>
          </cell>
          <cell r="E452">
            <v>12.6</v>
          </cell>
          <cell r="F452">
            <v>13.1</v>
          </cell>
          <cell r="G452">
            <v>0.5</v>
          </cell>
          <cell r="H452">
            <v>4.2</v>
          </cell>
          <cell r="I452">
            <v>0.4</v>
          </cell>
          <cell r="J452" t="str">
            <v>Doctoral or professional degree</v>
          </cell>
          <cell r="K452" t="str">
            <v>None</v>
          </cell>
          <cell r="L452" t="str">
            <v>Internship/residency</v>
          </cell>
          <cell r="M452" t="str">
            <v>OOH Content</v>
          </cell>
        </row>
        <row r="453">
          <cell r="A453" t="str">
            <v>29-1223</v>
          </cell>
          <cell r="B453" t="str">
            <v xml:space="preserve">        Psychiatrists</v>
          </cell>
          <cell r="C453" t="str">
            <v>Line item</v>
          </cell>
          <cell r="D453" t="str">
            <v>&gt;=$239,200</v>
          </cell>
          <cell r="E453">
            <v>27.1</v>
          </cell>
          <cell r="F453">
            <v>28.8</v>
          </cell>
          <cell r="G453">
            <v>1.7</v>
          </cell>
          <cell r="H453">
            <v>6.1</v>
          </cell>
          <cell r="I453">
            <v>0.9</v>
          </cell>
          <cell r="J453" t="str">
            <v>Doctoral or professional degree</v>
          </cell>
          <cell r="K453" t="str">
            <v>None</v>
          </cell>
          <cell r="L453" t="str">
            <v>Internship/residency</v>
          </cell>
          <cell r="M453" t="str">
            <v>OOH Content</v>
          </cell>
        </row>
        <row r="454">
          <cell r="A454" t="str">
            <v>29-1224</v>
          </cell>
          <cell r="B454" t="str">
            <v xml:space="preserve">        Radiologists</v>
          </cell>
          <cell r="C454" t="str">
            <v>Line item</v>
          </cell>
          <cell r="D454" t="str">
            <v>&gt;=$239,200</v>
          </cell>
          <cell r="E454">
            <v>28.2</v>
          </cell>
          <cell r="F454">
            <v>29</v>
          </cell>
          <cell r="G454">
            <v>0.8</v>
          </cell>
          <cell r="H454">
            <v>2.7</v>
          </cell>
          <cell r="I454">
            <v>0.8</v>
          </cell>
          <cell r="J454" t="str">
            <v>Doctoral or professional degree</v>
          </cell>
          <cell r="K454" t="str">
            <v>None</v>
          </cell>
          <cell r="L454" t="str">
            <v>Internship/residency</v>
          </cell>
          <cell r="M454" t="str">
            <v>OOH Content</v>
          </cell>
        </row>
        <row r="455">
          <cell r="A455" t="str">
            <v>29-1229</v>
          </cell>
          <cell r="B455" t="str">
            <v xml:space="preserve">        Physicians, all other</v>
          </cell>
          <cell r="C455" t="str">
            <v>Line item</v>
          </cell>
          <cell r="D455" t="str">
            <v>&gt;=$239,200</v>
          </cell>
          <cell r="E455">
            <v>340.7</v>
          </cell>
          <cell r="F455">
            <v>349.3</v>
          </cell>
          <cell r="G455">
            <v>8.6</v>
          </cell>
          <cell r="H455">
            <v>2.5</v>
          </cell>
          <cell r="I455">
            <v>9.6</v>
          </cell>
          <cell r="J455" t="str">
            <v>Doctoral or professional degree</v>
          </cell>
          <cell r="K455" t="str">
            <v>None</v>
          </cell>
          <cell r="L455" t="str">
            <v>Internship/residency</v>
          </cell>
          <cell r="M455" t="str">
            <v>OOH Content</v>
          </cell>
        </row>
        <row r="456">
          <cell r="A456" t="str">
            <v>29-1240</v>
          </cell>
          <cell r="B456" t="str">
            <v xml:space="preserve">      Surgeons</v>
          </cell>
          <cell r="C456" t="str">
            <v>Summary</v>
          </cell>
          <cell r="D456" t="str">
            <v>&gt;=$239,200</v>
          </cell>
          <cell r="E456">
            <v>53.4</v>
          </cell>
          <cell r="F456">
            <v>55.5</v>
          </cell>
          <cell r="G456">
            <v>2.1</v>
          </cell>
          <cell r="H456">
            <v>4</v>
          </cell>
          <cell r="I456">
            <v>1.3</v>
          </cell>
          <cell r="J456" t="str">
            <v>—</v>
          </cell>
          <cell r="K456" t="str">
            <v>—</v>
          </cell>
          <cell r="L456" t="str">
            <v>—</v>
          </cell>
          <cell r="M456" t="str">
            <v>—</v>
          </cell>
        </row>
        <row r="457">
          <cell r="A457" t="str">
            <v>29-1241</v>
          </cell>
          <cell r="B457" t="str">
            <v xml:space="preserve">        Ophthalmologists, except pediatric</v>
          </cell>
          <cell r="C457" t="str">
            <v>Line item</v>
          </cell>
          <cell r="D457" t="str">
            <v>&gt;=$239,200</v>
          </cell>
          <cell r="E457">
            <v>12.5</v>
          </cell>
          <cell r="F457">
            <v>13.1</v>
          </cell>
          <cell r="G457">
            <v>0.5</v>
          </cell>
          <cell r="H457">
            <v>4.3</v>
          </cell>
          <cell r="I457">
            <v>0.3</v>
          </cell>
          <cell r="J457" t="str">
            <v>Doctoral or professional degree</v>
          </cell>
          <cell r="K457" t="str">
            <v>None</v>
          </cell>
          <cell r="L457" t="str">
            <v>Internship/residency</v>
          </cell>
          <cell r="M457" t="str">
            <v>OOH Content</v>
          </cell>
        </row>
        <row r="458">
          <cell r="A458" t="str">
            <v>29-1242</v>
          </cell>
          <cell r="B458" t="str">
            <v xml:space="preserve">        Orthopedic surgeons, except pediatric</v>
          </cell>
          <cell r="C458" t="str">
            <v>Line item</v>
          </cell>
          <cell r="D458" t="str">
            <v>&gt;=$239,200</v>
          </cell>
          <cell r="E458">
            <v>14.7</v>
          </cell>
          <cell r="F458">
            <v>15.3</v>
          </cell>
          <cell r="G458">
            <v>0.6</v>
          </cell>
          <cell r="H458">
            <v>4.0999999999999996</v>
          </cell>
          <cell r="I458">
            <v>0.4</v>
          </cell>
          <cell r="J458" t="str">
            <v>Doctoral or professional degree</v>
          </cell>
          <cell r="K458" t="str">
            <v>None</v>
          </cell>
          <cell r="L458" t="str">
            <v>Internship/residency</v>
          </cell>
          <cell r="M458" t="str">
            <v>OOH Content</v>
          </cell>
        </row>
        <row r="459">
          <cell r="A459" t="str">
            <v>29-1243</v>
          </cell>
          <cell r="B459" t="str">
            <v xml:space="preserve">        Pediatric surgeons</v>
          </cell>
          <cell r="C459" t="str">
            <v>Line item</v>
          </cell>
          <cell r="D459" t="str">
            <v>&gt;=$239,200</v>
          </cell>
          <cell r="E459">
            <v>1.1000000000000001</v>
          </cell>
          <cell r="F459">
            <v>1.1000000000000001</v>
          </cell>
          <cell r="G459">
            <v>0</v>
          </cell>
          <cell r="H459">
            <v>1.5</v>
          </cell>
          <cell r="I459">
            <v>0</v>
          </cell>
          <cell r="J459" t="str">
            <v>Doctoral or professional degree</v>
          </cell>
          <cell r="K459" t="str">
            <v>None</v>
          </cell>
          <cell r="L459" t="str">
            <v>Internship/residency</v>
          </cell>
          <cell r="M459" t="str">
            <v>OOH Content</v>
          </cell>
        </row>
        <row r="460">
          <cell r="A460" t="str">
            <v>29-1249</v>
          </cell>
          <cell r="B460" t="str">
            <v xml:space="preserve">        Surgeons, all other</v>
          </cell>
          <cell r="C460" t="str">
            <v>Line item</v>
          </cell>
          <cell r="D460" t="str">
            <v>&gt;=$239,200</v>
          </cell>
          <cell r="E460">
            <v>25.1</v>
          </cell>
          <cell r="F460">
            <v>26</v>
          </cell>
          <cell r="G460">
            <v>1</v>
          </cell>
          <cell r="H460">
            <v>3.9</v>
          </cell>
          <cell r="I460">
            <v>0.6</v>
          </cell>
          <cell r="J460" t="str">
            <v>Doctoral or professional degree</v>
          </cell>
          <cell r="K460" t="str">
            <v>None</v>
          </cell>
          <cell r="L460" t="str">
            <v>Internship/residency</v>
          </cell>
          <cell r="M460" t="str">
            <v>OOH Content</v>
          </cell>
        </row>
        <row r="461">
          <cell r="A461" t="str">
            <v>29-1290</v>
          </cell>
          <cell r="B461" t="str">
            <v xml:space="preserve">      Miscellaneous healthcare diagnosing or treating practitioners</v>
          </cell>
          <cell r="C461" t="str">
            <v>Summary</v>
          </cell>
          <cell r="D461">
            <v>94920</v>
          </cell>
          <cell r="E461">
            <v>278.3</v>
          </cell>
          <cell r="F461">
            <v>295.7</v>
          </cell>
          <cell r="G461">
            <v>17.399999999999999</v>
          </cell>
          <cell r="H461">
            <v>6.3</v>
          </cell>
          <cell r="I461">
            <v>18.5</v>
          </cell>
          <cell r="J461" t="str">
            <v>—</v>
          </cell>
          <cell r="K461" t="str">
            <v>—</v>
          </cell>
          <cell r="L461" t="str">
            <v>—</v>
          </cell>
          <cell r="M461" t="str">
            <v>—</v>
          </cell>
        </row>
        <row r="462">
          <cell r="A462" t="str">
            <v>29-1291</v>
          </cell>
          <cell r="B462" t="str">
            <v xml:space="preserve">        Acupuncturists</v>
          </cell>
          <cell r="C462" t="str">
            <v>Line item</v>
          </cell>
          <cell r="D462">
            <v>78140</v>
          </cell>
          <cell r="E462">
            <v>15.3</v>
          </cell>
          <cell r="F462">
            <v>16.399999999999999</v>
          </cell>
          <cell r="G462">
            <v>1</v>
          </cell>
          <cell r="H462">
            <v>6.8</v>
          </cell>
          <cell r="I462">
            <v>0.9</v>
          </cell>
          <cell r="J462" t="str">
            <v>Master's degree</v>
          </cell>
          <cell r="K462" t="str">
            <v>None</v>
          </cell>
          <cell r="L462" t="str">
            <v>None</v>
          </cell>
          <cell r="M462" t="str">
            <v>—</v>
          </cell>
        </row>
        <row r="463">
          <cell r="A463" t="str">
            <v>29-1292</v>
          </cell>
          <cell r="B463" t="str">
            <v xml:space="preserve">        Dental hygienists</v>
          </cell>
          <cell r="C463" t="str">
            <v>Line item</v>
          </cell>
          <cell r="D463">
            <v>94260</v>
          </cell>
          <cell r="E463">
            <v>221.6</v>
          </cell>
          <cell r="F463">
            <v>237.2</v>
          </cell>
          <cell r="G463">
            <v>15.5</v>
          </cell>
          <cell r="H463">
            <v>7</v>
          </cell>
          <cell r="I463">
            <v>15.3</v>
          </cell>
          <cell r="J463" t="str">
            <v>Associate's degree</v>
          </cell>
          <cell r="K463" t="str">
            <v>None</v>
          </cell>
          <cell r="L463" t="str">
            <v>None</v>
          </cell>
          <cell r="M463" t="str">
            <v>OOH Content</v>
          </cell>
        </row>
        <row r="464">
          <cell r="A464" t="str">
            <v>29-1299</v>
          </cell>
          <cell r="B464" t="str">
            <v xml:space="preserve">        Healthcare diagnosing or treating practitioners, all other</v>
          </cell>
          <cell r="C464" t="str">
            <v>Line item</v>
          </cell>
          <cell r="D464">
            <v>113730</v>
          </cell>
          <cell r="E464">
            <v>41.3</v>
          </cell>
          <cell r="F464">
            <v>42.2</v>
          </cell>
          <cell r="G464">
            <v>0.8</v>
          </cell>
          <cell r="H464">
            <v>2</v>
          </cell>
          <cell r="I464">
            <v>2.4</v>
          </cell>
          <cell r="J464" t="str">
            <v>Master's degree</v>
          </cell>
          <cell r="K464" t="str">
            <v>None</v>
          </cell>
          <cell r="L464" t="str">
            <v>None</v>
          </cell>
          <cell r="M464" t="str">
            <v>—</v>
          </cell>
        </row>
        <row r="465">
          <cell r="A465" t="str">
            <v>29-2000</v>
          </cell>
          <cell r="B465" t="str">
            <v xml:space="preserve">    Health technologists and technicians</v>
          </cell>
          <cell r="C465" t="str">
            <v>Summary</v>
          </cell>
          <cell r="D465">
            <v>54270</v>
          </cell>
          <cell r="E465">
            <v>3205.6</v>
          </cell>
          <cell r="F465">
            <v>3393</v>
          </cell>
          <cell r="G465">
            <v>187.4</v>
          </cell>
          <cell r="H465">
            <v>5.8</v>
          </cell>
          <cell r="I465">
            <v>261.39999999999998</v>
          </cell>
          <cell r="J465" t="str">
            <v>—</v>
          </cell>
          <cell r="K465" t="str">
            <v>—</v>
          </cell>
          <cell r="L465" t="str">
            <v>—</v>
          </cell>
          <cell r="M465" t="str">
            <v>—</v>
          </cell>
        </row>
        <row r="466">
          <cell r="A466" t="str">
            <v>29-2010</v>
          </cell>
          <cell r="B466" t="str">
            <v xml:space="preserve">      Clinical laboratory technologists and technicians</v>
          </cell>
          <cell r="C466" t="str">
            <v>Line item</v>
          </cell>
          <cell r="D466">
            <v>61890</v>
          </cell>
          <cell r="E466">
            <v>351.2</v>
          </cell>
          <cell r="F466">
            <v>357.2</v>
          </cell>
          <cell r="G466">
            <v>6</v>
          </cell>
          <cell r="H466">
            <v>1.7</v>
          </cell>
          <cell r="I466">
            <v>22.6</v>
          </cell>
          <cell r="J466" t="str">
            <v>Bachelor's degree</v>
          </cell>
          <cell r="K466" t="str">
            <v>None</v>
          </cell>
          <cell r="L466" t="str">
            <v>None</v>
          </cell>
          <cell r="M466" t="str">
            <v>OOH Content</v>
          </cell>
        </row>
        <row r="467">
          <cell r="A467" t="str">
            <v>29-2030</v>
          </cell>
          <cell r="B467" t="str">
            <v xml:space="preserve">      Diagnostic related technologists and technicians</v>
          </cell>
          <cell r="C467" t="str">
            <v>Summary</v>
          </cell>
          <cell r="D467">
            <v>80660</v>
          </cell>
          <cell r="E467">
            <v>451.5</v>
          </cell>
          <cell r="F467">
            <v>478.8</v>
          </cell>
          <cell r="G467">
            <v>27.3</v>
          </cell>
          <cell r="H467">
            <v>6.1</v>
          </cell>
          <cell r="I467">
            <v>26.1</v>
          </cell>
          <cell r="J467" t="str">
            <v>—</v>
          </cell>
          <cell r="K467" t="str">
            <v>—</v>
          </cell>
          <cell r="L467" t="str">
            <v>—</v>
          </cell>
          <cell r="M467" t="str">
            <v>—</v>
          </cell>
        </row>
        <row r="468">
          <cell r="A468" t="str">
            <v>29-2031</v>
          </cell>
          <cell r="B468" t="str">
            <v xml:space="preserve">        Cardiovascular technologists and technicians</v>
          </cell>
          <cell r="C468" t="str">
            <v>Line item</v>
          </cell>
          <cell r="D468">
            <v>67260</v>
          </cell>
          <cell r="E468">
            <v>64.7</v>
          </cell>
          <cell r="F468">
            <v>66.599999999999994</v>
          </cell>
          <cell r="G468">
            <v>1.9</v>
          </cell>
          <cell r="H468">
            <v>3</v>
          </cell>
          <cell r="I468">
            <v>3.8</v>
          </cell>
          <cell r="J468" t="str">
            <v>Associate's degree</v>
          </cell>
          <cell r="K468" t="str">
            <v>None</v>
          </cell>
          <cell r="L468" t="str">
            <v>None</v>
          </cell>
          <cell r="M468" t="str">
            <v>OOH Content</v>
          </cell>
        </row>
        <row r="469">
          <cell r="A469" t="str">
            <v>29-2032</v>
          </cell>
          <cell r="B469" t="str">
            <v xml:space="preserve">        Diagnostic medical sonographers</v>
          </cell>
          <cell r="C469" t="str">
            <v>Line item</v>
          </cell>
          <cell r="D469">
            <v>89340</v>
          </cell>
          <cell r="E469">
            <v>90</v>
          </cell>
          <cell r="F469">
            <v>101.7</v>
          </cell>
          <cell r="G469">
            <v>11.7</v>
          </cell>
          <cell r="H469">
            <v>13</v>
          </cell>
          <cell r="I469">
            <v>5.8</v>
          </cell>
          <cell r="J469" t="str">
            <v>Associate's degree</v>
          </cell>
          <cell r="K469" t="str">
            <v>None</v>
          </cell>
          <cell r="L469" t="str">
            <v>None</v>
          </cell>
          <cell r="M469" t="str">
            <v>OOH Content</v>
          </cell>
        </row>
        <row r="470">
          <cell r="A470" t="str">
            <v>29-2033</v>
          </cell>
          <cell r="B470" t="str">
            <v xml:space="preserve">        Nuclear medicine technologists</v>
          </cell>
          <cell r="C470" t="str">
            <v>Line item</v>
          </cell>
          <cell r="D470">
            <v>97020</v>
          </cell>
          <cell r="E470">
            <v>20</v>
          </cell>
          <cell r="F470">
            <v>20.6</v>
          </cell>
          <cell r="G470">
            <v>0.6</v>
          </cell>
          <cell r="H470">
            <v>3</v>
          </cell>
          <cell r="I470">
            <v>0.9</v>
          </cell>
          <cell r="J470" t="str">
            <v>Associate's degree</v>
          </cell>
          <cell r="K470" t="str">
            <v>None</v>
          </cell>
          <cell r="L470" t="str">
            <v>None</v>
          </cell>
          <cell r="M470" t="str">
            <v>OOH Content</v>
          </cell>
        </row>
        <row r="471">
          <cell r="A471" t="str">
            <v>29-2034</v>
          </cell>
          <cell r="B471" t="str">
            <v xml:space="preserve">        Radiologic technologists and technicians</v>
          </cell>
          <cell r="C471" t="str">
            <v>Line item</v>
          </cell>
          <cell r="D471">
            <v>77660</v>
          </cell>
          <cell r="E471">
            <v>228</v>
          </cell>
          <cell r="F471">
            <v>237.8</v>
          </cell>
          <cell r="G471">
            <v>9.8000000000000007</v>
          </cell>
          <cell r="H471">
            <v>4.3</v>
          </cell>
          <cell r="I471">
            <v>12.9</v>
          </cell>
          <cell r="J471" t="str">
            <v>Associate's degree</v>
          </cell>
          <cell r="K471" t="str">
            <v>None</v>
          </cell>
          <cell r="L471" t="str">
            <v>None</v>
          </cell>
          <cell r="M471" t="str">
            <v>OOH Content</v>
          </cell>
        </row>
        <row r="472">
          <cell r="A472" t="str">
            <v>29-2035</v>
          </cell>
          <cell r="B472" t="str">
            <v xml:space="preserve">        Magnetic resonance imaging technologists</v>
          </cell>
          <cell r="C472" t="str">
            <v>Line item</v>
          </cell>
          <cell r="D472">
            <v>88180</v>
          </cell>
          <cell r="E472">
            <v>44.1</v>
          </cell>
          <cell r="F472">
            <v>47.2</v>
          </cell>
          <cell r="G472">
            <v>3.1</v>
          </cell>
          <cell r="H472">
            <v>7.1</v>
          </cell>
          <cell r="I472">
            <v>2.6</v>
          </cell>
          <cell r="J472" t="str">
            <v>Associate's degree</v>
          </cell>
          <cell r="K472" t="str">
            <v>Less than 5 years</v>
          </cell>
          <cell r="L472" t="str">
            <v>None</v>
          </cell>
          <cell r="M472" t="str">
            <v>OOH Content</v>
          </cell>
        </row>
        <row r="473">
          <cell r="A473" t="str">
            <v>29-2036</v>
          </cell>
          <cell r="B473" t="str">
            <v xml:space="preserve">        Medical dosimetrists</v>
          </cell>
          <cell r="C473" t="str">
            <v>Line item</v>
          </cell>
          <cell r="D473">
            <v>138110</v>
          </cell>
          <cell r="E473">
            <v>4.8</v>
          </cell>
          <cell r="F473">
            <v>4.9000000000000004</v>
          </cell>
          <cell r="G473">
            <v>0.2</v>
          </cell>
          <cell r="H473">
            <v>3.5</v>
          </cell>
          <cell r="I473">
            <v>0.2</v>
          </cell>
          <cell r="J473" t="str">
            <v>Bachelor's degree</v>
          </cell>
          <cell r="K473" t="str">
            <v>None</v>
          </cell>
          <cell r="L473" t="str">
            <v>None</v>
          </cell>
          <cell r="M473" t="str">
            <v>OOH Content</v>
          </cell>
        </row>
        <row r="474">
          <cell r="A474" t="str">
            <v>29-2040</v>
          </cell>
          <cell r="B474" t="str">
            <v xml:space="preserve">      Emergency medical technicians and paramedics</v>
          </cell>
          <cell r="C474" t="str">
            <v>Summary</v>
          </cell>
          <cell r="D474">
            <v>46350</v>
          </cell>
          <cell r="E474">
            <v>282.89999999999998</v>
          </cell>
          <cell r="F474">
            <v>297.2</v>
          </cell>
          <cell r="G474">
            <v>14.3</v>
          </cell>
          <cell r="H474">
            <v>5</v>
          </cell>
          <cell r="I474">
            <v>19</v>
          </cell>
          <cell r="J474" t="str">
            <v>—</v>
          </cell>
          <cell r="K474" t="str">
            <v>—</v>
          </cell>
          <cell r="L474" t="str">
            <v>—</v>
          </cell>
          <cell r="M474" t="str">
            <v>—</v>
          </cell>
        </row>
        <row r="475">
          <cell r="A475" t="str">
            <v>29-2042</v>
          </cell>
          <cell r="B475" t="str">
            <v xml:space="preserve">        Emergency medical technicians</v>
          </cell>
          <cell r="C475" t="str">
            <v>Line item</v>
          </cell>
          <cell r="D475">
            <v>41340</v>
          </cell>
          <cell r="E475">
            <v>181</v>
          </cell>
          <cell r="F475">
            <v>190.2</v>
          </cell>
          <cell r="G475">
            <v>9.1999999999999993</v>
          </cell>
          <cell r="H475">
            <v>5.0999999999999996</v>
          </cell>
          <cell r="I475">
            <v>14.1</v>
          </cell>
          <cell r="J475" t="str">
            <v>Postsecondary nondegree award</v>
          </cell>
          <cell r="K475" t="str">
            <v>None</v>
          </cell>
          <cell r="L475" t="str">
            <v>None</v>
          </cell>
          <cell r="M475" t="str">
            <v>OOH Content</v>
          </cell>
        </row>
        <row r="476">
          <cell r="A476" t="str">
            <v>29-2043</v>
          </cell>
          <cell r="B476" t="str">
            <v xml:space="preserve">        Paramedics</v>
          </cell>
          <cell r="C476" t="str">
            <v>Line item</v>
          </cell>
          <cell r="D476">
            <v>58410</v>
          </cell>
          <cell r="E476">
            <v>101.9</v>
          </cell>
          <cell r="F476">
            <v>107</v>
          </cell>
          <cell r="G476">
            <v>5.0999999999999996</v>
          </cell>
          <cell r="H476">
            <v>5</v>
          </cell>
          <cell r="I476">
            <v>4.9000000000000004</v>
          </cell>
          <cell r="J476" t="str">
            <v>Postsecondary nondegree award</v>
          </cell>
          <cell r="K476" t="str">
            <v>Less than 5 years</v>
          </cell>
          <cell r="L476" t="str">
            <v>None</v>
          </cell>
          <cell r="M476" t="str">
            <v>OOH Content</v>
          </cell>
        </row>
        <row r="477">
          <cell r="A477" t="str">
            <v>29-2050</v>
          </cell>
          <cell r="B477" t="str">
            <v xml:space="preserve">      Health practitioner support technologists and technicians</v>
          </cell>
          <cell r="C477" t="str">
            <v>Summary</v>
          </cell>
          <cell r="D477">
            <v>45010</v>
          </cell>
          <cell r="E477">
            <v>994.3</v>
          </cell>
          <cell r="F477">
            <v>1088.4000000000001</v>
          </cell>
          <cell r="G477">
            <v>94.1</v>
          </cell>
          <cell r="H477">
            <v>9.5</v>
          </cell>
          <cell r="I477">
            <v>102.8</v>
          </cell>
          <cell r="J477" t="str">
            <v>—</v>
          </cell>
          <cell r="K477" t="str">
            <v>—</v>
          </cell>
          <cell r="L477" t="str">
            <v>—</v>
          </cell>
          <cell r="M477" t="str">
            <v>—</v>
          </cell>
        </row>
        <row r="478">
          <cell r="A478" t="str">
            <v>29-2051</v>
          </cell>
          <cell r="B478" t="str">
            <v xml:space="preserve">        Dietetic technicians</v>
          </cell>
          <cell r="C478" t="str">
            <v>Line item</v>
          </cell>
          <cell r="D478">
            <v>37040</v>
          </cell>
          <cell r="E478">
            <v>30.9</v>
          </cell>
          <cell r="F478">
            <v>31.7</v>
          </cell>
          <cell r="G478">
            <v>0.8</v>
          </cell>
          <cell r="H478">
            <v>2.5</v>
          </cell>
          <cell r="I478">
            <v>4</v>
          </cell>
          <cell r="J478" t="str">
            <v>Associate's degree</v>
          </cell>
          <cell r="K478" t="str">
            <v>None</v>
          </cell>
          <cell r="L478" t="str">
            <v>None</v>
          </cell>
          <cell r="M478" t="str">
            <v>—</v>
          </cell>
        </row>
        <row r="479">
          <cell r="A479" t="str">
            <v>29-2052</v>
          </cell>
          <cell r="B479" t="str">
            <v xml:space="preserve">        Pharmacy technicians</v>
          </cell>
          <cell r="C479" t="str">
            <v>Line item</v>
          </cell>
          <cell r="D479">
            <v>43460</v>
          </cell>
          <cell r="E479">
            <v>490.4</v>
          </cell>
          <cell r="F479">
            <v>521.79999999999995</v>
          </cell>
          <cell r="G479">
            <v>31.5</v>
          </cell>
          <cell r="H479">
            <v>6.4</v>
          </cell>
          <cell r="I479">
            <v>49</v>
          </cell>
          <cell r="J479" t="str">
            <v>High school diploma or equivalent</v>
          </cell>
          <cell r="K479" t="str">
            <v>None</v>
          </cell>
          <cell r="L479" t="str">
            <v>Moderate-term on-the-job training</v>
          </cell>
          <cell r="M479" t="str">
            <v>OOH Content</v>
          </cell>
        </row>
        <row r="480">
          <cell r="A480" t="str">
            <v>29-2053</v>
          </cell>
          <cell r="B480" t="str">
            <v xml:space="preserve">        Psychiatric technicians</v>
          </cell>
          <cell r="C480" t="str">
            <v>Line item</v>
          </cell>
          <cell r="D480">
            <v>42590</v>
          </cell>
          <cell r="E480">
            <v>144.5</v>
          </cell>
          <cell r="F480">
            <v>173.3</v>
          </cell>
          <cell r="G480">
            <v>28.9</v>
          </cell>
          <cell r="H480">
            <v>20</v>
          </cell>
          <cell r="I480">
            <v>15.9</v>
          </cell>
          <cell r="J480" t="str">
            <v>Postsecondary nondegree award</v>
          </cell>
          <cell r="K480" t="str">
            <v>Less than 5 years</v>
          </cell>
          <cell r="L480" t="str">
            <v>Short-term on-the-job training</v>
          </cell>
          <cell r="M480" t="str">
            <v>OOH Content</v>
          </cell>
        </row>
        <row r="481">
          <cell r="A481" t="str">
            <v>29-2055</v>
          </cell>
          <cell r="B481" t="str">
            <v xml:space="preserve">        Surgical technologists</v>
          </cell>
          <cell r="C481" t="str">
            <v>Line item</v>
          </cell>
          <cell r="D481">
            <v>62830</v>
          </cell>
          <cell r="E481">
            <v>115.6</v>
          </cell>
          <cell r="F481">
            <v>120.8</v>
          </cell>
          <cell r="G481">
            <v>5.2</v>
          </cell>
          <cell r="H481">
            <v>4.5</v>
          </cell>
          <cell r="I481">
            <v>7</v>
          </cell>
          <cell r="J481" t="str">
            <v>Postsecondary nondegree award</v>
          </cell>
          <cell r="K481" t="str">
            <v>None</v>
          </cell>
          <cell r="L481" t="str">
            <v>None</v>
          </cell>
          <cell r="M481" t="str">
            <v>OOH Content</v>
          </cell>
        </row>
        <row r="482">
          <cell r="A482" t="str">
            <v>29-2056</v>
          </cell>
          <cell r="B482" t="str">
            <v xml:space="preserve">        Veterinary technologists and technicians</v>
          </cell>
          <cell r="C482" t="str">
            <v>Line item</v>
          </cell>
          <cell r="D482">
            <v>45980</v>
          </cell>
          <cell r="E482">
            <v>134.19999999999999</v>
          </cell>
          <cell r="F482">
            <v>146.4</v>
          </cell>
          <cell r="G482">
            <v>12.2</v>
          </cell>
          <cell r="H482">
            <v>9.1</v>
          </cell>
          <cell r="I482">
            <v>14.3</v>
          </cell>
          <cell r="J482" t="str">
            <v>Associate's degree</v>
          </cell>
          <cell r="K482" t="str">
            <v>None</v>
          </cell>
          <cell r="L482" t="str">
            <v>None</v>
          </cell>
          <cell r="M482" t="str">
            <v>OOH Content</v>
          </cell>
        </row>
        <row r="483">
          <cell r="A483" t="str">
            <v>29-2057</v>
          </cell>
          <cell r="B483" t="str">
            <v xml:space="preserve">        Ophthalmic medical technicians</v>
          </cell>
          <cell r="C483" t="str">
            <v>Line item</v>
          </cell>
          <cell r="D483">
            <v>44080</v>
          </cell>
          <cell r="E483">
            <v>78.8</v>
          </cell>
          <cell r="F483">
            <v>94.4</v>
          </cell>
          <cell r="G483">
            <v>15.6</v>
          </cell>
          <cell r="H483">
            <v>19.8</v>
          </cell>
          <cell r="I483">
            <v>12.5</v>
          </cell>
          <cell r="J483" t="str">
            <v>Postsecondary nondegree award</v>
          </cell>
          <cell r="K483" t="str">
            <v>None</v>
          </cell>
          <cell r="L483" t="str">
            <v>None</v>
          </cell>
          <cell r="M483" t="str">
            <v>—</v>
          </cell>
        </row>
        <row r="484">
          <cell r="A484" t="str">
            <v>29-2061</v>
          </cell>
          <cell r="B484" t="str">
            <v xml:space="preserve">      Licensed practical and licensed vocational nurses</v>
          </cell>
          <cell r="C484" t="str">
            <v>Line item</v>
          </cell>
          <cell r="D484">
            <v>62340</v>
          </cell>
          <cell r="E484">
            <v>651.4</v>
          </cell>
          <cell r="F484">
            <v>668.5</v>
          </cell>
          <cell r="G484">
            <v>17.100000000000001</v>
          </cell>
          <cell r="H484">
            <v>2.6</v>
          </cell>
          <cell r="I484">
            <v>54.4</v>
          </cell>
          <cell r="J484" t="str">
            <v>Postsecondary nondegree award</v>
          </cell>
          <cell r="K484" t="str">
            <v>None</v>
          </cell>
          <cell r="L484" t="str">
            <v>None</v>
          </cell>
          <cell r="M484" t="str">
            <v>OOH Content</v>
          </cell>
        </row>
        <row r="485">
          <cell r="A485" t="str">
            <v>29-2072</v>
          </cell>
          <cell r="B485" t="str">
            <v xml:space="preserve">      Medical records specialists</v>
          </cell>
          <cell r="C485" t="str">
            <v>Line item</v>
          </cell>
          <cell r="D485">
            <v>50250</v>
          </cell>
          <cell r="E485">
            <v>194.8</v>
          </cell>
          <cell r="F485">
            <v>208.6</v>
          </cell>
          <cell r="G485">
            <v>13.8</v>
          </cell>
          <cell r="H485">
            <v>7.1</v>
          </cell>
          <cell r="I485">
            <v>14.2</v>
          </cell>
          <cell r="J485" t="str">
            <v>Postsecondary nondegree award</v>
          </cell>
          <cell r="K485" t="str">
            <v>None</v>
          </cell>
          <cell r="L485" t="str">
            <v>None</v>
          </cell>
          <cell r="M485" t="str">
            <v>OOH Content</v>
          </cell>
        </row>
        <row r="486">
          <cell r="A486" t="str">
            <v>29-2081</v>
          </cell>
          <cell r="B486" t="str">
            <v xml:space="preserve">      Opticians, dispensing</v>
          </cell>
          <cell r="C486" t="str">
            <v>Line item</v>
          </cell>
          <cell r="D486">
            <v>46560</v>
          </cell>
          <cell r="E486">
            <v>79.900000000000006</v>
          </cell>
          <cell r="F486">
            <v>82.2</v>
          </cell>
          <cell r="G486">
            <v>2.2999999999999998</v>
          </cell>
          <cell r="H486">
            <v>2.9</v>
          </cell>
          <cell r="I486">
            <v>6.8</v>
          </cell>
          <cell r="J486" t="str">
            <v>High school diploma or equivalent</v>
          </cell>
          <cell r="K486" t="str">
            <v>None</v>
          </cell>
          <cell r="L486" t="str">
            <v>Long-term on-the-job training</v>
          </cell>
          <cell r="M486" t="str">
            <v>OOH Content</v>
          </cell>
        </row>
        <row r="487">
          <cell r="A487" t="str">
            <v>29-2090</v>
          </cell>
          <cell r="B487" t="str">
            <v xml:space="preserve">      Miscellaneous health technologists and technicians</v>
          </cell>
          <cell r="C487" t="str">
            <v>Summary</v>
          </cell>
          <cell r="D487">
            <v>49600</v>
          </cell>
          <cell r="E487">
            <v>199.6</v>
          </cell>
          <cell r="F487">
            <v>212.2</v>
          </cell>
          <cell r="G487">
            <v>12.6</v>
          </cell>
          <cell r="H487">
            <v>6.3</v>
          </cell>
          <cell r="I487">
            <v>15.4</v>
          </cell>
          <cell r="J487" t="str">
            <v>—</v>
          </cell>
          <cell r="K487" t="str">
            <v>—</v>
          </cell>
          <cell r="L487" t="str">
            <v>—</v>
          </cell>
          <cell r="M487" t="str">
            <v>—</v>
          </cell>
        </row>
        <row r="488">
          <cell r="A488" t="str">
            <v>29-2091</v>
          </cell>
          <cell r="B488" t="str">
            <v xml:space="preserve">        Orthotists and prosthetists</v>
          </cell>
          <cell r="C488" t="str">
            <v>Line item</v>
          </cell>
          <cell r="D488">
            <v>78310</v>
          </cell>
          <cell r="E488">
            <v>10.1</v>
          </cell>
          <cell r="F488">
            <v>11.5</v>
          </cell>
          <cell r="G488">
            <v>1.3</v>
          </cell>
          <cell r="H488">
            <v>13.3</v>
          </cell>
          <cell r="I488">
            <v>0.9</v>
          </cell>
          <cell r="J488" t="str">
            <v>Master's degree</v>
          </cell>
          <cell r="K488" t="str">
            <v>None</v>
          </cell>
          <cell r="L488" t="str">
            <v>Internship/residency</v>
          </cell>
          <cell r="M488" t="str">
            <v>OOH Content</v>
          </cell>
        </row>
        <row r="489">
          <cell r="A489" t="str">
            <v>29-2092</v>
          </cell>
          <cell r="B489" t="str">
            <v xml:space="preserve">        Hearing aid specialists</v>
          </cell>
          <cell r="C489" t="str">
            <v>Line item</v>
          </cell>
          <cell r="D489">
            <v>61560</v>
          </cell>
          <cell r="E489">
            <v>10.7</v>
          </cell>
          <cell r="F489">
            <v>12.6</v>
          </cell>
          <cell r="G489">
            <v>2</v>
          </cell>
          <cell r="H489">
            <v>18.399999999999999</v>
          </cell>
          <cell r="I489">
            <v>1</v>
          </cell>
          <cell r="J489" t="str">
            <v>High school diploma or equivalent</v>
          </cell>
          <cell r="K489" t="str">
            <v>None</v>
          </cell>
          <cell r="L489" t="str">
            <v>Moderate-term on-the-job training</v>
          </cell>
          <cell r="M489" t="str">
            <v>—</v>
          </cell>
        </row>
        <row r="490">
          <cell r="A490" t="str">
            <v>29-2099</v>
          </cell>
          <cell r="B490" t="str">
            <v xml:space="preserve">        Health technologists and technicians, all other</v>
          </cell>
          <cell r="C490" t="str">
            <v>Line item</v>
          </cell>
          <cell r="D490">
            <v>48790</v>
          </cell>
          <cell r="E490">
            <v>178.8</v>
          </cell>
          <cell r="F490">
            <v>188.1</v>
          </cell>
          <cell r="G490">
            <v>9.3000000000000007</v>
          </cell>
          <cell r="H490">
            <v>5.2</v>
          </cell>
          <cell r="I490">
            <v>13.6</v>
          </cell>
          <cell r="J490" t="str">
            <v>Postsecondary nondegree award</v>
          </cell>
          <cell r="K490" t="str">
            <v>None</v>
          </cell>
          <cell r="L490" t="str">
            <v>None</v>
          </cell>
          <cell r="M490" t="str">
            <v>—</v>
          </cell>
        </row>
        <row r="491">
          <cell r="A491" t="str">
            <v>29-9000</v>
          </cell>
          <cell r="B491" t="str">
            <v xml:space="preserve">    Other healthcare practitioners and technical occupations</v>
          </cell>
          <cell r="C491" t="str">
            <v>Summary</v>
          </cell>
          <cell r="D491">
            <v>62820</v>
          </cell>
          <cell r="E491">
            <v>146.69999999999999</v>
          </cell>
          <cell r="F491">
            <v>159.80000000000001</v>
          </cell>
          <cell r="G491">
            <v>13.1</v>
          </cell>
          <cell r="H491">
            <v>8.9</v>
          </cell>
          <cell r="I491">
            <v>10.199999999999999</v>
          </cell>
          <cell r="J491" t="str">
            <v>—</v>
          </cell>
          <cell r="K491" t="str">
            <v>—</v>
          </cell>
          <cell r="L491" t="str">
            <v>—</v>
          </cell>
          <cell r="M491" t="str">
            <v>—</v>
          </cell>
        </row>
        <row r="492">
          <cell r="A492" t="str">
            <v>29-9021</v>
          </cell>
          <cell r="B492" t="str">
            <v xml:space="preserve">      Health information technologists and medical registrars</v>
          </cell>
          <cell r="C492" t="str">
            <v>Line item</v>
          </cell>
          <cell r="D492">
            <v>67310</v>
          </cell>
          <cell r="E492">
            <v>41.9</v>
          </cell>
          <cell r="F492">
            <v>48.1</v>
          </cell>
          <cell r="G492">
            <v>6.2</v>
          </cell>
          <cell r="H492">
            <v>14.7</v>
          </cell>
          <cell r="I492">
            <v>3.2</v>
          </cell>
          <cell r="J492" t="str">
            <v>Associate's degree</v>
          </cell>
          <cell r="K492" t="str">
            <v>None</v>
          </cell>
          <cell r="L492" t="str">
            <v>None</v>
          </cell>
          <cell r="M492" t="str">
            <v>OOH Content</v>
          </cell>
        </row>
        <row r="493">
          <cell r="A493" t="str">
            <v>29-9090</v>
          </cell>
          <cell r="B493" t="str">
            <v xml:space="preserve">      Miscellaneous health practitioners and technical workers</v>
          </cell>
          <cell r="C493" t="str">
            <v>Summary</v>
          </cell>
          <cell r="D493">
            <v>61890</v>
          </cell>
          <cell r="E493">
            <v>104.8</v>
          </cell>
          <cell r="F493">
            <v>111.8</v>
          </cell>
          <cell r="G493">
            <v>6.9</v>
          </cell>
          <cell r="H493">
            <v>6.6</v>
          </cell>
          <cell r="I493">
            <v>7</v>
          </cell>
          <cell r="J493" t="str">
            <v>—</v>
          </cell>
          <cell r="K493" t="str">
            <v>—</v>
          </cell>
          <cell r="L493" t="str">
            <v>—</v>
          </cell>
          <cell r="M493" t="str">
            <v>—</v>
          </cell>
        </row>
        <row r="494">
          <cell r="A494" t="str">
            <v>29-9091</v>
          </cell>
          <cell r="B494" t="str">
            <v xml:space="preserve">        Athletic trainers</v>
          </cell>
          <cell r="C494" t="str">
            <v>Line item</v>
          </cell>
          <cell r="D494">
            <v>60250</v>
          </cell>
          <cell r="E494">
            <v>33.9</v>
          </cell>
          <cell r="F494">
            <v>37.6</v>
          </cell>
          <cell r="G494">
            <v>3.8</v>
          </cell>
          <cell r="H494">
            <v>11.1</v>
          </cell>
          <cell r="I494">
            <v>2.4</v>
          </cell>
          <cell r="J494" t="str">
            <v>Master's degree</v>
          </cell>
          <cell r="K494" t="str">
            <v>None</v>
          </cell>
          <cell r="L494" t="str">
            <v>None</v>
          </cell>
          <cell r="M494" t="str">
            <v>OOH Content</v>
          </cell>
        </row>
        <row r="495">
          <cell r="A495" t="str">
            <v>29-9092</v>
          </cell>
          <cell r="B495" t="str">
            <v xml:space="preserve">        Genetic counselors</v>
          </cell>
          <cell r="C495" t="str">
            <v>Line item</v>
          </cell>
          <cell r="D495">
            <v>98910</v>
          </cell>
          <cell r="E495">
            <v>4</v>
          </cell>
          <cell r="F495">
            <v>4.3</v>
          </cell>
          <cell r="G495">
            <v>0.4</v>
          </cell>
          <cell r="H495">
            <v>9.3000000000000007</v>
          </cell>
          <cell r="I495">
            <v>0.3</v>
          </cell>
          <cell r="J495" t="str">
            <v>Master's degree</v>
          </cell>
          <cell r="K495" t="str">
            <v>None</v>
          </cell>
          <cell r="L495" t="str">
            <v>None</v>
          </cell>
          <cell r="M495" t="str">
            <v>OOH Content</v>
          </cell>
        </row>
        <row r="496">
          <cell r="A496" t="str">
            <v>29-9093</v>
          </cell>
          <cell r="B496" t="str">
            <v xml:space="preserve">        Surgical assistants</v>
          </cell>
          <cell r="C496" t="str">
            <v>Line item</v>
          </cell>
          <cell r="D496">
            <v>60290</v>
          </cell>
          <cell r="E496">
            <v>25.3</v>
          </cell>
          <cell r="F496">
            <v>26.6</v>
          </cell>
          <cell r="G496">
            <v>1.3</v>
          </cell>
          <cell r="H496">
            <v>5.0999999999999996</v>
          </cell>
          <cell r="I496">
            <v>1.6</v>
          </cell>
          <cell r="J496" t="str">
            <v>Postsecondary nondegree award</v>
          </cell>
          <cell r="K496" t="str">
            <v>None</v>
          </cell>
          <cell r="L496" t="str">
            <v>None</v>
          </cell>
          <cell r="M496" t="str">
            <v>OOH Content</v>
          </cell>
        </row>
        <row r="497">
          <cell r="A497" t="str">
            <v>29-9099</v>
          </cell>
          <cell r="B497" t="str">
            <v xml:space="preserve">        Healthcare practitioners and technical workers, all other</v>
          </cell>
          <cell r="C497" t="str">
            <v>Line item</v>
          </cell>
          <cell r="D497">
            <v>64030</v>
          </cell>
          <cell r="E497">
            <v>41.7</v>
          </cell>
          <cell r="F497">
            <v>43.1</v>
          </cell>
          <cell r="G497">
            <v>1.5</v>
          </cell>
          <cell r="H497">
            <v>3.6</v>
          </cell>
          <cell r="I497">
            <v>2.6</v>
          </cell>
          <cell r="J497" t="str">
            <v>Postsecondary nondegree award</v>
          </cell>
          <cell r="K497" t="str">
            <v>None</v>
          </cell>
          <cell r="L497" t="str">
            <v>None</v>
          </cell>
          <cell r="M497" t="str">
            <v>—</v>
          </cell>
        </row>
        <row r="498">
          <cell r="A498" t="str">
            <v>31-0000</v>
          </cell>
          <cell r="B498" t="str">
            <v xml:space="preserve">  Healthcare support occupations</v>
          </cell>
          <cell r="C498" t="str">
            <v>Summary</v>
          </cell>
          <cell r="D498">
            <v>37180</v>
          </cell>
          <cell r="E498">
            <v>7982.8</v>
          </cell>
          <cell r="F498">
            <v>8971.1</v>
          </cell>
          <cell r="G498">
            <v>988.3</v>
          </cell>
          <cell r="H498">
            <v>12.4</v>
          </cell>
          <cell r="I498">
            <v>1286.7</v>
          </cell>
          <cell r="J498" t="str">
            <v>—</v>
          </cell>
          <cell r="K498" t="str">
            <v>—</v>
          </cell>
          <cell r="L498" t="str">
            <v>—</v>
          </cell>
          <cell r="M498" t="str">
            <v>—</v>
          </cell>
        </row>
        <row r="499">
          <cell r="A499" t="str">
            <v>31-1100</v>
          </cell>
          <cell r="B499" t="str">
            <v xml:space="preserve">    Home health and personal care aides; and nursing assistants, orderlies, and psychiatric aides</v>
          </cell>
          <cell r="C499" t="str">
            <v>Summary</v>
          </cell>
          <cell r="D499">
            <v>35940</v>
          </cell>
          <cell r="E499">
            <v>5881.6</v>
          </cell>
          <cell r="F499">
            <v>6655.6</v>
          </cell>
          <cell r="G499">
            <v>774.1</v>
          </cell>
          <cell r="H499">
            <v>13.2</v>
          </cell>
          <cell r="I499">
            <v>983</v>
          </cell>
          <cell r="J499" t="str">
            <v>—</v>
          </cell>
          <cell r="K499" t="str">
            <v>—</v>
          </cell>
          <cell r="L499" t="str">
            <v>—</v>
          </cell>
          <cell r="M499" t="str">
            <v>—</v>
          </cell>
        </row>
        <row r="500">
          <cell r="A500" t="str">
            <v>31-1120</v>
          </cell>
          <cell r="B500" t="str">
            <v xml:space="preserve">      Home health and personal care aides</v>
          </cell>
          <cell r="C500" t="str">
            <v>Line item</v>
          </cell>
          <cell r="D500">
            <v>34900</v>
          </cell>
          <cell r="E500">
            <v>4347.7</v>
          </cell>
          <cell r="F500">
            <v>5087.5</v>
          </cell>
          <cell r="G500">
            <v>739.8</v>
          </cell>
          <cell r="H500">
            <v>17</v>
          </cell>
          <cell r="I500">
            <v>765.8</v>
          </cell>
          <cell r="J500" t="str">
            <v>High school diploma or equivalent</v>
          </cell>
          <cell r="K500" t="str">
            <v>None</v>
          </cell>
          <cell r="L500" t="str">
            <v>Short-term on-the-job training</v>
          </cell>
          <cell r="M500" t="str">
            <v>OOH Content</v>
          </cell>
        </row>
        <row r="501">
          <cell r="A501" t="str">
            <v>31-1130</v>
          </cell>
          <cell r="B501" t="str">
            <v xml:space="preserve">      Nursing assistants, orderlies, and psychiatric aides</v>
          </cell>
          <cell r="C501" t="str">
            <v>Summary</v>
          </cell>
          <cell r="D501">
            <v>39470</v>
          </cell>
          <cell r="E501">
            <v>1533.9</v>
          </cell>
          <cell r="F501">
            <v>1568.1</v>
          </cell>
          <cell r="G501">
            <v>34.200000000000003</v>
          </cell>
          <cell r="H501">
            <v>2.2000000000000002</v>
          </cell>
          <cell r="I501">
            <v>217.1</v>
          </cell>
          <cell r="J501" t="str">
            <v>—</v>
          </cell>
          <cell r="K501" t="str">
            <v>—</v>
          </cell>
          <cell r="L501" t="str">
            <v>—</v>
          </cell>
          <cell r="M501" t="str">
            <v>—</v>
          </cell>
        </row>
        <row r="502">
          <cell r="A502" t="str">
            <v>31-1131</v>
          </cell>
          <cell r="B502" t="str">
            <v xml:space="preserve">        Nursing assistants</v>
          </cell>
          <cell r="C502" t="str">
            <v>Line item</v>
          </cell>
          <cell r="D502">
            <v>39530</v>
          </cell>
          <cell r="E502">
            <v>1441.5</v>
          </cell>
          <cell r="F502">
            <v>1474</v>
          </cell>
          <cell r="G502">
            <v>32.6</v>
          </cell>
          <cell r="H502">
            <v>2.2999999999999998</v>
          </cell>
          <cell r="I502">
            <v>204.1</v>
          </cell>
          <cell r="J502" t="str">
            <v>Postsecondary nondegree award</v>
          </cell>
          <cell r="K502" t="str">
            <v>None</v>
          </cell>
          <cell r="L502" t="str">
            <v>None</v>
          </cell>
          <cell r="M502" t="str">
            <v>OOH Content</v>
          </cell>
        </row>
        <row r="503">
          <cell r="A503" t="str">
            <v>31-1132</v>
          </cell>
          <cell r="B503" t="str">
            <v xml:space="preserve">        Orderlies</v>
          </cell>
          <cell r="C503" t="str">
            <v>Line item</v>
          </cell>
          <cell r="D503">
            <v>37700</v>
          </cell>
          <cell r="E503">
            <v>54</v>
          </cell>
          <cell r="F503">
            <v>55.8</v>
          </cell>
          <cell r="G503">
            <v>1.8</v>
          </cell>
          <cell r="H503">
            <v>3.3</v>
          </cell>
          <cell r="I503">
            <v>7.8</v>
          </cell>
          <cell r="J503" t="str">
            <v>High school diploma or equivalent</v>
          </cell>
          <cell r="K503" t="str">
            <v>None</v>
          </cell>
          <cell r="L503" t="str">
            <v>Short-term on-the-job training</v>
          </cell>
          <cell r="M503" t="str">
            <v>OOH Content</v>
          </cell>
        </row>
        <row r="504">
          <cell r="A504" t="str">
            <v>31-1133</v>
          </cell>
          <cell r="B504" t="str">
            <v xml:space="preserve">        Psychiatric aides</v>
          </cell>
          <cell r="C504" t="str">
            <v>Line item</v>
          </cell>
          <cell r="D504">
            <v>41590</v>
          </cell>
          <cell r="E504">
            <v>38.5</v>
          </cell>
          <cell r="F504">
            <v>38.299999999999997</v>
          </cell>
          <cell r="G504">
            <v>-0.1</v>
          </cell>
          <cell r="H504">
            <v>-0.4</v>
          </cell>
          <cell r="I504">
            <v>5.3</v>
          </cell>
          <cell r="J504" t="str">
            <v>High school diploma or equivalent</v>
          </cell>
          <cell r="K504" t="str">
            <v>None</v>
          </cell>
          <cell r="L504" t="str">
            <v>Short-term on-the-job training</v>
          </cell>
          <cell r="M504" t="str">
            <v>OOH Content</v>
          </cell>
        </row>
        <row r="505">
          <cell r="A505" t="str">
            <v>31-2000</v>
          </cell>
          <cell r="B505" t="str">
            <v xml:space="preserve">    Occupational therapy and physical therapist assistants and aides</v>
          </cell>
          <cell r="C505" t="str">
            <v>Summary</v>
          </cell>
          <cell r="D505">
            <v>61730</v>
          </cell>
          <cell r="E505">
            <v>211.5</v>
          </cell>
          <cell r="F505">
            <v>246.9</v>
          </cell>
          <cell r="G505">
            <v>35.4</v>
          </cell>
          <cell r="H505">
            <v>16.7</v>
          </cell>
          <cell r="I505">
            <v>34.299999999999997</v>
          </cell>
          <cell r="J505" t="str">
            <v>—</v>
          </cell>
          <cell r="K505" t="str">
            <v>—</v>
          </cell>
          <cell r="L505" t="str">
            <v>—</v>
          </cell>
          <cell r="M505" t="str">
            <v>—</v>
          </cell>
        </row>
        <row r="506">
          <cell r="A506" t="str">
            <v>31-2010</v>
          </cell>
          <cell r="B506" t="str">
            <v xml:space="preserve">      Occupational therapy assistants and aides</v>
          </cell>
          <cell r="C506" t="str">
            <v>Summary</v>
          </cell>
          <cell r="D506">
            <v>66050</v>
          </cell>
          <cell r="E506">
            <v>54.4</v>
          </cell>
          <cell r="F506">
            <v>64</v>
          </cell>
          <cell r="G506">
            <v>9.6</v>
          </cell>
          <cell r="H506">
            <v>17.600000000000001</v>
          </cell>
          <cell r="I506">
            <v>7.9</v>
          </cell>
          <cell r="J506" t="str">
            <v>—</v>
          </cell>
          <cell r="K506" t="str">
            <v>—</v>
          </cell>
          <cell r="L506" t="str">
            <v>—</v>
          </cell>
          <cell r="M506" t="str">
            <v>—</v>
          </cell>
        </row>
        <row r="507">
          <cell r="A507" t="str">
            <v>31-2011</v>
          </cell>
          <cell r="B507" t="str">
            <v xml:space="preserve">        Occupational therapy assistants</v>
          </cell>
          <cell r="C507" t="str">
            <v>Line item</v>
          </cell>
          <cell r="D507">
            <v>68340</v>
          </cell>
          <cell r="E507">
            <v>49.2</v>
          </cell>
          <cell r="F507">
            <v>58.7</v>
          </cell>
          <cell r="G507">
            <v>9.5</v>
          </cell>
          <cell r="H507">
            <v>19.2</v>
          </cell>
          <cell r="I507">
            <v>7.2</v>
          </cell>
          <cell r="J507" t="str">
            <v>Associate's degree</v>
          </cell>
          <cell r="K507" t="str">
            <v>None</v>
          </cell>
          <cell r="L507" t="str">
            <v>None</v>
          </cell>
          <cell r="M507" t="str">
            <v>OOH Content</v>
          </cell>
        </row>
        <row r="508">
          <cell r="A508" t="str">
            <v>31-2012</v>
          </cell>
          <cell r="B508" t="str">
            <v xml:space="preserve">        Occupational therapy aides</v>
          </cell>
          <cell r="C508" t="str">
            <v>Line item</v>
          </cell>
          <cell r="D508">
            <v>37370</v>
          </cell>
          <cell r="E508">
            <v>5.2</v>
          </cell>
          <cell r="F508">
            <v>5.3</v>
          </cell>
          <cell r="G508">
            <v>0.1</v>
          </cell>
          <cell r="H508">
            <v>2.5</v>
          </cell>
          <cell r="I508">
            <v>0.6</v>
          </cell>
          <cell r="J508" t="str">
            <v>High school diploma or equivalent</v>
          </cell>
          <cell r="K508" t="str">
            <v>None</v>
          </cell>
          <cell r="L508" t="str">
            <v>Short-term on-the-job training</v>
          </cell>
          <cell r="M508" t="str">
            <v>OOH Content</v>
          </cell>
        </row>
        <row r="509">
          <cell r="A509" t="str">
            <v>31-2020</v>
          </cell>
          <cell r="B509" t="str">
            <v xml:space="preserve">      Physical therapist assistants and aides</v>
          </cell>
          <cell r="C509" t="str">
            <v>Summary</v>
          </cell>
          <cell r="D509">
            <v>60050</v>
          </cell>
          <cell r="E509">
            <v>157.1</v>
          </cell>
          <cell r="F509">
            <v>182.9</v>
          </cell>
          <cell r="G509">
            <v>25.8</v>
          </cell>
          <cell r="H509">
            <v>16.399999999999999</v>
          </cell>
          <cell r="I509">
            <v>26.4</v>
          </cell>
          <cell r="J509" t="str">
            <v>—</v>
          </cell>
          <cell r="K509" t="str">
            <v>—</v>
          </cell>
          <cell r="L509" t="str">
            <v>—</v>
          </cell>
          <cell r="M509" t="str">
            <v>—</v>
          </cell>
        </row>
        <row r="510">
          <cell r="A510" t="str">
            <v>31-2021</v>
          </cell>
          <cell r="B510" t="str">
            <v xml:space="preserve">        Physical therapist assistants</v>
          </cell>
          <cell r="C510" t="str">
            <v>Line item</v>
          </cell>
          <cell r="D510">
            <v>65510</v>
          </cell>
          <cell r="E510">
            <v>111.5</v>
          </cell>
          <cell r="F510">
            <v>136</v>
          </cell>
          <cell r="G510">
            <v>24.5</v>
          </cell>
          <cell r="H510">
            <v>22</v>
          </cell>
          <cell r="I510">
            <v>19.8</v>
          </cell>
          <cell r="J510" t="str">
            <v>Associate's degree</v>
          </cell>
          <cell r="K510" t="str">
            <v>None</v>
          </cell>
          <cell r="L510" t="str">
            <v>None</v>
          </cell>
          <cell r="M510" t="str">
            <v>OOH Content</v>
          </cell>
        </row>
        <row r="511">
          <cell r="A511" t="str">
            <v>31-2022</v>
          </cell>
          <cell r="B511" t="str">
            <v xml:space="preserve">        Physical therapist aides</v>
          </cell>
          <cell r="C511" t="str">
            <v>Line item</v>
          </cell>
          <cell r="D511">
            <v>34520</v>
          </cell>
          <cell r="E511">
            <v>45.6</v>
          </cell>
          <cell r="F511">
            <v>46.9</v>
          </cell>
          <cell r="G511">
            <v>1.3</v>
          </cell>
          <cell r="H511">
            <v>2.8</v>
          </cell>
          <cell r="I511">
            <v>6.6</v>
          </cell>
          <cell r="J511" t="str">
            <v>High school diploma or equivalent</v>
          </cell>
          <cell r="K511" t="str">
            <v>None</v>
          </cell>
          <cell r="L511" t="str">
            <v>Short-term on-the-job training</v>
          </cell>
          <cell r="M511" t="str">
            <v>OOH Content</v>
          </cell>
        </row>
        <row r="512">
          <cell r="A512" t="str">
            <v>31-9000</v>
          </cell>
          <cell r="B512" t="str">
            <v xml:space="preserve">    Other healthcare support occupations</v>
          </cell>
          <cell r="C512" t="str">
            <v>Summary</v>
          </cell>
          <cell r="D512">
            <v>45000</v>
          </cell>
          <cell r="E512">
            <v>1889.7</v>
          </cell>
          <cell r="F512">
            <v>2068.5</v>
          </cell>
          <cell r="G512">
            <v>178.8</v>
          </cell>
          <cell r="H512">
            <v>9.5</v>
          </cell>
          <cell r="I512">
            <v>269.39999999999998</v>
          </cell>
          <cell r="J512" t="str">
            <v>—</v>
          </cell>
          <cell r="K512" t="str">
            <v>—</v>
          </cell>
          <cell r="L512" t="str">
            <v>—</v>
          </cell>
          <cell r="M512" t="str">
            <v>—</v>
          </cell>
        </row>
        <row r="513">
          <cell r="A513" t="str">
            <v>31-9011</v>
          </cell>
          <cell r="B513" t="str">
            <v xml:space="preserve">      Massage therapists</v>
          </cell>
          <cell r="C513" t="str">
            <v>Line item</v>
          </cell>
          <cell r="D513">
            <v>57950</v>
          </cell>
          <cell r="E513">
            <v>168</v>
          </cell>
          <cell r="F513">
            <v>193.9</v>
          </cell>
          <cell r="G513">
            <v>25.9</v>
          </cell>
          <cell r="H513">
            <v>15.4</v>
          </cell>
          <cell r="I513">
            <v>24.7</v>
          </cell>
          <cell r="J513" t="str">
            <v>Postsecondary nondegree award</v>
          </cell>
          <cell r="K513" t="str">
            <v>None</v>
          </cell>
          <cell r="L513" t="str">
            <v>None</v>
          </cell>
          <cell r="M513" t="str">
            <v>OOH Content</v>
          </cell>
        </row>
        <row r="514">
          <cell r="A514" t="str">
            <v>31-9090</v>
          </cell>
          <cell r="B514" t="str">
            <v xml:space="preserve">      Miscellaneous healthcare support occupations</v>
          </cell>
          <cell r="C514" t="str">
            <v>Summary</v>
          </cell>
          <cell r="D514">
            <v>44720</v>
          </cell>
          <cell r="E514">
            <v>1721.7</v>
          </cell>
          <cell r="F514">
            <v>1874.6</v>
          </cell>
          <cell r="G514">
            <v>152.9</v>
          </cell>
          <cell r="H514">
            <v>8.9</v>
          </cell>
          <cell r="I514">
            <v>244.7</v>
          </cell>
          <cell r="J514" t="str">
            <v>—</v>
          </cell>
          <cell r="K514" t="str">
            <v>—</v>
          </cell>
          <cell r="L514" t="str">
            <v>—</v>
          </cell>
          <cell r="M514" t="str">
            <v>—</v>
          </cell>
        </row>
        <row r="515">
          <cell r="A515" t="str">
            <v>31-9091</v>
          </cell>
          <cell r="B515" t="str">
            <v xml:space="preserve">        Dental assistants</v>
          </cell>
          <cell r="C515" t="str">
            <v>Line item</v>
          </cell>
          <cell r="D515">
            <v>47300</v>
          </cell>
          <cell r="E515">
            <v>381.9</v>
          </cell>
          <cell r="F515">
            <v>406.3</v>
          </cell>
          <cell r="G515">
            <v>24.4</v>
          </cell>
          <cell r="H515">
            <v>6.4</v>
          </cell>
          <cell r="I515">
            <v>52.9</v>
          </cell>
          <cell r="J515" t="str">
            <v>Postsecondary nondegree award</v>
          </cell>
          <cell r="K515" t="str">
            <v>None</v>
          </cell>
          <cell r="L515" t="str">
            <v>None</v>
          </cell>
          <cell r="M515" t="str">
            <v>OOH Content</v>
          </cell>
        </row>
        <row r="516">
          <cell r="A516" t="str">
            <v>31-9092</v>
          </cell>
          <cell r="B516" t="str">
            <v xml:space="preserve">        Medical assistants</v>
          </cell>
          <cell r="C516" t="str">
            <v>Line item</v>
          </cell>
          <cell r="D516">
            <v>44200</v>
          </cell>
          <cell r="E516">
            <v>811</v>
          </cell>
          <cell r="F516">
            <v>912.2</v>
          </cell>
          <cell r="G516">
            <v>101.2</v>
          </cell>
          <cell r="H516">
            <v>12.5</v>
          </cell>
          <cell r="I516">
            <v>112.3</v>
          </cell>
          <cell r="J516" t="str">
            <v>Postsecondary nondegree award</v>
          </cell>
          <cell r="K516" t="str">
            <v>None</v>
          </cell>
          <cell r="L516" t="str">
            <v>None</v>
          </cell>
          <cell r="M516" t="str">
            <v>OOH Content</v>
          </cell>
        </row>
        <row r="517">
          <cell r="A517" t="str">
            <v>31-9093</v>
          </cell>
          <cell r="B517" t="str">
            <v xml:space="preserve">        Medical equipment preparers</v>
          </cell>
          <cell r="C517" t="str">
            <v>Line item</v>
          </cell>
          <cell r="D517">
            <v>46490</v>
          </cell>
          <cell r="E517">
            <v>76.5</v>
          </cell>
          <cell r="F517">
            <v>84.2</v>
          </cell>
          <cell r="G517">
            <v>7.6</v>
          </cell>
          <cell r="H517">
            <v>10</v>
          </cell>
          <cell r="I517">
            <v>10.9</v>
          </cell>
          <cell r="J517" t="str">
            <v>High school diploma or equivalent</v>
          </cell>
          <cell r="K517" t="str">
            <v>None</v>
          </cell>
          <cell r="L517" t="str">
            <v>Moderate-term on-the-job training</v>
          </cell>
          <cell r="M517" t="str">
            <v>—</v>
          </cell>
        </row>
        <row r="518">
          <cell r="A518" t="str">
            <v>31-9094</v>
          </cell>
          <cell r="B518" t="str">
            <v xml:space="preserve">        Medical transcriptionists</v>
          </cell>
          <cell r="C518" t="str">
            <v>Line item</v>
          </cell>
          <cell r="D518">
            <v>37550</v>
          </cell>
          <cell r="E518">
            <v>43.9</v>
          </cell>
          <cell r="F518">
            <v>41.8</v>
          </cell>
          <cell r="G518">
            <v>-2.2000000000000002</v>
          </cell>
          <cell r="H518">
            <v>-4.9000000000000004</v>
          </cell>
          <cell r="I518">
            <v>7.4</v>
          </cell>
          <cell r="J518" t="str">
            <v>Postsecondary nondegree award</v>
          </cell>
          <cell r="K518" t="str">
            <v>None</v>
          </cell>
          <cell r="L518" t="str">
            <v>None</v>
          </cell>
          <cell r="M518" t="str">
            <v>OOH Content</v>
          </cell>
        </row>
        <row r="519">
          <cell r="A519" t="str">
            <v>31-9095</v>
          </cell>
          <cell r="B519" t="str">
            <v xml:space="preserve">        Pharmacy aides</v>
          </cell>
          <cell r="C519" t="str">
            <v>Line item</v>
          </cell>
          <cell r="D519">
            <v>37000</v>
          </cell>
          <cell r="E519">
            <v>41.1</v>
          </cell>
          <cell r="F519">
            <v>41.1</v>
          </cell>
          <cell r="G519">
            <v>-0.1</v>
          </cell>
          <cell r="H519">
            <v>-0.1</v>
          </cell>
          <cell r="I519">
            <v>6.1</v>
          </cell>
          <cell r="J519" t="str">
            <v>High school diploma or equivalent</v>
          </cell>
          <cell r="K519" t="str">
            <v>None</v>
          </cell>
          <cell r="L519" t="str">
            <v>Short-term on-the-job training</v>
          </cell>
          <cell r="M519" t="str">
            <v>—</v>
          </cell>
        </row>
        <row r="520">
          <cell r="A520" t="str">
            <v>31-9096</v>
          </cell>
          <cell r="B520" t="str">
            <v xml:space="preserve">        Veterinary assistants and laboratory animal caretakers</v>
          </cell>
          <cell r="C520" t="str">
            <v>Line item</v>
          </cell>
          <cell r="D520">
            <v>37320</v>
          </cell>
          <cell r="E520">
            <v>117.8</v>
          </cell>
          <cell r="F520">
            <v>128.1</v>
          </cell>
          <cell r="G520">
            <v>10.3</v>
          </cell>
          <cell r="H520">
            <v>8.6999999999999993</v>
          </cell>
          <cell r="I520">
            <v>22.2</v>
          </cell>
          <cell r="J520" t="str">
            <v>High school diploma or equivalent</v>
          </cell>
          <cell r="K520" t="str">
            <v>None</v>
          </cell>
          <cell r="L520" t="str">
            <v>Short-term on-the-job training</v>
          </cell>
          <cell r="M520" t="str">
            <v>OOH Content</v>
          </cell>
        </row>
        <row r="521">
          <cell r="A521" t="str">
            <v>31-9097</v>
          </cell>
          <cell r="B521" t="str">
            <v xml:space="preserve">        Phlebotomists</v>
          </cell>
          <cell r="C521" t="str">
            <v>Line item</v>
          </cell>
          <cell r="D521">
            <v>43660</v>
          </cell>
          <cell r="E521">
            <v>139.69999999999999</v>
          </cell>
          <cell r="F521">
            <v>147.5</v>
          </cell>
          <cell r="G521">
            <v>7.9</v>
          </cell>
          <cell r="H521">
            <v>5.6</v>
          </cell>
          <cell r="I521">
            <v>18.399999999999999</v>
          </cell>
          <cell r="J521" t="str">
            <v>Postsecondary nondegree award</v>
          </cell>
          <cell r="K521" t="str">
            <v>None</v>
          </cell>
          <cell r="L521" t="str">
            <v>None</v>
          </cell>
          <cell r="M521" t="str">
            <v>OOH Content</v>
          </cell>
        </row>
        <row r="522">
          <cell r="A522" t="str">
            <v>31-9099</v>
          </cell>
          <cell r="B522" t="str">
            <v xml:space="preserve">        Healthcare support workers, all other</v>
          </cell>
          <cell r="C522" t="str">
            <v>Line item</v>
          </cell>
          <cell r="D522">
            <v>46050</v>
          </cell>
          <cell r="E522">
            <v>109.7</v>
          </cell>
          <cell r="F522">
            <v>113.5</v>
          </cell>
          <cell r="G522">
            <v>3.8</v>
          </cell>
          <cell r="H522">
            <v>3.5</v>
          </cell>
          <cell r="I522">
            <v>14.4</v>
          </cell>
          <cell r="J522" t="str">
            <v>High school diploma or equivalent</v>
          </cell>
          <cell r="K522" t="str">
            <v>None</v>
          </cell>
          <cell r="L522" t="str">
            <v>None</v>
          </cell>
          <cell r="M522" t="str">
            <v>—</v>
          </cell>
        </row>
        <row r="523">
          <cell r="A523" t="str">
            <v>33-0000</v>
          </cell>
          <cell r="B523" t="str">
            <v xml:space="preserve">  Protective service occupations</v>
          </cell>
          <cell r="C523" t="str">
            <v>Summary</v>
          </cell>
          <cell r="D523">
            <v>50580</v>
          </cell>
          <cell r="E523">
            <v>3787.4</v>
          </cell>
          <cell r="F523">
            <v>3816.6</v>
          </cell>
          <cell r="G523">
            <v>29.1</v>
          </cell>
          <cell r="H523">
            <v>0.8</v>
          </cell>
          <cell r="I523">
            <v>423.6</v>
          </cell>
          <cell r="J523" t="str">
            <v>—</v>
          </cell>
          <cell r="K523" t="str">
            <v>—</v>
          </cell>
          <cell r="L523" t="str">
            <v>—</v>
          </cell>
          <cell r="M523" t="str">
            <v>—</v>
          </cell>
        </row>
        <row r="524">
          <cell r="A524" t="str">
            <v>33-1000</v>
          </cell>
          <cell r="B524" t="str">
            <v xml:space="preserve">    Supervisors of protective service workers</v>
          </cell>
          <cell r="C524" t="str">
            <v>Summary</v>
          </cell>
          <cell r="D524">
            <v>87050</v>
          </cell>
          <cell r="E524">
            <v>408.4</v>
          </cell>
          <cell r="F524">
            <v>417.1</v>
          </cell>
          <cell r="G524">
            <v>8.6999999999999993</v>
          </cell>
          <cell r="H524">
            <v>2.1</v>
          </cell>
          <cell r="I524">
            <v>30.8</v>
          </cell>
          <cell r="J524" t="str">
            <v>—</v>
          </cell>
          <cell r="K524" t="str">
            <v>—</v>
          </cell>
          <cell r="L524" t="str">
            <v>—</v>
          </cell>
          <cell r="M524" t="str">
            <v>—</v>
          </cell>
        </row>
        <row r="525">
          <cell r="A525" t="str">
            <v>33-1010</v>
          </cell>
          <cell r="B525" t="str">
            <v xml:space="preserve">      First-line supervisors of law enforcement workers</v>
          </cell>
          <cell r="C525" t="str">
            <v>Summary</v>
          </cell>
          <cell r="D525">
            <v>99130</v>
          </cell>
          <cell r="E525">
            <v>217.9</v>
          </cell>
          <cell r="F525">
            <v>220.9</v>
          </cell>
          <cell r="G525">
            <v>3</v>
          </cell>
          <cell r="H525">
            <v>1.4</v>
          </cell>
          <cell r="I525">
            <v>15.2</v>
          </cell>
          <cell r="J525" t="str">
            <v>—</v>
          </cell>
          <cell r="K525" t="str">
            <v>—</v>
          </cell>
          <cell r="L525" t="str">
            <v>—</v>
          </cell>
          <cell r="M525" t="str">
            <v>—</v>
          </cell>
        </row>
        <row r="526">
          <cell r="A526" t="str">
            <v>33-1011</v>
          </cell>
          <cell r="B526" t="str">
            <v xml:space="preserve">        First-line supervisors of correctional officers</v>
          </cell>
          <cell r="C526" t="str">
            <v>Line item</v>
          </cell>
          <cell r="D526">
            <v>76310</v>
          </cell>
          <cell r="E526">
            <v>57.1</v>
          </cell>
          <cell r="F526">
            <v>55.5</v>
          </cell>
          <cell r="G526">
            <v>-1.6</v>
          </cell>
          <cell r="H526">
            <v>-2.8</v>
          </cell>
          <cell r="I526">
            <v>4.3</v>
          </cell>
          <cell r="J526" t="str">
            <v>High school diploma or equivalent</v>
          </cell>
          <cell r="K526" t="str">
            <v>Less than 5 years</v>
          </cell>
          <cell r="L526" t="str">
            <v>None</v>
          </cell>
          <cell r="M526" t="str">
            <v>—</v>
          </cell>
        </row>
        <row r="527">
          <cell r="A527" t="str">
            <v>33-1012</v>
          </cell>
          <cell r="B527" t="str">
            <v xml:space="preserve">        First-line supervisors of police and detectives</v>
          </cell>
          <cell r="C527" t="str">
            <v>Line item</v>
          </cell>
          <cell r="D527">
            <v>105980</v>
          </cell>
          <cell r="E527">
            <v>160.80000000000001</v>
          </cell>
          <cell r="F527">
            <v>165.4</v>
          </cell>
          <cell r="G527">
            <v>4.5999999999999996</v>
          </cell>
          <cell r="H527">
            <v>2.9</v>
          </cell>
          <cell r="I527">
            <v>10.9</v>
          </cell>
          <cell r="J527" t="str">
            <v>High school diploma or equivalent</v>
          </cell>
          <cell r="K527" t="str">
            <v>Less than 5 years</v>
          </cell>
          <cell r="L527" t="str">
            <v>Moderate-term on-the-job training</v>
          </cell>
          <cell r="M527" t="str">
            <v>—</v>
          </cell>
        </row>
        <row r="528">
          <cell r="A528" t="str">
            <v>33-1021</v>
          </cell>
          <cell r="B528" t="str">
            <v xml:space="preserve">      First-line supervisors of firefighting and prevention workers</v>
          </cell>
          <cell r="C528" t="str">
            <v>Line item</v>
          </cell>
          <cell r="D528">
            <v>92430</v>
          </cell>
          <cell r="E528">
            <v>97.2</v>
          </cell>
          <cell r="F528">
            <v>100.5</v>
          </cell>
          <cell r="G528">
            <v>3.4</v>
          </cell>
          <cell r="H528">
            <v>3.4</v>
          </cell>
          <cell r="I528">
            <v>6.5</v>
          </cell>
          <cell r="J528" t="str">
            <v>Postsecondary nondegree award</v>
          </cell>
          <cell r="K528" t="str">
            <v>Less than 5 years</v>
          </cell>
          <cell r="L528" t="str">
            <v>Moderate-term on-the-job training</v>
          </cell>
          <cell r="M528" t="str">
            <v>—</v>
          </cell>
        </row>
        <row r="529">
          <cell r="A529" t="str">
            <v>33-1090</v>
          </cell>
          <cell r="B529" t="str">
            <v xml:space="preserve">      Miscellaneous first-line supervisors, protective service workers</v>
          </cell>
          <cell r="C529" t="str">
            <v>Summary</v>
          </cell>
          <cell r="D529">
            <v>60190</v>
          </cell>
          <cell r="E529">
            <v>93.3</v>
          </cell>
          <cell r="F529">
            <v>95.6</v>
          </cell>
          <cell r="G529">
            <v>2.2999999999999998</v>
          </cell>
          <cell r="H529">
            <v>2.5</v>
          </cell>
          <cell r="I529">
            <v>9.1</v>
          </cell>
          <cell r="J529" t="str">
            <v>—</v>
          </cell>
          <cell r="K529" t="str">
            <v>—</v>
          </cell>
          <cell r="L529" t="str">
            <v>—</v>
          </cell>
          <cell r="M529" t="str">
            <v>—</v>
          </cell>
        </row>
        <row r="530">
          <cell r="A530" t="str">
            <v>33-1091</v>
          </cell>
          <cell r="B530" t="str">
            <v xml:space="preserve">        First-line supervisors of security workers</v>
          </cell>
          <cell r="C530" t="str">
            <v>Line item</v>
          </cell>
          <cell r="D530">
            <v>58610</v>
          </cell>
          <cell r="E530">
            <v>71.900000000000006</v>
          </cell>
          <cell r="F530">
            <v>73.8</v>
          </cell>
          <cell r="G530">
            <v>1.9</v>
          </cell>
          <cell r="H530">
            <v>2.7</v>
          </cell>
          <cell r="I530">
            <v>7</v>
          </cell>
          <cell r="J530" t="str">
            <v>High school diploma or equivalent</v>
          </cell>
          <cell r="K530" t="str">
            <v>Less than 5 years</v>
          </cell>
          <cell r="L530" t="str">
            <v>None</v>
          </cell>
          <cell r="M530" t="str">
            <v>—</v>
          </cell>
        </row>
        <row r="531">
          <cell r="A531" t="str">
            <v>33-1099</v>
          </cell>
          <cell r="B531" t="str">
            <v xml:space="preserve">        First-line supervisors of protective service workers, all other</v>
          </cell>
          <cell r="C531" t="str">
            <v>Line item</v>
          </cell>
          <cell r="D531">
            <v>74960</v>
          </cell>
          <cell r="E531">
            <v>21.5</v>
          </cell>
          <cell r="F531">
            <v>21.8</v>
          </cell>
          <cell r="G531">
            <v>0.3</v>
          </cell>
          <cell r="H531">
            <v>1.6</v>
          </cell>
          <cell r="I531">
            <v>2.1</v>
          </cell>
          <cell r="J531" t="str">
            <v>High school diploma or equivalent</v>
          </cell>
          <cell r="K531" t="str">
            <v>Less than 5 years</v>
          </cell>
          <cell r="L531" t="str">
            <v>None</v>
          </cell>
          <cell r="M531" t="str">
            <v>—</v>
          </cell>
        </row>
        <row r="532">
          <cell r="A532" t="str">
            <v>33-2000</v>
          </cell>
          <cell r="B532" t="str">
            <v xml:space="preserve">    Firefighting and prevention workers</v>
          </cell>
          <cell r="C532" t="str">
            <v>Summary</v>
          </cell>
          <cell r="D532">
            <v>59870</v>
          </cell>
          <cell r="E532">
            <v>362.5</v>
          </cell>
          <cell r="F532">
            <v>375.3</v>
          </cell>
          <cell r="G532">
            <v>12.8</v>
          </cell>
          <cell r="H532">
            <v>3.5</v>
          </cell>
          <cell r="I532">
            <v>28.9</v>
          </cell>
          <cell r="J532" t="str">
            <v>—</v>
          </cell>
          <cell r="K532" t="str">
            <v>—</v>
          </cell>
          <cell r="L532" t="str">
            <v>—</v>
          </cell>
          <cell r="M532" t="str">
            <v>—</v>
          </cell>
        </row>
        <row r="533">
          <cell r="A533" t="str">
            <v>33-2011</v>
          </cell>
          <cell r="B533" t="str">
            <v xml:space="preserve">      Firefighters</v>
          </cell>
          <cell r="C533" t="str">
            <v>Line item</v>
          </cell>
          <cell r="D533">
            <v>59530</v>
          </cell>
          <cell r="E533">
            <v>344.9</v>
          </cell>
          <cell r="F533">
            <v>356.7</v>
          </cell>
          <cell r="G533">
            <v>11.8</v>
          </cell>
          <cell r="H533">
            <v>3.4</v>
          </cell>
          <cell r="I533">
            <v>27.1</v>
          </cell>
          <cell r="J533" t="str">
            <v>Postsecondary nondegree award</v>
          </cell>
          <cell r="K533" t="str">
            <v>None</v>
          </cell>
          <cell r="L533" t="str">
            <v>Long-term on-the-job training</v>
          </cell>
          <cell r="M533" t="str">
            <v>OOH Content</v>
          </cell>
        </row>
        <row r="534">
          <cell r="A534" t="str">
            <v>33-2020</v>
          </cell>
          <cell r="B534" t="str">
            <v xml:space="preserve">      Fire inspectors</v>
          </cell>
          <cell r="C534" t="str">
            <v>Summary</v>
          </cell>
          <cell r="D534">
            <v>75480</v>
          </cell>
          <cell r="E534">
            <v>17.600000000000001</v>
          </cell>
          <cell r="F534">
            <v>18.600000000000001</v>
          </cell>
          <cell r="G534">
            <v>1</v>
          </cell>
          <cell r="H534">
            <v>5.6</v>
          </cell>
          <cell r="I534">
            <v>1.8</v>
          </cell>
          <cell r="J534" t="str">
            <v>—</v>
          </cell>
          <cell r="K534" t="str">
            <v>—</v>
          </cell>
          <cell r="L534" t="str">
            <v>—</v>
          </cell>
          <cell r="M534" t="str">
            <v>—</v>
          </cell>
        </row>
        <row r="535">
          <cell r="A535" t="str">
            <v>33-2021</v>
          </cell>
          <cell r="B535" t="str">
            <v xml:space="preserve">        Fire inspectors and investigators</v>
          </cell>
          <cell r="C535" t="str">
            <v>Line item</v>
          </cell>
          <cell r="D535">
            <v>78060</v>
          </cell>
          <cell r="E535">
            <v>14.7</v>
          </cell>
          <cell r="F535">
            <v>15.2</v>
          </cell>
          <cell r="G535">
            <v>0.6</v>
          </cell>
          <cell r="H535">
            <v>3.8</v>
          </cell>
          <cell r="I535">
            <v>1.5</v>
          </cell>
          <cell r="J535" t="str">
            <v>Postsecondary nondegree award</v>
          </cell>
          <cell r="K535" t="str">
            <v>5 years or more</v>
          </cell>
          <cell r="L535" t="str">
            <v>Moderate-term on-the-job training</v>
          </cell>
          <cell r="M535" t="str">
            <v>OOH Content</v>
          </cell>
        </row>
        <row r="536">
          <cell r="A536" t="str">
            <v>33-2022</v>
          </cell>
          <cell r="B536" t="str">
            <v xml:space="preserve">        Forest fire inspectors and prevention specialists</v>
          </cell>
          <cell r="C536" t="str">
            <v>Line item</v>
          </cell>
          <cell r="D536">
            <v>52380</v>
          </cell>
          <cell r="E536">
            <v>2.9</v>
          </cell>
          <cell r="F536">
            <v>3.3</v>
          </cell>
          <cell r="G536">
            <v>0.4</v>
          </cell>
          <cell r="H536">
            <v>14.6</v>
          </cell>
          <cell r="I536">
            <v>0.3</v>
          </cell>
          <cell r="J536" t="str">
            <v>High school diploma or equivalent</v>
          </cell>
          <cell r="K536" t="str">
            <v>Less than 5 years</v>
          </cell>
          <cell r="L536" t="str">
            <v>Moderate-term on-the-job training</v>
          </cell>
          <cell r="M536" t="str">
            <v>OOH Content</v>
          </cell>
        </row>
        <row r="537">
          <cell r="A537" t="str">
            <v>33-3000</v>
          </cell>
          <cell r="B537" t="str">
            <v xml:space="preserve">    Law enforcement workers</v>
          </cell>
          <cell r="C537" t="str">
            <v>Summary</v>
          </cell>
          <cell r="D537">
            <v>70530</v>
          </cell>
          <cell r="E537">
            <v>1241.5999999999999</v>
          </cell>
          <cell r="F537">
            <v>1232</v>
          </cell>
          <cell r="G537">
            <v>-9.6999999999999993</v>
          </cell>
          <cell r="H537">
            <v>-0.8</v>
          </cell>
          <cell r="I537">
            <v>94.8</v>
          </cell>
          <cell r="J537" t="str">
            <v>—</v>
          </cell>
          <cell r="K537" t="str">
            <v>—</v>
          </cell>
          <cell r="L537" t="str">
            <v>—</v>
          </cell>
          <cell r="M537" t="str">
            <v>—</v>
          </cell>
        </row>
        <row r="538">
          <cell r="A538" t="str">
            <v>33-3010</v>
          </cell>
          <cell r="B538" t="str">
            <v xml:space="preserve">      Bailiffs, correctional officers, and jailers</v>
          </cell>
          <cell r="C538" t="str">
            <v>Summary</v>
          </cell>
          <cell r="D538">
            <v>57950</v>
          </cell>
          <cell r="E538">
            <v>406.5</v>
          </cell>
          <cell r="F538">
            <v>376</v>
          </cell>
          <cell r="G538">
            <v>-30.5</v>
          </cell>
          <cell r="H538">
            <v>-7.5</v>
          </cell>
          <cell r="I538">
            <v>31.9</v>
          </cell>
          <cell r="J538" t="str">
            <v>—</v>
          </cell>
          <cell r="K538" t="str">
            <v>—</v>
          </cell>
          <cell r="L538" t="str">
            <v>—</v>
          </cell>
          <cell r="M538" t="str">
            <v>—</v>
          </cell>
        </row>
        <row r="539">
          <cell r="A539" t="str">
            <v>33-3011</v>
          </cell>
          <cell r="B539" t="str">
            <v xml:space="preserve">        Bailiffs</v>
          </cell>
          <cell r="C539" t="str">
            <v>Line item</v>
          </cell>
          <cell r="D539">
            <v>57050</v>
          </cell>
          <cell r="E539">
            <v>19</v>
          </cell>
          <cell r="F539">
            <v>18.600000000000001</v>
          </cell>
          <cell r="G539">
            <v>-0.4</v>
          </cell>
          <cell r="H539">
            <v>-2.2000000000000002</v>
          </cell>
          <cell r="I539">
            <v>1.8</v>
          </cell>
          <cell r="J539" t="str">
            <v>High school diploma or equivalent</v>
          </cell>
          <cell r="K539" t="str">
            <v>None</v>
          </cell>
          <cell r="L539" t="str">
            <v>Moderate-term on-the-job training</v>
          </cell>
          <cell r="M539" t="str">
            <v>OOH Content</v>
          </cell>
        </row>
        <row r="540">
          <cell r="A540" t="str">
            <v>33-3012</v>
          </cell>
          <cell r="B540" t="str">
            <v xml:space="preserve">        Correctional officers and jailers</v>
          </cell>
          <cell r="C540" t="str">
            <v>Line item</v>
          </cell>
          <cell r="D540">
            <v>57970</v>
          </cell>
          <cell r="E540">
            <v>387.5</v>
          </cell>
          <cell r="F540">
            <v>357.4</v>
          </cell>
          <cell r="G540">
            <v>-30.1</v>
          </cell>
          <cell r="H540">
            <v>-7.8</v>
          </cell>
          <cell r="I540">
            <v>30.1</v>
          </cell>
          <cell r="J540" t="str">
            <v>High school diploma or equivalent</v>
          </cell>
          <cell r="K540" t="str">
            <v>None</v>
          </cell>
          <cell r="L540" t="str">
            <v>Moderate-term on-the-job training</v>
          </cell>
          <cell r="M540" t="str">
            <v>OOH Content</v>
          </cell>
        </row>
        <row r="541">
          <cell r="A541" t="str">
            <v>33-3021</v>
          </cell>
          <cell r="B541" t="str">
            <v xml:space="preserve">      Detectives and criminal investigators</v>
          </cell>
          <cell r="C541" t="str">
            <v>Line item</v>
          </cell>
          <cell r="D541">
            <v>93580</v>
          </cell>
          <cell r="E541">
            <v>117.9</v>
          </cell>
          <cell r="F541">
            <v>117.1</v>
          </cell>
          <cell r="G541">
            <v>-0.8</v>
          </cell>
          <cell r="H541">
            <v>-0.7</v>
          </cell>
          <cell r="I541">
            <v>7.8</v>
          </cell>
          <cell r="J541" t="str">
            <v>High school diploma or equivalent</v>
          </cell>
          <cell r="K541" t="str">
            <v>Less than 5 years</v>
          </cell>
          <cell r="L541" t="str">
            <v>Moderate-term on-the-job training</v>
          </cell>
          <cell r="M541" t="str">
            <v>OOH Content</v>
          </cell>
        </row>
        <row r="542">
          <cell r="A542" t="str">
            <v>33-3031</v>
          </cell>
          <cell r="B542" t="str">
            <v xml:space="preserve">      Fish and game wardens</v>
          </cell>
          <cell r="C542" t="str">
            <v>Line item</v>
          </cell>
          <cell r="D542">
            <v>68180</v>
          </cell>
          <cell r="E542">
            <v>7</v>
          </cell>
          <cell r="F542">
            <v>6.6</v>
          </cell>
          <cell r="G542">
            <v>-0.4</v>
          </cell>
          <cell r="H542">
            <v>-6</v>
          </cell>
          <cell r="I542">
            <v>0.5</v>
          </cell>
          <cell r="J542" t="str">
            <v>Bachelor's degree</v>
          </cell>
          <cell r="K542" t="str">
            <v>None</v>
          </cell>
          <cell r="L542" t="str">
            <v>Moderate-term on-the-job training</v>
          </cell>
          <cell r="M542" t="str">
            <v>OOH Content</v>
          </cell>
        </row>
        <row r="543">
          <cell r="A543" t="str">
            <v>33-3041</v>
          </cell>
          <cell r="B543" t="str">
            <v xml:space="preserve">      Parking enforcement workers</v>
          </cell>
          <cell r="C543" t="str">
            <v>Line item</v>
          </cell>
          <cell r="D543">
            <v>47150</v>
          </cell>
          <cell r="E543">
            <v>8.4</v>
          </cell>
          <cell r="F543">
            <v>8.1999999999999993</v>
          </cell>
          <cell r="G543">
            <v>-0.1</v>
          </cell>
          <cell r="H543">
            <v>-1.5</v>
          </cell>
          <cell r="I543">
            <v>0.7</v>
          </cell>
          <cell r="J543" t="str">
            <v>High school diploma or equivalent</v>
          </cell>
          <cell r="K543" t="str">
            <v>None</v>
          </cell>
          <cell r="L543" t="str">
            <v>Short-term on-the-job training</v>
          </cell>
          <cell r="M543" t="str">
            <v>—</v>
          </cell>
        </row>
        <row r="544">
          <cell r="A544" t="str">
            <v>33-3050</v>
          </cell>
          <cell r="B544" t="str">
            <v xml:space="preserve">      Police officers</v>
          </cell>
          <cell r="C544" t="str">
            <v>Summary</v>
          </cell>
          <cell r="D544">
            <v>76300</v>
          </cell>
          <cell r="E544">
            <v>701.9</v>
          </cell>
          <cell r="F544">
            <v>724</v>
          </cell>
          <cell r="G544">
            <v>22.1</v>
          </cell>
          <cell r="H544">
            <v>3.1</v>
          </cell>
          <cell r="I544">
            <v>53.9</v>
          </cell>
          <cell r="J544" t="str">
            <v>—</v>
          </cell>
          <cell r="K544" t="str">
            <v>—</v>
          </cell>
          <cell r="L544" t="str">
            <v>—</v>
          </cell>
          <cell r="M544" t="str">
            <v>—</v>
          </cell>
        </row>
        <row r="545">
          <cell r="A545" t="str">
            <v>33-3051</v>
          </cell>
          <cell r="B545" t="str">
            <v xml:space="preserve">        Police and sheriff's patrol officers</v>
          </cell>
          <cell r="C545" t="str">
            <v>Line item</v>
          </cell>
          <cell r="D545">
            <v>76290</v>
          </cell>
          <cell r="E545">
            <v>698.8</v>
          </cell>
          <cell r="F545">
            <v>720.8</v>
          </cell>
          <cell r="G545">
            <v>22</v>
          </cell>
          <cell r="H545">
            <v>3.1</v>
          </cell>
          <cell r="I545">
            <v>53.7</v>
          </cell>
          <cell r="J545" t="str">
            <v>High school diploma or equivalent</v>
          </cell>
          <cell r="K545" t="str">
            <v>None</v>
          </cell>
          <cell r="L545" t="str">
            <v>Moderate-term on-the-job training</v>
          </cell>
          <cell r="M545" t="str">
            <v>OOH Content</v>
          </cell>
        </row>
        <row r="546">
          <cell r="A546" t="str">
            <v>33-3052</v>
          </cell>
          <cell r="B546" t="str">
            <v xml:space="preserve">        Transit and railroad police</v>
          </cell>
          <cell r="C546" t="str">
            <v>Line item</v>
          </cell>
          <cell r="D546">
            <v>82320</v>
          </cell>
          <cell r="E546">
            <v>3.1</v>
          </cell>
          <cell r="F546">
            <v>3.2</v>
          </cell>
          <cell r="G546">
            <v>0.1</v>
          </cell>
          <cell r="H546">
            <v>3</v>
          </cell>
          <cell r="I546">
            <v>0.2</v>
          </cell>
          <cell r="J546" t="str">
            <v>High school diploma or equivalent</v>
          </cell>
          <cell r="K546" t="str">
            <v>None</v>
          </cell>
          <cell r="L546" t="str">
            <v>Moderate-term on-the-job training</v>
          </cell>
          <cell r="M546" t="str">
            <v>OOH Content</v>
          </cell>
        </row>
        <row r="547">
          <cell r="A547" t="str">
            <v>33-9000</v>
          </cell>
          <cell r="B547" t="str">
            <v xml:space="preserve">    Other protective service workers</v>
          </cell>
          <cell r="C547" t="str">
            <v>Summary</v>
          </cell>
          <cell r="D547">
            <v>38230</v>
          </cell>
          <cell r="E547">
            <v>1774.8</v>
          </cell>
          <cell r="F547">
            <v>1792.2</v>
          </cell>
          <cell r="G547">
            <v>17.399999999999999</v>
          </cell>
          <cell r="H547">
            <v>1</v>
          </cell>
          <cell r="I547">
            <v>269</v>
          </cell>
          <cell r="J547" t="str">
            <v>—</v>
          </cell>
          <cell r="K547" t="str">
            <v>—</v>
          </cell>
          <cell r="L547" t="str">
            <v>—</v>
          </cell>
          <cell r="M547" t="str">
            <v>—</v>
          </cell>
        </row>
        <row r="548">
          <cell r="A548" t="str">
            <v>33-9011</v>
          </cell>
          <cell r="B548" t="str">
            <v xml:space="preserve">      Animal control workers</v>
          </cell>
          <cell r="C548" t="str">
            <v>Line item</v>
          </cell>
          <cell r="D548">
            <v>45830</v>
          </cell>
          <cell r="E548">
            <v>12.2</v>
          </cell>
          <cell r="F548">
            <v>12.7</v>
          </cell>
          <cell r="G548">
            <v>0.5</v>
          </cell>
          <cell r="H548">
            <v>3.9</v>
          </cell>
          <cell r="I548">
            <v>1.3</v>
          </cell>
          <cell r="J548" t="str">
            <v>High school diploma or equivalent</v>
          </cell>
          <cell r="K548" t="str">
            <v>None</v>
          </cell>
          <cell r="L548" t="str">
            <v>Moderate-term on-the-job training</v>
          </cell>
          <cell r="M548" t="str">
            <v>—</v>
          </cell>
        </row>
        <row r="549">
          <cell r="A549" t="str">
            <v>33-9021</v>
          </cell>
          <cell r="B549" t="str">
            <v xml:space="preserve">      Private detectives and investigators</v>
          </cell>
          <cell r="C549" t="str">
            <v>Line item</v>
          </cell>
          <cell r="D549">
            <v>52370</v>
          </cell>
          <cell r="E549">
            <v>43.6</v>
          </cell>
          <cell r="F549">
            <v>46.2</v>
          </cell>
          <cell r="G549">
            <v>2.6</v>
          </cell>
          <cell r="H549">
            <v>6</v>
          </cell>
          <cell r="I549">
            <v>3.9</v>
          </cell>
          <cell r="J549" t="str">
            <v>High school diploma or equivalent</v>
          </cell>
          <cell r="K549" t="str">
            <v>Less than 5 years</v>
          </cell>
          <cell r="L549" t="str">
            <v>Moderate-term on-the-job training</v>
          </cell>
          <cell r="M549" t="str">
            <v>OOH Content</v>
          </cell>
        </row>
        <row r="550">
          <cell r="A550" t="str">
            <v>33-9030</v>
          </cell>
          <cell r="B550" t="str">
            <v xml:space="preserve">      Security guards and gambling surveillance officers</v>
          </cell>
          <cell r="C550" t="str">
            <v>Summary</v>
          </cell>
          <cell r="D550">
            <v>38390</v>
          </cell>
          <cell r="E550">
            <v>1272.4000000000001</v>
          </cell>
          <cell r="F550">
            <v>1277.5</v>
          </cell>
          <cell r="G550">
            <v>5.0999999999999996</v>
          </cell>
          <cell r="H550">
            <v>0.4</v>
          </cell>
          <cell r="I550">
            <v>162.30000000000001</v>
          </cell>
          <cell r="J550" t="str">
            <v>—</v>
          </cell>
          <cell r="K550" t="str">
            <v>—</v>
          </cell>
          <cell r="L550" t="str">
            <v>—</v>
          </cell>
          <cell r="M550" t="str">
            <v>—</v>
          </cell>
        </row>
        <row r="551">
          <cell r="A551" t="str">
            <v>33-9031</v>
          </cell>
          <cell r="B551" t="str">
            <v xml:space="preserve">        Gambling surveillance officers and gambling investigators</v>
          </cell>
          <cell r="C551" t="str">
            <v>Line item</v>
          </cell>
          <cell r="D551">
            <v>43900</v>
          </cell>
          <cell r="E551">
            <v>10.3</v>
          </cell>
          <cell r="F551">
            <v>10.3</v>
          </cell>
          <cell r="G551">
            <v>0</v>
          </cell>
          <cell r="H551">
            <v>0.3</v>
          </cell>
          <cell r="I551">
            <v>1.3</v>
          </cell>
          <cell r="J551" t="str">
            <v>High school diploma or equivalent</v>
          </cell>
          <cell r="K551" t="str">
            <v>Less than 5 years</v>
          </cell>
          <cell r="L551" t="str">
            <v>Moderate-term on-the-job training</v>
          </cell>
          <cell r="M551" t="str">
            <v>OOH Content</v>
          </cell>
        </row>
        <row r="552">
          <cell r="A552" t="str">
            <v>33-9032</v>
          </cell>
          <cell r="B552" t="str">
            <v xml:space="preserve">        Security guards</v>
          </cell>
          <cell r="C552" t="str">
            <v>Line item</v>
          </cell>
          <cell r="D552">
            <v>38370</v>
          </cell>
          <cell r="E552">
            <v>1262.0999999999999</v>
          </cell>
          <cell r="F552">
            <v>1267.0999999999999</v>
          </cell>
          <cell r="G552">
            <v>5.0999999999999996</v>
          </cell>
          <cell r="H552">
            <v>0.4</v>
          </cell>
          <cell r="I552">
            <v>161</v>
          </cell>
          <cell r="J552" t="str">
            <v>High school diploma or equivalent</v>
          </cell>
          <cell r="K552" t="str">
            <v>None</v>
          </cell>
          <cell r="L552" t="str">
            <v>Short-term on-the-job training</v>
          </cell>
          <cell r="M552" t="str">
            <v>OOH Content</v>
          </cell>
        </row>
        <row r="553">
          <cell r="A553" t="str">
            <v>33-9090</v>
          </cell>
          <cell r="B553" t="str">
            <v xml:space="preserve">      Miscellaneous protective service workers</v>
          </cell>
          <cell r="C553" t="str">
            <v>Summary</v>
          </cell>
          <cell r="D553">
            <v>37120</v>
          </cell>
          <cell r="E553">
            <v>446.6</v>
          </cell>
          <cell r="F553">
            <v>455.8</v>
          </cell>
          <cell r="G553">
            <v>9.1999999999999993</v>
          </cell>
          <cell r="H553">
            <v>2.1</v>
          </cell>
          <cell r="I553">
            <v>101.4</v>
          </cell>
          <cell r="J553" t="str">
            <v>—</v>
          </cell>
          <cell r="K553" t="str">
            <v>—</v>
          </cell>
          <cell r="L553" t="str">
            <v>—</v>
          </cell>
          <cell r="M553" t="str">
            <v>—</v>
          </cell>
        </row>
        <row r="554">
          <cell r="A554" t="str">
            <v>33-9091</v>
          </cell>
          <cell r="B554" t="str">
            <v xml:space="preserve">        Crossing guards and flaggers</v>
          </cell>
          <cell r="C554" t="str">
            <v>Line item</v>
          </cell>
          <cell r="D554">
            <v>37700</v>
          </cell>
          <cell r="E554">
            <v>91.4</v>
          </cell>
          <cell r="F554">
            <v>94.7</v>
          </cell>
          <cell r="G554">
            <v>3.3</v>
          </cell>
          <cell r="H554">
            <v>3.6</v>
          </cell>
          <cell r="I554">
            <v>18</v>
          </cell>
          <cell r="J554" t="str">
            <v>No formal educational credential</v>
          </cell>
          <cell r="K554" t="str">
            <v>None</v>
          </cell>
          <cell r="L554" t="str">
            <v>Short-term on-the-job training</v>
          </cell>
          <cell r="M554" t="str">
            <v>—</v>
          </cell>
        </row>
        <row r="555">
          <cell r="A555" t="str">
            <v>33-9092</v>
          </cell>
          <cell r="B555" t="str">
            <v xml:space="preserve">        Lifeguards, ski patrol, and other recreational protective service workers</v>
          </cell>
          <cell r="C555" t="str">
            <v>Line item</v>
          </cell>
          <cell r="D555">
            <v>33720</v>
          </cell>
          <cell r="E555">
            <v>149.69999999999999</v>
          </cell>
          <cell r="F555">
            <v>158.4</v>
          </cell>
          <cell r="G555">
            <v>8.6999999999999993</v>
          </cell>
          <cell r="H555">
            <v>5.8</v>
          </cell>
          <cell r="I555">
            <v>42.7</v>
          </cell>
          <cell r="J555" t="str">
            <v>No formal educational credential</v>
          </cell>
          <cell r="K555" t="str">
            <v>None</v>
          </cell>
          <cell r="L555" t="str">
            <v>Short-term on-the-job training</v>
          </cell>
          <cell r="M555" t="str">
            <v>—</v>
          </cell>
        </row>
        <row r="556">
          <cell r="A556" t="str">
            <v>33-9093</v>
          </cell>
          <cell r="B556" t="str">
            <v xml:space="preserve">        Transportation security screeners</v>
          </cell>
          <cell r="C556" t="str">
            <v>Line item</v>
          </cell>
          <cell r="D556">
            <v>63360</v>
          </cell>
          <cell r="E556">
            <v>50.1</v>
          </cell>
          <cell r="F556">
            <v>47.1</v>
          </cell>
          <cell r="G556">
            <v>-3</v>
          </cell>
          <cell r="H556">
            <v>-6</v>
          </cell>
          <cell r="I556">
            <v>4.7</v>
          </cell>
          <cell r="J556" t="str">
            <v>High school diploma or equivalent</v>
          </cell>
          <cell r="K556" t="str">
            <v>None</v>
          </cell>
          <cell r="L556" t="str">
            <v>Short-term on-the-job training</v>
          </cell>
          <cell r="M556" t="str">
            <v>—</v>
          </cell>
        </row>
        <row r="557">
          <cell r="A557" t="str">
            <v>33-9094</v>
          </cell>
          <cell r="B557" t="str">
            <v xml:space="preserve">        School bus monitors</v>
          </cell>
          <cell r="C557" t="str">
            <v>Line item</v>
          </cell>
          <cell r="D557">
            <v>34980</v>
          </cell>
          <cell r="E557">
            <v>71.400000000000006</v>
          </cell>
          <cell r="F557">
            <v>69.5</v>
          </cell>
          <cell r="G557">
            <v>-2</v>
          </cell>
          <cell r="H557">
            <v>-2.7</v>
          </cell>
          <cell r="I557">
            <v>12.6</v>
          </cell>
          <cell r="J557" t="str">
            <v>High school diploma or equivalent</v>
          </cell>
          <cell r="K557" t="str">
            <v>None</v>
          </cell>
          <cell r="L557" t="str">
            <v>Short-term on-the-job training</v>
          </cell>
          <cell r="M557" t="str">
            <v>—</v>
          </cell>
        </row>
        <row r="558">
          <cell r="A558" t="str">
            <v>33-9099</v>
          </cell>
          <cell r="B558" t="str">
            <v xml:space="preserve">        Protective service workers, all other</v>
          </cell>
          <cell r="C558" t="str">
            <v>Line item</v>
          </cell>
          <cell r="D558">
            <v>41600</v>
          </cell>
          <cell r="E558">
            <v>84</v>
          </cell>
          <cell r="F558">
            <v>86.1</v>
          </cell>
          <cell r="G558">
            <v>2.1</v>
          </cell>
          <cell r="H558">
            <v>2.5</v>
          </cell>
          <cell r="I558">
            <v>23.3</v>
          </cell>
          <cell r="J558" t="str">
            <v>High school diploma or equivalent</v>
          </cell>
          <cell r="K558" t="str">
            <v>None</v>
          </cell>
          <cell r="L558" t="str">
            <v>Short-term on-the-job training</v>
          </cell>
          <cell r="M558" t="str">
            <v>—</v>
          </cell>
        </row>
        <row r="559">
          <cell r="A559" t="str">
            <v>35-0000</v>
          </cell>
          <cell r="B559" t="str">
            <v xml:space="preserve">  Food preparation and serving related occupations</v>
          </cell>
          <cell r="C559" t="str">
            <v>Summary</v>
          </cell>
          <cell r="D559">
            <v>34130</v>
          </cell>
          <cell r="E559">
            <v>13805.3</v>
          </cell>
          <cell r="F559">
            <v>14295.3</v>
          </cell>
          <cell r="G559">
            <v>489.9</v>
          </cell>
          <cell r="H559">
            <v>3.5</v>
          </cell>
          <cell r="I559">
            <v>2625.8</v>
          </cell>
          <cell r="J559" t="str">
            <v>—</v>
          </cell>
          <cell r="K559" t="str">
            <v>—</v>
          </cell>
          <cell r="L559" t="str">
            <v>—</v>
          </cell>
          <cell r="M559" t="str">
            <v>—</v>
          </cell>
        </row>
        <row r="560">
          <cell r="A560" t="str">
            <v>35-1000</v>
          </cell>
          <cell r="B560" t="str">
            <v xml:space="preserve">    Supervisors of food preparation and serving workers</v>
          </cell>
          <cell r="C560" t="str">
            <v>Summary</v>
          </cell>
          <cell r="D560">
            <v>44140</v>
          </cell>
          <cell r="E560">
            <v>1412.3</v>
          </cell>
          <cell r="F560">
            <v>1499.3</v>
          </cell>
          <cell r="G560">
            <v>87</v>
          </cell>
          <cell r="H560">
            <v>6.2</v>
          </cell>
          <cell r="I560">
            <v>208.3</v>
          </cell>
          <cell r="J560" t="str">
            <v>—</v>
          </cell>
          <cell r="K560" t="str">
            <v>—</v>
          </cell>
          <cell r="L560" t="str">
            <v>—</v>
          </cell>
          <cell r="M560" t="str">
            <v>—</v>
          </cell>
        </row>
        <row r="561">
          <cell r="A561" t="str">
            <v>35-1011</v>
          </cell>
          <cell r="B561" t="str">
            <v xml:space="preserve">      Chefs and head cooks</v>
          </cell>
          <cell r="C561" t="str">
            <v>Line item</v>
          </cell>
          <cell r="D561">
            <v>60990</v>
          </cell>
          <cell r="E561">
            <v>197.3</v>
          </cell>
          <cell r="F561">
            <v>211.3</v>
          </cell>
          <cell r="G561">
            <v>14</v>
          </cell>
          <cell r="H561">
            <v>7.1</v>
          </cell>
          <cell r="I561">
            <v>24.4</v>
          </cell>
          <cell r="J561" t="str">
            <v>High school diploma or equivalent</v>
          </cell>
          <cell r="K561" t="str">
            <v>5 years or more</v>
          </cell>
          <cell r="L561" t="str">
            <v>None</v>
          </cell>
          <cell r="M561" t="str">
            <v>OOH Content</v>
          </cell>
        </row>
        <row r="562">
          <cell r="A562" t="str">
            <v>35-1012</v>
          </cell>
          <cell r="B562" t="str">
            <v xml:space="preserve">      First-line supervisors of food preparation and serving workers</v>
          </cell>
          <cell r="C562" t="str">
            <v>Line item</v>
          </cell>
          <cell r="D562">
            <v>42010</v>
          </cell>
          <cell r="E562">
            <v>1215</v>
          </cell>
          <cell r="F562">
            <v>1288</v>
          </cell>
          <cell r="G562">
            <v>73</v>
          </cell>
          <cell r="H562">
            <v>6</v>
          </cell>
          <cell r="I562">
            <v>183.9</v>
          </cell>
          <cell r="J562" t="str">
            <v>High school diploma or equivalent</v>
          </cell>
          <cell r="K562" t="str">
            <v>Less than 5 years</v>
          </cell>
          <cell r="L562" t="str">
            <v>None</v>
          </cell>
          <cell r="M562" t="str">
            <v>—</v>
          </cell>
        </row>
        <row r="563">
          <cell r="A563" t="str">
            <v>35-2000</v>
          </cell>
          <cell r="B563" t="str">
            <v xml:space="preserve">    Cooks and food preparation workers</v>
          </cell>
          <cell r="C563" t="str">
            <v>Summary</v>
          </cell>
          <cell r="D563">
            <v>35450</v>
          </cell>
          <cell r="E563">
            <v>3707.8</v>
          </cell>
          <cell r="F563">
            <v>3807.5</v>
          </cell>
          <cell r="G563">
            <v>99.7</v>
          </cell>
          <cell r="H563">
            <v>2.7</v>
          </cell>
          <cell r="I563">
            <v>580.20000000000005</v>
          </cell>
          <cell r="J563" t="str">
            <v>—</v>
          </cell>
          <cell r="K563" t="str">
            <v>—</v>
          </cell>
          <cell r="L563" t="str">
            <v>—</v>
          </cell>
          <cell r="M563" t="str">
            <v>—</v>
          </cell>
        </row>
        <row r="564">
          <cell r="A564" t="str">
            <v>35-2010</v>
          </cell>
          <cell r="B564" t="str">
            <v xml:space="preserve">      Cooks</v>
          </cell>
          <cell r="C564" t="str">
            <v>Summary</v>
          </cell>
          <cell r="D564">
            <v>35760</v>
          </cell>
          <cell r="E564">
            <v>2805.1</v>
          </cell>
          <cell r="F564">
            <v>2935.7</v>
          </cell>
          <cell r="G564">
            <v>130.6</v>
          </cell>
          <cell r="H564">
            <v>4.7</v>
          </cell>
          <cell r="I564">
            <v>432.2</v>
          </cell>
          <cell r="J564" t="str">
            <v>—</v>
          </cell>
          <cell r="K564" t="str">
            <v>—</v>
          </cell>
          <cell r="L564" t="str">
            <v>—</v>
          </cell>
          <cell r="M564" t="str">
            <v>—</v>
          </cell>
        </row>
        <row r="565">
          <cell r="A565" t="str">
            <v>35-2011</v>
          </cell>
          <cell r="B565" t="str">
            <v xml:space="preserve">        Cooks, fast food</v>
          </cell>
          <cell r="C565" t="str">
            <v>Line item</v>
          </cell>
          <cell r="D565">
            <v>30160</v>
          </cell>
          <cell r="E565">
            <v>669.5</v>
          </cell>
          <cell r="F565">
            <v>579.20000000000005</v>
          </cell>
          <cell r="G565">
            <v>-90.3</v>
          </cell>
          <cell r="H565">
            <v>-13.5</v>
          </cell>
          <cell r="I565">
            <v>82.1</v>
          </cell>
          <cell r="J565" t="str">
            <v>No formal educational credential</v>
          </cell>
          <cell r="K565" t="str">
            <v>None</v>
          </cell>
          <cell r="L565" t="str">
            <v>Short-term on-the-job training</v>
          </cell>
          <cell r="M565" t="str">
            <v>OOH Content</v>
          </cell>
        </row>
        <row r="566">
          <cell r="A566" t="str">
            <v>35-2012</v>
          </cell>
          <cell r="B566" t="str">
            <v xml:space="preserve">        Cooks, institution and cafeteria</v>
          </cell>
          <cell r="C566" t="str">
            <v>Line item</v>
          </cell>
          <cell r="D566">
            <v>36450</v>
          </cell>
          <cell r="E566">
            <v>466.1</v>
          </cell>
          <cell r="F566">
            <v>475.4</v>
          </cell>
          <cell r="G566">
            <v>9.3000000000000007</v>
          </cell>
          <cell r="H566">
            <v>2</v>
          </cell>
          <cell r="I566">
            <v>69.7</v>
          </cell>
          <cell r="J566" t="str">
            <v>No formal educational credential</v>
          </cell>
          <cell r="K566" t="str">
            <v>None</v>
          </cell>
          <cell r="L566" t="str">
            <v>Short-term on-the-job training</v>
          </cell>
          <cell r="M566" t="str">
            <v>OOH Content</v>
          </cell>
        </row>
        <row r="567">
          <cell r="A567" t="str">
            <v>35-2013</v>
          </cell>
          <cell r="B567" t="str">
            <v xml:space="preserve">        Cooks, private household</v>
          </cell>
          <cell r="C567" t="str">
            <v>Line item</v>
          </cell>
          <cell r="D567">
            <v>44530</v>
          </cell>
          <cell r="E567">
            <v>34.200000000000003</v>
          </cell>
          <cell r="F567">
            <v>36</v>
          </cell>
          <cell r="G567">
            <v>1.7</v>
          </cell>
          <cell r="H567">
            <v>5.0999999999999996</v>
          </cell>
          <cell r="I567">
            <v>5.3</v>
          </cell>
          <cell r="J567" t="str">
            <v>Postsecondary nondegree award</v>
          </cell>
          <cell r="K567" t="str">
            <v>Less than 5 years</v>
          </cell>
          <cell r="L567" t="str">
            <v>None</v>
          </cell>
          <cell r="M567" t="str">
            <v>OOH Content</v>
          </cell>
        </row>
        <row r="568">
          <cell r="A568" t="str">
            <v>35-2014</v>
          </cell>
          <cell r="B568" t="str">
            <v xml:space="preserve">        Cooks, restaurant</v>
          </cell>
          <cell r="C568" t="str">
            <v>Line item</v>
          </cell>
          <cell r="D568">
            <v>36830</v>
          </cell>
          <cell r="E568">
            <v>1460.2</v>
          </cell>
          <cell r="F568">
            <v>1677.2</v>
          </cell>
          <cell r="G568">
            <v>217</v>
          </cell>
          <cell r="H568">
            <v>14.9</v>
          </cell>
          <cell r="I568">
            <v>250.7</v>
          </cell>
          <cell r="J568" t="str">
            <v>No formal educational credential</v>
          </cell>
          <cell r="K568" t="str">
            <v>Less than 5 years</v>
          </cell>
          <cell r="L568" t="str">
            <v>Moderate-term on-the-job training</v>
          </cell>
          <cell r="M568" t="str">
            <v>OOH Content</v>
          </cell>
        </row>
        <row r="569">
          <cell r="A569" t="str">
            <v>35-2015</v>
          </cell>
          <cell r="B569" t="str">
            <v xml:space="preserve">        Cooks, short order</v>
          </cell>
          <cell r="C569" t="str">
            <v>Line item</v>
          </cell>
          <cell r="D569">
            <v>35620</v>
          </cell>
          <cell r="E569">
            <v>151.1</v>
          </cell>
          <cell r="F569">
            <v>142.69999999999999</v>
          </cell>
          <cell r="G569">
            <v>-8.4</v>
          </cell>
          <cell r="H569">
            <v>-5.6</v>
          </cell>
          <cell r="I569">
            <v>20.6</v>
          </cell>
          <cell r="J569" t="str">
            <v>No formal educational credential</v>
          </cell>
          <cell r="K569" t="str">
            <v>None</v>
          </cell>
          <cell r="L569" t="str">
            <v>Short-term on-the-job training</v>
          </cell>
          <cell r="M569" t="str">
            <v>OOH Content</v>
          </cell>
        </row>
        <row r="570">
          <cell r="A570" t="str">
            <v>35-2019</v>
          </cell>
          <cell r="B570" t="str">
            <v xml:space="preserve">        Cooks, all other</v>
          </cell>
          <cell r="C570" t="str">
            <v>Line item</v>
          </cell>
          <cell r="D570">
            <v>36210</v>
          </cell>
          <cell r="E570">
            <v>24</v>
          </cell>
          <cell r="F570">
            <v>25.3</v>
          </cell>
          <cell r="G570">
            <v>1.3</v>
          </cell>
          <cell r="H570">
            <v>5.5</v>
          </cell>
          <cell r="I570">
            <v>3.7</v>
          </cell>
          <cell r="J570" t="str">
            <v>No formal educational credential</v>
          </cell>
          <cell r="K570" t="str">
            <v>None</v>
          </cell>
          <cell r="L570" t="str">
            <v>Moderate-term on-the-job training</v>
          </cell>
          <cell r="M570" t="str">
            <v>OOH Content</v>
          </cell>
        </row>
        <row r="571">
          <cell r="A571" t="str">
            <v>35-2021</v>
          </cell>
          <cell r="B571" t="str">
            <v xml:space="preserve">      Food preparation workers</v>
          </cell>
          <cell r="C571" t="str">
            <v>Line item</v>
          </cell>
          <cell r="D571">
            <v>34220</v>
          </cell>
          <cell r="E571">
            <v>902.7</v>
          </cell>
          <cell r="F571">
            <v>871.8</v>
          </cell>
          <cell r="G571">
            <v>-30.9</v>
          </cell>
          <cell r="H571">
            <v>-3.4</v>
          </cell>
          <cell r="I571">
            <v>148</v>
          </cell>
          <cell r="J571" t="str">
            <v>No formal educational credential</v>
          </cell>
          <cell r="K571" t="str">
            <v>None</v>
          </cell>
          <cell r="L571" t="str">
            <v>Short-term on-the-job training</v>
          </cell>
          <cell r="M571" t="str">
            <v>OOH Content</v>
          </cell>
        </row>
        <row r="572">
          <cell r="A572" t="str">
            <v>35-3000</v>
          </cell>
          <cell r="B572" t="str">
            <v xml:space="preserve">    Food and beverage serving workers</v>
          </cell>
          <cell r="C572" t="str">
            <v>Summary</v>
          </cell>
          <cell r="D572">
            <v>31470</v>
          </cell>
          <cell r="E572">
            <v>7159.6</v>
          </cell>
          <cell r="F572">
            <v>7429.5</v>
          </cell>
          <cell r="G572">
            <v>269.8</v>
          </cell>
          <cell r="H572">
            <v>3.8</v>
          </cell>
          <cell r="I572">
            <v>1538.6</v>
          </cell>
          <cell r="J572" t="str">
            <v>—</v>
          </cell>
          <cell r="K572" t="str">
            <v>—</v>
          </cell>
          <cell r="L572" t="str">
            <v>—</v>
          </cell>
          <cell r="M572" t="str">
            <v>—</v>
          </cell>
        </row>
        <row r="573">
          <cell r="A573" t="str">
            <v>35-3011</v>
          </cell>
          <cell r="B573" t="str">
            <v xml:space="preserve">      Bartenders</v>
          </cell>
          <cell r="C573" t="str">
            <v>Line item</v>
          </cell>
          <cell r="D573">
            <v>33530</v>
          </cell>
          <cell r="E573">
            <v>756.7</v>
          </cell>
          <cell r="F573">
            <v>801.5</v>
          </cell>
          <cell r="G573">
            <v>44.8</v>
          </cell>
          <cell r="H573">
            <v>5.9</v>
          </cell>
          <cell r="I573">
            <v>129.6</v>
          </cell>
          <cell r="J573" t="str">
            <v>No formal educational credential</v>
          </cell>
          <cell r="K573" t="str">
            <v>None</v>
          </cell>
          <cell r="L573" t="str">
            <v>Short-term on-the-job training</v>
          </cell>
          <cell r="M573" t="str">
            <v>OOH Content</v>
          </cell>
        </row>
        <row r="574">
          <cell r="A574" t="str">
            <v>35-3023</v>
          </cell>
          <cell r="B574" t="str">
            <v xml:space="preserve">      Fast food and counter workers</v>
          </cell>
          <cell r="C574" t="str">
            <v>Line item</v>
          </cell>
          <cell r="D574">
            <v>30480</v>
          </cell>
          <cell r="E574">
            <v>3796</v>
          </cell>
          <cell r="F574">
            <v>4029.2</v>
          </cell>
          <cell r="G574">
            <v>233.2</v>
          </cell>
          <cell r="H574">
            <v>6.1</v>
          </cell>
          <cell r="I574">
            <v>904.3</v>
          </cell>
          <cell r="J574" t="str">
            <v>No formal educational credential</v>
          </cell>
          <cell r="K574" t="str">
            <v>None</v>
          </cell>
          <cell r="L574" t="str">
            <v>Short-term on-the-job training</v>
          </cell>
          <cell r="M574" t="str">
            <v>OOH Content</v>
          </cell>
        </row>
        <row r="575">
          <cell r="A575" t="str">
            <v>35-3031</v>
          </cell>
          <cell r="B575" t="str">
            <v xml:space="preserve">      Waiters and waitresses</v>
          </cell>
          <cell r="C575" t="str">
            <v>Line item</v>
          </cell>
          <cell r="D575">
            <v>33760</v>
          </cell>
          <cell r="E575">
            <v>2329.6999999999998</v>
          </cell>
          <cell r="F575">
            <v>2313.5</v>
          </cell>
          <cell r="G575">
            <v>-16.3</v>
          </cell>
          <cell r="H575">
            <v>-0.7</v>
          </cell>
          <cell r="I575">
            <v>456.7</v>
          </cell>
          <cell r="J575" t="str">
            <v>No formal educational credential</v>
          </cell>
          <cell r="K575" t="str">
            <v>None</v>
          </cell>
          <cell r="L575" t="str">
            <v>Short-term on-the-job training</v>
          </cell>
          <cell r="M575" t="str">
            <v>OOH Content</v>
          </cell>
        </row>
        <row r="576">
          <cell r="A576" t="str">
            <v>35-3041</v>
          </cell>
          <cell r="B576" t="str">
            <v xml:space="preserve">      Food servers, nonrestaurant</v>
          </cell>
          <cell r="C576" t="str">
            <v>Line item</v>
          </cell>
          <cell r="D576">
            <v>34460</v>
          </cell>
          <cell r="E576">
            <v>277.2</v>
          </cell>
          <cell r="F576">
            <v>285.3</v>
          </cell>
          <cell r="G576">
            <v>8.1999999999999993</v>
          </cell>
          <cell r="H576">
            <v>3</v>
          </cell>
          <cell r="I576">
            <v>48</v>
          </cell>
          <cell r="J576" t="str">
            <v>No formal educational credential</v>
          </cell>
          <cell r="K576" t="str">
            <v>None</v>
          </cell>
          <cell r="L576" t="str">
            <v>Short-term on-the-job training</v>
          </cell>
          <cell r="M576" t="str">
            <v>OOH Content</v>
          </cell>
        </row>
        <row r="577">
          <cell r="A577" t="str">
            <v>35-9000</v>
          </cell>
          <cell r="B577" t="str">
            <v xml:space="preserve">    Other food preparation and serving related workers</v>
          </cell>
          <cell r="C577" t="str">
            <v>Summary</v>
          </cell>
          <cell r="D577">
            <v>32680</v>
          </cell>
          <cell r="E577">
            <v>1525.6</v>
          </cell>
          <cell r="F577">
            <v>1559</v>
          </cell>
          <cell r="G577">
            <v>33.4</v>
          </cell>
          <cell r="H577">
            <v>2.2000000000000002</v>
          </cell>
          <cell r="I577">
            <v>298.7</v>
          </cell>
          <cell r="J577" t="str">
            <v>—</v>
          </cell>
          <cell r="K577" t="str">
            <v>—</v>
          </cell>
          <cell r="L577" t="str">
            <v>—</v>
          </cell>
          <cell r="M577" t="str">
            <v>—</v>
          </cell>
        </row>
        <row r="578">
          <cell r="A578" t="str">
            <v>35-9011</v>
          </cell>
          <cell r="B578" t="str">
            <v xml:space="preserve">      Dining room and cafeteria attendants and bartender helpers</v>
          </cell>
          <cell r="C578" t="str">
            <v>Line item</v>
          </cell>
          <cell r="D578">
            <v>32670</v>
          </cell>
          <cell r="E578">
            <v>527.4</v>
          </cell>
          <cell r="F578">
            <v>560.6</v>
          </cell>
          <cell r="G578">
            <v>33.1</v>
          </cell>
          <cell r="H578">
            <v>6.3</v>
          </cell>
          <cell r="I578">
            <v>99.6</v>
          </cell>
          <cell r="J578" t="str">
            <v>No formal educational credential</v>
          </cell>
          <cell r="K578" t="str">
            <v>None</v>
          </cell>
          <cell r="L578" t="str">
            <v>Short-term on-the-job training</v>
          </cell>
          <cell r="M578" t="str">
            <v>OOH Content</v>
          </cell>
        </row>
        <row r="579">
          <cell r="A579" t="str">
            <v>35-9021</v>
          </cell>
          <cell r="B579" t="str">
            <v xml:space="preserve">      Dishwashers</v>
          </cell>
          <cell r="C579" t="str">
            <v>Line item</v>
          </cell>
          <cell r="D579">
            <v>33670</v>
          </cell>
          <cell r="E579">
            <v>477.7</v>
          </cell>
          <cell r="F579">
            <v>478.6</v>
          </cell>
          <cell r="G579">
            <v>0.9</v>
          </cell>
          <cell r="H579">
            <v>0.2</v>
          </cell>
          <cell r="I579">
            <v>76.8</v>
          </cell>
          <cell r="J579" t="str">
            <v>No formal educational credential</v>
          </cell>
          <cell r="K579" t="str">
            <v>None</v>
          </cell>
          <cell r="L579" t="str">
            <v>Short-term on-the-job training</v>
          </cell>
          <cell r="M579" t="str">
            <v>—</v>
          </cell>
        </row>
        <row r="580">
          <cell r="A580" t="str">
            <v>35-9031</v>
          </cell>
          <cell r="B580" t="str">
            <v xml:space="preserve">      Hosts and hostesses, restaurant, lounge, and coffee shop</v>
          </cell>
          <cell r="C580" t="str">
            <v>Line item</v>
          </cell>
          <cell r="D580">
            <v>30380</v>
          </cell>
          <cell r="E580">
            <v>429.9</v>
          </cell>
          <cell r="F580">
            <v>423.5</v>
          </cell>
          <cell r="G580">
            <v>-6.4</v>
          </cell>
          <cell r="H580">
            <v>-1.5</v>
          </cell>
          <cell r="I580">
            <v>107.7</v>
          </cell>
          <cell r="J580" t="str">
            <v>No formal educational credential</v>
          </cell>
          <cell r="K580" t="str">
            <v>None</v>
          </cell>
          <cell r="L580" t="str">
            <v>Short-term on-the-job training</v>
          </cell>
          <cell r="M580" t="str">
            <v>OOH Content</v>
          </cell>
        </row>
        <row r="581">
          <cell r="A581" t="str">
            <v>35-9099</v>
          </cell>
          <cell r="B581" t="str">
            <v xml:space="preserve">      Food preparation and serving related workers, all other</v>
          </cell>
          <cell r="C581" t="str">
            <v>Line item</v>
          </cell>
          <cell r="D581">
            <v>34830</v>
          </cell>
          <cell r="E581">
            <v>90.5</v>
          </cell>
          <cell r="F581">
            <v>96.3</v>
          </cell>
          <cell r="G581">
            <v>5.8</v>
          </cell>
          <cell r="H581">
            <v>6.4</v>
          </cell>
          <cell r="I581">
            <v>14.6</v>
          </cell>
          <cell r="J581" t="str">
            <v>No formal educational credential</v>
          </cell>
          <cell r="K581" t="str">
            <v>None</v>
          </cell>
          <cell r="L581" t="str">
            <v>Short-term on-the-job training</v>
          </cell>
          <cell r="M581" t="str">
            <v>—</v>
          </cell>
        </row>
        <row r="582">
          <cell r="A582" t="str">
            <v>37-0000</v>
          </cell>
          <cell r="B582" t="str">
            <v xml:space="preserve">  Building and grounds cleaning and maintenance occupations</v>
          </cell>
          <cell r="C582" t="str">
            <v>Summary</v>
          </cell>
          <cell r="D582">
            <v>36790</v>
          </cell>
          <cell r="E582">
            <v>5715.9</v>
          </cell>
          <cell r="F582">
            <v>5832.9</v>
          </cell>
          <cell r="G582">
            <v>117.1</v>
          </cell>
          <cell r="H582">
            <v>2</v>
          </cell>
          <cell r="I582">
            <v>788.7</v>
          </cell>
          <cell r="J582" t="str">
            <v>—</v>
          </cell>
          <cell r="K582" t="str">
            <v>—</v>
          </cell>
          <cell r="L582" t="str">
            <v>—</v>
          </cell>
          <cell r="M582" t="str">
            <v>—</v>
          </cell>
        </row>
        <row r="583">
          <cell r="A583" t="str">
            <v>37-1000</v>
          </cell>
          <cell r="B583" t="str">
            <v xml:space="preserve">    Supervisors of building and grounds cleaning and maintenance workers</v>
          </cell>
          <cell r="C583" t="str">
            <v>Summary</v>
          </cell>
          <cell r="D583">
            <v>49990</v>
          </cell>
          <cell r="E583">
            <v>494.5</v>
          </cell>
          <cell r="F583">
            <v>506.4</v>
          </cell>
          <cell r="G583">
            <v>11.9</v>
          </cell>
          <cell r="H583">
            <v>2.4</v>
          </cell>
          <cell r="I583">
            <v>56.3</v>
          </cell>
          <cell r="J583" t="str">
            <v>—</v>
          </cell>
          <cell r="K583" t="str">
            <v>—</v>
          </cell>
          <cell r="L583" t="str">
            <v>—</v>
          </cell>
          <cell r="M583" t="str">
            <v>—</v>
          </cell>
        </row>
        <row r="584">
          <cell r="A584" t="str">
            <v>37-1011</v>
          </cell>
          <cell r="B584" t="str">
            <v xml:space="preserve">      First-line supervisors of housekeeping and janitorial workers</v>
          </cell>
          <cell r="C584" t="str">
            <v>Line item</v>
          </cell>
          <cell r="D584">
            <v>47520</v>
          </cell>
          <cell r="E584">
            <v>269.8</v>
          </cell>
          <cell r="F584">
            <v>276.39999999999998</v>
          </cell>
          <cell r="G584">
            <v>6.7</v>
          </cell>
          <cell r="H584">
            <v>2.5</v>
          </cell>
          <cell r="I584">
            <v>33</v>
          </cell>
          <cell r="J584" t="str">
            <v>High school diploma or equivalent</v>
          </cell>
          <cell r="K584" t="str">
            <v>Less than 5 years</v>
          </cell>
          <cell r="L584" t="str">
            <v>None</v>
          </cell>
          <cell r="M584" t="str">
            <v>—</v>
          </cell>
        </row>
        <row r="585">
          <cell r="A585" t="str">
            <v>37-1012</v>
          </cell>
          <cell r="B585" t="str">
            <v xml:space="preserve">      First-line supervisors of landscaping, lawn service, and groundskeeping workers</v>
          </cell>
          <cell r="C585" t="str">
            <v>Line item</v>
          </cell>
          <cell r="D585">
            <v>56170</v>
          </cell>
          <cell r="E585">
            <v>224.7</v>
          </cell>
          <cell r="F585">
            <v>230</v>
          </cell>
          <cell r="G585">
            <v>5.2</v>
          </cell>
          <cell r="H585">
            <v>2.2999999999999998</v>
          </cell>
          <cell r="I585">
            <v>23.2</v>
          </cell>
          <cell r="J585" t="str">
            <v>High school diploma or equivalent</v>
          </cell>
          <cell r="K585" t="str">
            <v>Less than 5 years</v>
          </cell>
          <cell r="L585" t="str">
            <v>None</v>
          </cell>
          <cell r="M585" t="str">
            <v>—</v>
          </cell>
        </row>
        <row r="586">
          <cell r="A586" t="str">
            <v>37-2000</v>
          </cell>
          <cell r="B586" t="str">
            <v xml:space="preserve">    Building cleaning and pest control workers</v>
          </cell>
          <cell r="C586" t="str">
            <v>Summary</v>
          </cell>
          <cell r="D586">
            <v>35750</v>
          </cell>
          <cell r="E586">
            <v>3924.9</v>
          </cell>
          <cell r="F586">
            <v>3984.2</v>
          </cell>
          <cell r="G586">
            <v>59.3</v>
          </cell>
          <cell r="H586">
            <v>1.5</v>
          </cell>
          <cell r="I586">
            <v>560.79999999999995</v>
          </cell>
          <cell r="J586" t="str">
            <v>—</v>
          </cell>
          <cell r="K586" t="str">
            <v>—</v>
          </cell>
          <cell r="L586" t="str">
            <v>—</v>
          </cell>
          <cell r="M586" t="str">
            <v>—</v>
          </cell>
        </row>
        <row r="587">
          <cell r="A587" t="str">
            <v>37-2010</v>
          </cell>
          <cell r="B587" t="str">
            <v xml:space="preserve">      Building cleaning workers</v>
          </cell>
          <cell r="C587" t="str">
            <v>Summary</v>
          </cell>
          <cell r="D587">
            <v>35630</v>
          </cell>
          <cell r="E587">
            <v>3822.5</v>
          </cell>
          <cell r="F587">
            <v>3876.8</v>
          </cell>
          <cell r="G587">
            <v>54.2</v>
          </cell>
          <cell r="H587">
            <v>1.4</v>
          </cell>
          <cell r="I587">
            <v>547.4</v>
          </cell>
          <cell r="J587" t="str">
            <v>—</v>
          </cell>
          <cell r="K587" t="str">
            <v>—</v>
          </cell>
          <cell r="L587" t="str">
            <v>—</v>
          </cell>
          <cell r="M587" t="str">
            <v>—</v>
          </cell>
        </row>
        <row r="588">
          <cell r="A588" t="str">
            <v>37-2011</v>
          </cell>
          <cell r="B588" t="str">
            <v xml:space="preserve">        Janitors and cleaners, except maids and housekeeping cleaners</v>
          </cell>
          <cell r="C588" t="str">
            <v>Line item</v>
          </cell>
          <cell r="D588">
            <v>35930</v>
          </cell>
          <cell r="E588">
            <v>2447.6999999999998</v>
          </cell>
          <cell r="F588">
            <v>2495.5</v>
          </cell>
          <cell r="G588">
            <v>47.8</v>
          </cell>
          <cell r="H588">
            <v>2</v>
          </cell>
          <cell r="I588">
            <v>351.3</v>
          </cell>
          <cell r="J588" t="str">
            <v>No formal educational credential</v>
          </cell>
          <cell r="K588" t="str">
            <v>None</v>
          </cell>
          <cell r="L588" t="str">
            <v>Short-term on-the-job training</v>
          </cell>
          <cell r="M588" t="str">
            <v>OOH Content</v>
          </cell>
        </row>
        <row r="589">
          <cell r="A589" t="str">
            <v>37-2012</v>
          </cell>
          <cell r="B589" t="str">
            <v xml:space="preserve">        Maids and housekeeping cleaners</v>
          </cell>
          <cell r="C589" t="str">
            <v>Line item</v>
          </cell>
          <cell r="D589">
            <v>34660</v>
          </cell>
          <cell r="E589">
            <v>1356.8</v>
          </cell>
          <cell r="F589">
            <v>1362.8</v>
          </cell>
          <cell r="G589">
            <v>6</v>
          </cell>
          <cell r="H589">
            <v>0.4</v>
          </cell>
          <cell r="I589">
            <v>193.5</v>
          </cell>
          <cell r="J589" t="str">
            <v>No formal educational credential</v>
          </cell>
          <cell r="K589" t="str">
            <v>None</v>
          </cell>
          <cell r="L589" t="str">
            <v>Short-term on-the-job training</v>
          </cell>
          <cell r="M589" t="str">
            <v>—</v>
          </cell>
        </row>
        <row r="590">
          <cell r="A590" t="str">
            <v>37-2019</v>
          </cell>
          <cell r="B590" t="str">
            <v xml:space="preserve">        Building cleaning workers, all other</v>
          </cell>
          <cell r="C590" t="str">
            <v>Line item</v>
          </cell>
          <cell r="D590">
            <v>42360</v>
          </cell>
          <cell r="E590">
            <v>18.100000000000001</v>
          </cell>
          <cell r="F590">
            <v>18.5</v>
          </cell>
          <cell r="G590">
            <v>0.5</v>
          </cell>
          <cell r="H590">
            <v>2.5</v>
          </cell>
          <cell r="I590">
            <v>2.6</v>
          </cell>
          <cell r="J590" t="str">
            <v>No formal educational credential</v>
          </cell>
          <cell r="K590" t="str">
            <v>None</v>
          </cell>
          <cell r="L590" t="str">
            <v>Short-term on-the-job training</v>
          </cell>
          <cell r="M590" t="str">
            <v>—</v>
          </cell>
        </row>
        <row r="591">
          <cell r="A591" t="str">
            <v>37-2021</v>
          </cell>
          <cell r="B591" t="str">
            <v xml:space="preserve">      Pest control workers</v>
          </cell>
          <cell r="C591" t="str">
            <v>Line item</v>
          </cell>
          <cell r="D591">
            <v>44730</v>
          </cell>
          <cell r="E591">
            <v>102.4</v>
          </cell>
          <cell r="F591">
            <v>107.5</v>
          </cell>
          <cell r="G591">
            <v>5.0999999999999996</v>
          </cell>
          <cell r="H591">
            <v>4.9000000000000004</v>
          </cell>
          <cell r="I591">
            <v>13.4</v>
          </cell>
          <cell r="J591" t="str">
            <v>High school diploma or equivalent</v>
          </cell>
          <cell r="K591" t="str">
            <v>None</v>
          </cell>
          <cell r="L591" t="str">
            <v>Moderate-term on-the-job training</v>
          </cell>
          <cell r="M591" t="str">
            <v>OOH Content</v>
          </cell>
        </row>
        <row r="592">
          <cell r="A592" t="str">
            <v>37-3000</v>
          </cell>
          <cell r="B592" t="str">
            <v xml:space="preserve">    Grounds maintenance workers</v>
          </cell>
          <cell r="C592" t="str">
            <v>Summary</v>
          </cell>
          <cell r="D592">
            <v>38470</v>
          </cell>
          <cell r="E592">
            <v>1296.4000000000001</v>
          </cell>
          <cell r="F592">
            <v>1342.3</v>
          </cell>
          <cell r="G592">
            <v>45.9</v>
          </cell>
          <cell r="H592">
            <v>3.5</v>
          </cell>
          <cell r="I592">
            <v>171.6</v>
          </cell>
          <cell r="J592" t="str">
            <v>—</v>
          </cell>
          <cell r="K592" t="str">
            <v>—</v>
          </cell>
          <cell r="L592" t="str">
            <v>—</v>
          </cell>
          <cell r="M592" t="str">
            <v>—</v>
          </cell>
        </row>
        <row r="593">
          <cell r="A593" t="str">
            <v>37-3011</v>
          </cell>
          <cell r="B593" t="str">
            <v xml:space="preserve">      Landscaping and groundskeeping workers</v>
          </cell>
          <cell r="C593" t="str">
            <v>Line item</v>
          </cell>
          <cell r="D593">
            <v>38090</v>
          </cell>
          <cell r="E593">
            <v>1192.5</v>
          </cell>
          <cell r="F593">
            <v>1235</v>
          </cell>
          <cell r="G593">
            <v>42.4</v>
          </cell>
          <cell r="H593">
            <v>3.6</v>
          </cell>
          <cell r="I593">
            <v>158.19999999999999</v>
          </cell>
          <cell r="J593" t="str">
            <v>No formal educational credential</v>
          </cell>
          <cell r="K593" t="str">
            <v>None</v>
          </cell>
          <cell r="L593" t="str">
            <v>Short-term on-the-job training</v>
          </cell>
          <cell r="M593" t="str">
            <v>OOH Content</v>
          </cell>
        </row>
        <row r="594">
          <cell r="A594" t="str">
            <v>37-3012</v>
          </cell>
          <cell r="B594" t="str">
            <v xml:space="preserve">      Pesticide handlers, sprayers, and applicators, vegetation</v>
          </cell>
          <cell r="C594" t="str">
            <v>Line item</v>
          </cell>
          <cell r="D594">
            <v>45200</v>
          </cell>
          <cell r="E594">
            <v>29.6</v>
          </cell>
          <cell r="F594">
            <v>30.7</v>
          </cell>
          <cell r="G594">
            <v>1.1000000000000001</v>
          </cell>
          <cell r="H594">
            <v>3.8</v>
          </cell>
          <cell r="I594">
            <v>4.0999999999999996</v>
          </cell>
          <cell r="J594" t="str">
            <v>High school diploma or equivalent</v>
          </cell>
          <cell r="K594" t="str">
            <v>None</v>
          </cell>
          <cell r="L594" t="str">
            <v>Moderate-term on-the-job training</v>
          </cell>
          <cell r="M594" t="str">
            <v>OOH Content</v>
          </cell>
        </row>
        <row r="595">
          <cell r="A595" t="str">
            <v>37-3013</v>
          </cell>
          <cell r="B595" t="str">
            <v xml:space="preserve">      Tree trimmers and pruners</v>
          </cell>
          <cell r="C595" t="str">
            <v>Line item</v>
          </cell>
          <cell r="D595">
            <v>50430</v>
          </cell>
          <cell r="E595">
            <v>60.1</v>
          </cell>
          <cell r="F595">
            <v>62.1</v>
          </cell>
          <cell r="G595">
            <v>2</v>
          </cell>
          <cell r="H595">
            <v>3.3</v>
          </cell>
          <cell r="I595">
            <v>7.4</v>
          </cell>
          <cell r="J595" t="str">
            <v>High school diploma or equivalent</v>
          </cell>
          <cell r="K595" t="str">
            <v>None</v>
          </cell>
          <cell r="L595" t="str">
            <v>Short-term on-the-job training</v>
          </cell>
          <cell r="M595" t="str">
            <v>OOH Content</v>
          </cell>
        </row>
        <row r="596">
          <cell r="A596" t="str">
            <v>37-3019</v>
          </cell>
          <cell r="B596" t="str">
            <v xml:space="preserve">      Grounds maintenance workers, all other</v>
          </cell>
          <cell r="C596" t="str">
            <v>Line item</v>
          </cell>
          <cell r="D596">
            <v>43410</v>
          </cell>
          <cell r="E596">
            <v>14.1</v>
          </cell>
          <cell r="F596">
            <v>14.5</v>
          </cell>
          <cell r="G596">
            <v>0.3</v>
          </cell>
          <cell r="H596">
            <v>2.4</v>
          </cell>
          <cell r="I596">
            <v>1.9</v>
          </cell>
          <cell r="J596" t="str">
            <v>No formal educational credential</v>
          </cell>
          <cell r="K596" t="str">
            <v>None</v>
          </cell>
          <cell r="L596" t="str">
            <v>Short-term on-the-job training</v>
          </cell>
          <cell r="M596" t="str">
            <v>OOH Content</v>
          </cell>
        </row>
        <row r="597">
          <cell r="A597" t="str">
            <v>39-0000</v>
          </cell>
          <cell r="B597" t="str">
            <v xml:space="preserve">  Personal care and service occupations</v>
          </cell>
          <cell r="C597" t="str">
            <v>Summary</v>
          </cell>
          <cell r="D597">
            <v>35110</v>
          </cell>
          <cell r="E597">
            <v>4464.1000000000004</v>
          </cell>
          <cell r="F597">
            <v>4650.6000000000004</v>
          </cell>
          <cell r="G597">
            <v>186.5</v>
          </cell>
          <cell r="H597">
            <v>4.2</v>
          </cell>
          <cell r="I597">
            <v>772.4</v>
          </cell>
          <cell r="J597" t="str">
            <v>—</v>
          </cell>
          <cell r="K597" t="str">
            <v>—</v>
          </cell>
          <cell r="L597" t="str">
            <v>—</v>
          </cell>
          <cell r="M597" t="str">
            <v>—</v>
          </cell>
        </row>
        <row r="598">
          <cell r="A598" t="str">
            <v>39-1000</v>
          </cell>
          <cell r="B598" t="str">
            <v xml:space="preserve">    Supervisors of personal care and service workers</v>
          </cell>
          <cell r="C598" t="str">
            <v>Summary</v>
          </cell>
          <cell r="D598">
            <v>48050</v>
          </cell>
          <cell r="E598">
            <v>304.89999999999998</v>
          </cell>
          <cell r="F598">
            <v>323.39999999999998</v>
          </cell>
          <cell r="G598">
            <v>18.5</v>
          </cell>
          <cell r="H598">
            <v>6.1</v>
          </cell>
          <cell r="I598">
            <v>33.1</v>
          </cell>
          <cell r="J598" t="str">
            <v>—</v>
          </cell>
          <cell r="K598" t="str">
            <v>—</v>
          </cell>
          <cell r="L598" t="str">
            <v>—</v>
          </cell>
          <cell r="M598" t="str">
            <v>—</v>
          </cell>
        </row>
        <row r="599">
          <cell r="A599" t="str">
            <v>39-1010</v>
          </cell>
          <cell r="B599" t="str">
            <v xml:space="preserve">      First-line supervisors of entertainment and recreation workers</v>
          </cell>
          <cell r="C599" t="str">
            <v>Summary</v>
          </cell>
          <cell r="D599">
            <v>49100</v>
          </cell>
          <cell r="E599">
            <v>155.80000000000001</v>
          </cell>
          <cell r="F599">
            <v>164.3</v>
          </cell>
          <cell r="G599">
            <v>8.5</v>
          </cell>
          <cell r="H599">
            <v>5.4</v>
          </cell>
          <cell r="I599">
            <v>16.8</v>
          </cell>
          <cell r="J599" t="str">
            <v>—</v>
          </cell>
          <cell r="K599" t="str">
            <v>—</v>
          </cell>
          <cell r="L599" t="str">
            <v>—</v>
          </cell>
          <cell r="M599" t="str">
            <v>—</v>
          </cell>
        </row>
        <row r="600">
          <cell r="A600" t="str">
            <v>39-1013</v>
          </cell>
          <cell r="B600" t="str">
            <v xml:space="preserve">        First-line supervisors of gambling services workers</v>
          </cell>
          <cell r="C600" t="str">
            <v>Line item</v>
          </cell>
          <cell r="D600">
            <v>61590</v>
          </cell>
          <cell r="E600">
            <v>32.5</v>
          </cell>
          <cell r="F600">
            <v>33.1</v>
          </cell>
          <cell r="G600">
            <v>0.6</v>
          </cell>
          <cell r="H600">
            <v>2</v>
          </cell>
          <cell r="I600">
            <v>3.3</v>
          </cell>
          <cell r="J600" t="str">
            <v>High school diploma or equivalent</v>
          </cell>
          <cell r="K600" t="str">
            <v>Less than 5 years</v>
          </cell>
          <cell r="L600" t="str">
            <v>None</v>
          </cell>
          <cell r="M600" t="str">
            <v>OOH Content</v>
          </cell>
        </row>
        <row r="601">
          <cell r="A601" t="str">
            <v>39-1014</v>
          </cell>
          <cell r="B601" t="str">
            <v xml:space="preserve">        First-line supervisors of entertainment and recreation workers, except gambling services</v>
          </cell>
          <cell r="C601" t="str">
            <v>Line item</v>
          </cell>
          <cell r="D601">
            <v>46900</v>
          </cell>
          <cell r="E601">
            <v>123.3</v>
          </cell>
          <cell r="F601">
            <v>131.1</v>
          </cell>
          <cell r="G601">
            <v>7.8</v>
          </cell>
          <cell r="H601">
            <v>6.3</v>
          </cell>
          <cell r="I601">
            <v>13.4</v>
          </cell>
          <cell r="J601" t="str">
            <v>High school diploma or equivalent</v>
          </cell>
          <cell r="K601" t="str">
            <v>Less than 5 years</v>
          </cell>
          <cell r="L601" t="str">
            <v>None</v>
          </cell>
          <cell r="M601" t="str">
            <v>—</v>
          </cell>
        </row>
        <row r="602">
          <cell r="A602" t="str">
            <v>39-1022</v>
          </cell>
          <cell r="B602" t="str">
            <v xml:space="preserve">      First-line supervisors of personal service workers</v>
          </cell>
          <cell r="C602" t="str">
            <v>Line item</v>
          </cell>
          <cell r="D602">
            <v>47080</v>
          </cell>
          <cell r="E602">
            <v>149.1</v>
          </cell>
          <cell r="F602">
            <v>159.1</v>
          </cell>
          <cell r="G602">
            <v>10</v>
          </cell>
          <cell r="H602">
            <v>6.7</v>
          </cell>
          <cell r="I602">
            <v>16.3</v>
          </cell>
          <cell r="J602" t="str">
            <v>High school diploma or equivalent</v>
          </cell>
          <cell r="K602" t="str">
            <v>Less than 5 years</v>
          </cell>
          <cell r="L602" t="str">
            <v>None</v>
          </cell>
          <cell r="M602" t="str">
            <v>—</v>
          </cell>
        </row>
        <row r="603">
          <cell r="A603" t="str">
            <v>39-2000</v>
          </cell>
          <cell r="B603" t="str">
            <v xml:space="preserve">    Animal care and service workers</v>
          </cell>
          <cell r="C603" t="str">
            <v>Summary</v>
          </cell>
          <cell r="D603">
            <v>33860</v>
          </cell>
          <cell r="E603">
            <v>439.4</v>
          </cell>
          <cell r="F603">
            <v>489.4</v>
          </cell>
          <cell r="G603">
            <v>50</v>
          </cell>
          <cell r="H603">
            <v>11.4</v>
          </cell>
          <cell r="I603">
            <v>81.7</v>
          </cell>
          <cell r="J603" t="str">
            <v>—</v>
          </cell>
          <cell r="K603" t="str">
            <v>—</v>
          </cell>
          <cell r="L603" t="str">
            <v>—</v>
          </cell>
          <cell r="M603" t="str">
            <v>—</v>
          </cell>
        </row>
        <row r="604">
          <cell r="A604" t="str">
            <v>39-2011</v>
          </cell>
          <cell r="B604" t="str">
            <v xml:space="preserve">      Animal trainers</v>
          </cell>
          <cell r="C604" t="str">
            <v>Line item</v>
          </cell>
          <cell r="D604">
            <v>38750</v>
          </cell>
          <cell r="E604">
            <v>47.3</v>
          </cell>
          <cell r="F604">
            <v>49.8</v>
          </cell>
          <cell r="G604">
            <v>2.4</v>
          </cell>
          <cell r="H604">
            <v>5.0999999999999996</v>
          </cell>
          <cell r="I604">
            <v>7.1</v>
          </cell>
          <cell r="J604" t="str">
            <v>High school diploma or equivalent</v>
          </cell>
          <cell r="K604" t="str">
            <v>None</v>
          </cell>
          <cell r="L604" t="str">
            <v>Moderate-term on-the-job training</v>
          </cell>
          <cell r="M604" t="str">
            <v>OOH Content</v>
          </cell>
        </row>
        <row r="605">
          <cell r="A605" t="str">
            <v>39-2021</v>
          </cell>
          <cell r="B605" t="str">
            <v xml:space="preserve">      Animal caretakers</v>
          </cell>
          <cell r="C605" t="str">
            <v>Line item</v>
          </cell>
          <cell r="D605">
            <v>33470</v>
          </cell>
          <cell r="E605">
            <v>392.1</v>
          </cell>
          <cell r="F605">
            <v>439.6</v>
          </cell>
          <cell r="G605">
            <v>47.6</v>
          </cell>
          <cell r="H605">
            <v>12.1</v>
          </cell>
          <cell r="I605">
            <v>74.599999999999994</v>
          </cell>
          <cell r="J605" t="str">
            <v>High school diploma or equivalent</v>
          </cell>
          <cell r="K605" t="str">
            <v>None</v>
          </cell>
          <cell r="L605" t="str">
            <v>Short-term on-the-job training</v>
          </cell>
          <cell r="M605" t="str">
            <v>OOH Content</v>
          </cell>
        </row>
        <row r="606">
          <cell r="A606" t="str">
            <v>39-3000</v>
          </cell>
          <cell r="B606" t="str">
            <v xml:space="preserve">    Entertainment attendants and related workers</v>
          </cell>
          <cell r="C606" t="str">
            <v>Summary</v>
          </cell>
          <cell r="D606">
            <v>31200</v>
          </cell>
          <cell r="E606">
            <v>659.8</v>
          </cell>
          <cell r="F606">
            <v>674.8</v>
          </cell>
          <cell r="G606">
            <v>15</v>
          </cell>
          <cell r="H606">
            <v>2.2999999999999998</v>
          </cell>
          <cell r="I606">
            <v>159.80000000000001</v>
          </cell>
          <cell r="J606" t="str">
            <v>—</v>
          </cell>
          <cell r="K606" t="str">
            <v>—</v>
          </cell>
          <cell r="L606" t="str">
            <v>—</v>
          </cell>
          <cell r="M606" t="str">
            <v>—</v>
          </cell>
        </row>
        <row r="607">
          <cell r="A607" t="str">
            <v>39-3010</v>
          </cell>
          <cell r="B607" t="str">
            <v xml:space="preserve">      Gambling services workers</v>
          </cell>
          <cell r="C607" t="str">
            <v>Summary</v>
          </cell>
          <cell r="D607">
            <v>33280</v>
          </cell>
          <cell r="E607">
            <v>113</v>
          </cell>
          <cell r="F607">
            <v>111.8</v>
          </cell>
          <cell r="G607">
            <v>-1.2</v>
          </cell>
          <cell r="H607">
            <v>-1</v>
          </cell>
          <cell r="I607">
            <v>17.899999999999999</v>
          </cell>
          <cell r="J607" t="str">
            <v>—</v>
          </cell>
          <cell r="K607" t="str">
            <v>—</v>
          </cell>
          <cell r="L607" t="str">
            <v>—</v>
          </cell>
          <cell r="M607" t="str">
            <v>—</v>
          </cell>
        </row>
        <row r="608">
          <cell r="A608" t="str">
            <v>39-3011</v>
          </cell>
          <cell r="B608" t="str">
            <v xml:space="preserve">        Gambling dealers</v>
          </cell>
          <cell r="C608" t="str">
            <v>Line item</v>
          </cell>
          <cell r="D608">
            <v>33280</v>
          </cell>
          <cell r="E608">
            <v>88.7</v>
          </cell>
          <cell r="F608">
            <v>88.1</v>
          </cell>
          <cell r="G608">
            <v>-0.6</v>
          </cell>
          <cell r="H608">
            <v>-0.6</v>
          </cell>
          <cell r="I608">
            <v>14.1</v>
          </cell>
          <cell r="J608" t="str">
            <v>High school diploma or equivalent</v>
          </cell>
          <cell r="K608" t="str">
            <v>None</v>
          </cell>
          <cell r="L608" t="str">
            <v>Short-term on-the-job training</v>
          </cell>
          <cell r="M608" t="str">
            <v>OOH Content</v>
          </cell>
        </row>
        <row r="609">
          <cell r="A609" t="str">
            <v>39-3012</v>
          </cell>
          <cell r="B609" t="str">
            <v xml:space="preserve">        Gambling and sports book writers and runners</v>
          </cell>
          <cell r="C609" t="str">
            <v>Line item</v>
          </cell>
          <cell r="D609">
            <v>30460</v>
          </cell>
          <cell r="E609">
            <v>8.1999999999999993</v>
          </cell>
          <cell r="F609">
            <v>7.7</v>
          </cell>
          <cell r="G609">
            <v>-0.5</v>
          </cell>
          <cell r="H609">
            <v>-6.1</v>
          </cell>
          <cell r="I609">
            <v>1.2</v>
          </cell>
          <cell r="J609" t="str">
            <v>High school diploma or equivalent</v>
          </cell>
          <cell r="K609" t="str">
            <v>None</v>
          </cell>
          <cell r="L609" t="str">
            <v>Short-term on-the-job training</v>
          </cell>
          <cell r="M609" t="str">
            <v>OOH Content</v>
          </cell>
        </row>
        <row r="610">
          <cell r="A610" t="str">
            <v>39-3019</v>
          </cell>
          <cell r="B610" t="str">
            <v xml:space="preserve">        Gambling service workers, all other</v>
          </cell>
          <cell r="C610" t="str">
            <v>Line item</v>
          </cell>
          <cell r="D610">
            <v>34530</v>
          </cell>
          <cell r="E610">
            <v>16.100000000000001</v>
          </cell>
          <cell r="F610">
            <v>16</v>
          </cell>
          <cell r="G610">
            <v>-0.1</v>
          </cell>
          <cell r="H610">
            <v>-0.6</v>
          </cell>
          <cell r="I610">
            <v>2.6</v>
          </cell>
          <cell r="J610" t="str">
            <v>High school diploma or equivalent</v>
          </cell>
          <cell r="K610" t="str">
            <v>None</v>
          </cell>
          <cell r="L610" t="str">
            <v>Short-term on-the-job training</v>
          </cell>
          <cell r="M610" t="str">
            <v>OOH Content</v>
          </cell>
        </row>
        <row r="611">
          <cell r="A611" t="str">
            <v>39-3021</v>
          </cell>
          <cell r="B611" t="str">
            <v xml:space="preserve">      Motion picture projectionists</v>
          </cell>
          <cell r="C611" t="str">
            <v>Line item</v>
          </cell>
          <cell r="D611">
            <v>38180</v>
          </cell>
          <cell r="E611">
            <v>2</v>
          </cell>
          <cell r="F611">
            <v>2</v>
          </cell>
          <cell r="G611">
            <v>-0.1</v>
          </cell>
          <cell r="H611">
            <v>-3.7</v>
          </cell>
          <cell r="I611">
            <v>0.5</v>
          </cell>
          <cell r="J611" t="str">
            <v>No formal educational credential</v>
          </cell>
          <cell r="K611" t="str">
            <v>None</v>
          </cell>
          <cell r="L611" t="str">
            <v>Short-term on-the-job training</v>
          </cell>
          <cell r="M611" t="str">
            <v>—</v>
          </cell>
        </row>
        <row r="612">
          <cell r="A612" t="str">
            <v>39-3031</v>
          </cell>
          <cell r="B612" t="str">
            <v xml:space="preserve">      Ushers, lobby attendants, and ticket takers</v>
          </cell>
          <cell r="C612" t="str">
            <v>Line item</v>
          </cell>
          <cell r="D612">
            <v>31150</v>
          </cell>
          <cell r="E612">
            <v>121.7</v>
          </cell>
          <cell r="F612">
            <v>123.1</v>
          </cell>
          <cell r="G612">
            <v>1.4</v>
          </cell>
          <cell r="H612">
            <v>1.2</v>
          </cell>
          <cell r="I612">
            <v>30.8</v>
          </cell>
          <cell r="J612" t="str">
            <v>No formal educational credential</v>
          </cell>
          <cell r="K612" t="str">
            <v>None</v>
          </cell>
          <cell r="L612" t="str">
            <v>Short-term on-the-job training</v>
          </cell>
          <cell r="M612" t="str">
            <v>—</v>
          </cell>
        </row>
        <row r="613">
          <cell r="A613" t="str">
            <v>39-3090</v>
          </cell>
          <cell r="B613" t="str">
            <v xml:space="preserve">      Miscellaneous entertainment attendants and related workers</v>
          </cell>
          <cell r="C613" t="str">
            <v>Summary</v>
          </cell>
          <cell r="D613">
            <v>31020</v>
          </cell>
          <cell r="E613">
            <v>423.1</v>
          </cell>
          <cell r="F613">
            <v>438</v>
          </cell>
          <cell r="G613">
            <v>14.9</v>
          </cell>
          <cell r="H613">
            <v>3.5</v>
          </cell>
          <cell r="I613">
            <v>110.6</v>
          </cell>
          <cell r="J613" t="str">
            <v>—</v>
          </cell>
          <cell r="K613" t="str">
            <v>—</v>
          </cell>
          <cell r="L613" t="str">
            <v>—</v>
          </cell>
          <cell r="M613" t="str">
            <v>—</v>
          </cell>
        </row>
        <row r="614">
          <cell r="A614" t="str">
            <v>39-3091</v>
          </cell>
          <cell r="B614" t="str">
            <v xml:space="preserve">        Amusement and recreation attendants</v>
          </cell>
          <cell r="C614" t="str">
            <v>Line item</v>
          </cell>
          <cell r="D614">
            <v>30490</v>
          </cell>
          <cell r="E614">
            <v>392.3</v>
          </cell>
          <cell r="F614">
            <v>405.5</v>
          </cell>
          <cell r="G614">
            <v>13.2</v>
          </cell>
          <cell r="H614">
            <v>3.4</v>
          </cell>
          <cell r="I614">
            <v>102.4</v>
          </cell>
          <cell r="J614" t="str">
            <v>No formal educational credential</v>
          </cell>
          <cell r="K614" t="str">
            <v>None</v>
          </cell>
          <cell r="L614" t="str">
            <v>Short-term on-the-job training</v>
          </cell>
          <cell r="M614" t="str">
            <v>—</v>
          </cell>
        </row>
        <row r="615">
          <cell r="A615" t="str">
            <v>39-3092</v>
          </cell>
          <cell r="B615" t="str">
            <v xml:space="preserve">        Costume attendants</v>
          </cell>
          <cell r="C615" t="str">
            <v>Line item</v>
          </cell>
          <cell r="D615">
            <v>54810</v>
          </cell>
          <cell r="E615">
            <v>6.7</v>
          </cell>
          <cell r="F615">
            <v>7.1</v>
          </cell>
          <cell r="G615">
            <v>0.4</v>
          </cell>
          <cell r="H615">
            <v>5.9</v>
          </cell>
          <cell r="I615">
            <v>1.8</v>
          </cell>
          <cell r="J615" t="str">
            <v>High school diploma or equivalent</v>
          </cell>
          <cell r="K615" t="str">
            <v>None</v>
          </cell>
          <cell r="L615" t="str">
            <v>Short-term on-the-job training</v>
          </cell>
          <cell r="M615" t="str">
            <v>—</v>
          </cell>
        </row>
        <row r="616">
          <cell r="A616" t="str">
            <v>39-3093</v>
          </cell>
          <cell r="B616" t="str">
            <v xml:space="preserve">        Locker room, coatroom, and dressing room attendants</v>
          </cell>
          <cell r="C616" t="str">
            <v>Line item</v>
          </cell>
          <cell r="D616">
            <v>34800</v>
          </cell>
          <cell r="E616">
            <v>15.6</v>
          </cell>
          <cell r="F616">
            <v>16.600000000000001</v>
          </cell>
          <cell r="G616">
            <v>1</v>
          </cell>
          <cell r="H616">
            <v>6.4</v>
          </cell>
          <cell r="I616">
            <v>4.2</v>
          </cell>
          <cell r="J616" t="str">
            <v>High school diploma or equivalent</v>
          </cell>
          <cell r="K616" t="str">
            <v>None</v>
          </cell>
          <cell r="L616" t="str">
            <v>Short-term on-the-job training</v>
          </cell>
          <cell r="M616" t="str">
            <v>—</v>
          </cell>
        </row>
        <row r="617">
          <cell r="A617" t="str">
            <v>39-3099</v>
          </cell>
          <cell r="B617" t="str">
            <v xml:space="preserve">        Entertainment attendants and related workers, all other</v>
          </cell>
          <cell r="C617" t="str">
            <v>Line item</v>
          </cell>
          <cell r="D617">
            <v>34550</v>
          </cell>
          <cell r="E617">
            <v>8.5</v>
          </cell>
          <cell r="F617">
            <v>8.8000000000000007</v>
          </cell>
          <cell r="G617">
            <v>0.3</v>
          </cell>
          <cell r="H617">
            <v>3.6</v>
          </cell>
          <cell r="I617">
            <v>2.2000000000000002</v>
          </cell>
          <cell r="J617" t="str">
            <v>High school diploma or equivalent</v>
          </cell>
          <cell r="K617" t="str">
            <v>None</v>
          </cell>
          <cell r="L617" t="str">
            <v>Short-term on-the-job training</v>
          </cell>
          <cell r="M617" t="str">
            <v>—</v>
          </cell>
        </row>
        <row r="618">
          <cell r="A618" t="str">
            <v>39-4000</v>
          </cell>
          <cell r="B618" t="str">
            <v xml:space="preserve">    Funeral service workers</v>
          </cell>
          <cell r="C618" t="str">
            <v>Summary</v>
          </cell>
          <cell r="D618">
            <v>39170</v>
          </cell>
          <cell r="E618">
            <v>66.8</v>
          </cell>
          <cell r="F618">
            <v>68.8</v>
          </cell>
          <cell r="G618">
            <v>2</v>
          </cell>
          <cell r="H618">
            <v>3</v>
          </cell>
          <cell r="I618">
            <v>10.1</v>
          </cell>
          <cell r="J618" t="str">
            <v>—</v>
          </cell>
          <cell r="K618" t="str">
            <v>—</v>
          </cell>
          <cell r="L618" t="str">
            <v>—</v>
          </cell>
          <cell r="M618" t="str">
            <v>—</v>
          </cell>
        </row>
        <row r="619">
          <cell r="A619" t="str">
            <v>39-4010</v>
          </cell>
          <cell r="B619" t="str">
            <v xml:space="preserve">      Embalmers and crematory operators</v>
          </cell>
          <cell r="C619" t="str">
            <v>Summary</v>
          </cell>
          <cell r="D619">
            <v>48610</v>
          </cell>
          <cell r="E619">
            <v>6.8</v>
          </cell>
          <cell r="F619">
            <v>6.9</v>
          </cell>
          <cell r="G619">
            <v>0.2</v>
          </cell>
          <cell r="H619">
            <v>2.2000000000000002</v>
          </cell>
          <cell r="I619">
            <v>1.2</v>
          </cell>
          <cell r="J619" t="str">
            <v>—</v>
          </cell>
          <cell r="K619" t="str">
            <v>—</v>
          </cell>
          <cell r="L619" t="str">
            <v>—</v>
          </cell>
          <cell r="M619" t="str">
            <v>—</v>
          </cell>
        </row>
        <row r="620">
          <cell r="A620" t="str">
            <v>39-4011</v>
          </cell>
          <cell r="B620" t="str">
            <v xml:space="preserve">        Embalmers</v>
          </cell>
          <cell r="C620" t="str">
            <v>Line item</v>
          </cell>
          <cell r="D620">
            <v>56280</v>
          </cell>
          <cell r="E620">
            <v>3.6</v>
          </cell>
          <cell r="F620">
            <v>3.7</v>
          </cell>
          <cell r="G620">
            <v>0</v>
          </cell>
          <cell r="H620">
            <v>1.3</v>
          </cell>
          <cell r="I620">
            <v>0.6</v>
          </cell>
          <cell r="J620" t="str">
            <v>Associate's degree</v>
          </cell>
          <cell r="K620" t="str">
            <v>None</v>
          </cell>
          <cell r="L620" t="str">
            <v>Long-term on-the-job training</v>
          </cell>
          <cell r="M620" t="str">
            <v>—</v>
          </cell>
        </row>
        <row r="621">
          <cell r="A621" t="str">
            <v>39-4012</v>
          </cell>
          <cell r="B621" t="str">
            <v xml:space="preserve">        Crematory operators</v>
          </cell>
          <cell r="C621" t="str">
            <v>Line item</v>
          </cell>
          <cell r="D621">
            <v>42880</v>
          </cell>
          <cell r="E621">
            <v>3.1</v>
          </cell>
          <cell r="F621">
            <v>3.2</v>
          </cell>
          <cell r="G621">
            <v>0.1</v>
          </cell>
          <cell r="H621">
            <v>3.3</v>
          </cell>
          <cell r="I621">
            <v>0.6</v>
          </cell>
          <cell r="J621" t="str">
            <v>High school diploma or equivalent</v>
          </cell>
          <cell r="K621" t="str">
            <v>None</v>
          </cell>
          <cell r="L621" t="str">
            <v>Short-term on-the-job training</v>
          </cell>
          <cell r="M621" t="str">
            <v>—</v>
          </cell>
        </row>
        <row r="622">
          <cell r="A622" t="str">
            <v>39-4021</v>
          </cell>
          <cell r="B622" t="str">
            <v xml:space="preserve">      Funeral attendants</v>
          </cell>
          <cell r="C622" t="str">
            <v>Line item</v>
          </cell>
          <cell r="D622">
            <v>34610</v>
          </cell>
          <cell r="E622">
            <v>32.5</v>
          </cell>
          <cell r="F622">
            <v>33.5</v>
          </cell>
          <cell r="G622">
            <v>1</v>
          </cell>
          <cell r="H622">
            <v>3.1</v>
          </cell>
          <cell r="I622">
            <v>5.7</v>
          </cell>
          <cell r="J622" t="str">
            <v>High school diploma or equivalent</v>
          </cell>
          <cell r="K622" t="str">
            <v>None</v>
          </cell>
          <cell r="L622" t="str">
            <v>Short-term on-the-job training</v>
          </cell>
          <cell r="M622" t="str">
            <v>—</v>
          </cell>
        </row>
        <row r="623">
          <cell r="A623" t="str">
            <v>39-4031</v>
          </cell>
          <cell r="B623" t="str">
            <v xml:space="preserve">      Morticians, undertakers, and funeral arrangers</v>
          </cell>
          <cell r="C623" t="str">
            <v>Line item</v>
          </cell>
          <cell r="D623">
            <v>49800</v>
          </cell>
          <cell r="E623">
            <v>27.5</v>
          </cell>
          <cell r="F623">
            <v>28.4</v>
          </cell>
          <cell r="G623">
            <v>0.8</v>
          </cell>
          <cell r="H623">
            <v>3.1</v>
          </cell>
          <cell r="I623">
            <v>3.2</v>
          </cell>
          <cell r="J623" t="str">
            <v>Associate's degree</v>
          </cell>
          <cell r="K623" t="str">
            <v>None</v>
          </cell>
          <cell r="L623" t="str">
            <v>Long-term on-the-job training</v>
          </cell>
          <cell r="M623" t="str">
            <v>OOH Content</v>
          </cell>
        </row>
        <row r="624">
          <cell r="A624" t="str">
            <v>39-5000</v>
          </cell>
          <cell r="B624" t="str">
            <v xml:space="preserve">    Personal appearance workers</v>
          </cell>
          <cell r="C624" t="str">
            <v>Summary</v>
          </cell>
          <cell r="D624">
            <v>35310</v>
          </cell>
          <cell r="E624">
            <v>984.2</v>
          </cell>
          <cell r="F624">
            <v>1042.4000000000001</v>
          </cell>
          <cell r="G624">
            <v>58.2</v>
          </cell>
          <cell r="H624">
            <v>5.9</v>
          </cell>
          <cell r="I624">
            <v>127.3</v>
          </cell>
          <cell r="J624" t="str">
            <v>—</v>
          </cell>
          <cell r="K624" t="str">
            <v>—</v>
          </cell>
          <cell r="L624" t="str">
            <v>—</v>
          </cell>
          <cell r="M624" t="str">
            <v>—</v>
          </cell>
        </row>
        <row r="625">
          <cell r="A625" t="str">
            <v>39-5010</v>
          </cell>
          <cell r="B625" t="str">
            <v xml:space="preserve">      Barbers, hairdressers, hairstylists and cosmetologists</v>
          </cell>
          <cell r="C625" t="str">
            <v>Summary</v>
          </cell>
          <cell r="D625">
            <v>35420</v>
          </cell>
          <cell r="E625">
            <v>651.20000000000005</v>
          </cell>
          <cell r="F625">
            <v>686.6</v>
          </cell>
          <cell r="G625">
            <v>35.299999999999997</v>
          </cell>
          <cell r="H625">
            <v>5.4</v>
          </cell>
          <cell r="I625">
            <v>84.2</v>
          </cell>
          <cell r="J625" t="str">
            <v>—</v>
          </cell>
          <cell r="K625" t="str">
            <v>—</v>
          </cell>
          <cell r="L625" t="str">
            <v>—</v>
          </cell>
          <cell r="M625" t="str">
            <v>—</v>
          </cell>
        </row>
        <row r="626">
          <cell r="A626" t="str">
            <v>39-5011</v>
          </cell>
          <cell r="B626" t="str">
            <v xml:space="preserve">        Barbers</v>
          </cell>
          <cell r="C626" t="str">
            <v>Line item</v>
          </cell>
          <cell r="D626">
            <v>38960</v>
          </cell>
          <cell r="E626">
            <v>76</v>
          </cell>
          <cell r="F626">
            <v>79.2</v>
          </cell>
          <cell r="G626">
            <v>3.1</v>
          </cell>
          <cell r="H626">
            <v>4.0999999999999996</v>
          </cell>
          <cell r="I626">
            <v>8.4</v>
          </cell>
          <cell r="J626" t="str">
            <v>Postsecondary nondegree award</v>
          </cell>
          <cell r="K626" t="str">
            <v>None</v>
          </cell>
          <cell r="L626" t="str">
            <v>None</v>
          </cell>
          <cell r="M626" t="str">
            <v>OOH Content</v>
          </cell>
        </row>
        <row r="627">
          <cell r="A627" t="str">
            <v>39-5012</v>
          </cell>
          <cell r="B627" t="str">
            <v xml:space="preserve">        Hairdressers, hairstylists, and cosmetologists</v>
          </cell>
          <cell r="C627" t="str">
            <v>Line item</v>
          </cell>
          <cell r="D627">
            <v>35250</v>
          </cell>
          <cell r="E627">
            <v>575.20000000000005</v>
          </cell>
          <cell r="F627">
            <v>607.4</v>
          </cell>
          <cell r="G627">
            <v>32.200000000000003</v>
          </cell>
          <cell r="H627">
            <v>5.6</v>
          </cell>
          <cell r="I627">
            <v>75.8</v>
          </cell>
          <cell r="J627" t="str">
            <v>Postsecondary nondegree award</v>
          </cell>
          <cell r="K627" t="str">
            <v>None</v>
          </cell>
          <cell r="L627" t="str">
            <v>None</v>
          </cell>
          <cell r="M627" t="str">
            <v>OOH Content</v>
          </cell>
        </row>
        <row r="628">
          <cell r="A628" t="str">
            <v>39-5090</v>
          </cell>
          <cell r="B628" t="str">
            <v xml:space="preserve">      Miscellaneous personal appearance workers</v>
          </cell>
          <cell r="C628" t="str">
            <v>Summary</v>
          </cell>
          <cell r="D628">
            <v>35260</v>
          </cell>
          <cell r="E628">
            <v>333</v>
          </cell>
          <cell r="F628">
            <v>355.8</v>
          </cell>
          <cell r="G628">
            <v>22.8</v>
          </cell>
          <cell r="H628">
            <v>6.9</v>
          </cell>
          <cell r="I628">
            <v>43.1</v>
          </cell>
          <cell r="J628" t="str">
            <v>—</v>
          </cell>
          <cell r="K628" t="str">
            <v>—</v>
          </cell>
          <cell r="L628" t="str">
            <v>—</v>
          </cell>
          <cell r="M628" t="str">
            <v>—</v>
          </cell>
        </row>
        <row r="629">
          <cell r="A629" t="str">
            <v>39-5091</v>
          </cell>
          <cell r="B629" t="str">
            <v xml:space="preserve">        Makeup artists, theatrical and performance</v>
          </cell>
          <cell r="C629" t="str">
            <v>Line item</v>
          </cell>
          <cell r="D629">
            <v>50280</v>
          </cell>
          <cell r="E629">
            <v>7</v>
          </cell>
          <cell r="F629">
            <v>7.6</v>
          </cell>
          <cell r="G629">
            <v>0.6</v>
          </cell>
          <cell r="H629">
            <v>8.1</v>
          </cell>
          <cell r="I629">
            <v>1.1000000000000001</v>
          </cell>
          <cell r="J629" t="str">
            <v>Postsecondary nondegree award</v>
          </cell>
          <cell r="K629" t="str">
            <v>None</v>
          </cell>
          <cell r="L629" t="str">
            <v>None</v>
          </cell>
          <cell r="M629" t="str">
            <v>—</v>
          </cell>
        </row>
        <row r="630">
          <cell r="A630" t="str">
            <v>39-5092</v>
          </cell>
          <cell r="B630" t="str">
            <v xml:space="preserve">        Manicurists and pedicurists</v>
          </cell>
          <cell r="C630" t="str">
            <v>Line item</v>
          </cell>
          <cell r="D630">
            <v>34660</v>
          </cell>
          <cell r="E630">
            <v>210.1</v>
          </cell>
          <cell r="F630">
            <v>224.8</v>
          </cell>
          <cell r="G630">
            <v>14.7</v>
          </cell>
          <cell r="H630">
            <v>7</v>
          </cell>
          <cell r="I630">
            <v>24.8</v>
          </cell>
          <cell r="J630" t="str">
            <v>Postsecondary nondegree award</v>
          </cell>
          <cell r="K630" t="str">
            <v>None</v>
          </cell>
          <cell r="L630" t="str">
            <v>None</v>
          </cell>
          <cell r="M630" t="str">
            <v>OOH Content</v>
          </cell>
        </row>
        <row r="631">
          <cell r="A631" t="str">
            <v>39-5093</v>
          </cell>
          <cell r="B631" t="str">
            <v xml:space="preserve">        Shampooers</v>
          </cell>
          <cell r="C631" t="str">
            <v>Line item</v>
          </cell>
          <cell r="D631">
            <v>31470</v>
          </cell>
          <cell r="E631">
            <v>18.5</v>
          </cell>
          <cell r="F631">
            <v>19.600000000000001</v>
          </cell>
          <cell r="G631">
            <v>1</v>
          </cell>
          <cell r="H631">
            <v>5.5</v>
          </cell>
          <cell r="I631">
            <v>2.7</v>
          </cell>
          <cell r="J631" t="str">
            <v>No formal educational credential</v>
          </cell>
          <cell r="K631" t="str">
            <v>None</v>
          </cell>
          <cell r="L631" t="str">
            <v>Short-term on-the-job training</v>
          </cell>
          <cell r="M631" t="str">
            <v>—</v>
          </cell>
        </row>
        <row r="632">
          <cell r="A632" t="str">
            <v>39-5094</v>
          </cell>
          <cell r="B632" t="str">
            <v xml:space="preserve">        Skincare specialists</v>
          </cell>
          <cell r="C632" t="str">
            <v>Line item</v>
          </cell>
          <cell r="D632">
            <v>41560</v>
          </cell>
          <cell r="E632">
            <v>97.4</v>
          </cell>
          <cell r="F632">
            <v>103.9</v>
          </cell>
          <cell r="G632">
            <v>6.6</v>
          </cell>
          <cell r="H632">
            <v>6.7</v>
          </cell>
          <cell r="I632">
            <v>14.5</v>
          </cell>
          <cell r="J632" t="str">
            <v>Postsecondary nondegree award</v>
          </cell>
          <cell r="K632" t="str">
            <v>None</v>
          </cell>
          <cell r="L632" t="str">
            <v>None</v>
          </cell>
          <cell r="M632" t="str">
            <v>OOH Content</v>
          </cell>
        </row>
        <row r="633">
          <cell r="A633" t="str">
            <v>39-6000</v>
          </cell>
          <cell r="B633" t="str">
            <v xml:space="preserve">    Baggage porters, bellhops, and concierges</v>
          </cell>
          <cell r="C633" t="str">
            <v>Summary</v>
          </cell>
          <cell r="D633">
            <v>36810</v>
          </cell>
          <cell r="E633">
            <v>78.099999999999994</v>
          </cell>
          <cell r="F633">
            <v>78.599999999999994</v>
          </cell>
          <cell r="G633">
            <v>0.5</v>
          </cell>
          <cell r="H633">
            <v>0.7</v>
          </cell>
          <cell r="I633">
            <v>11.5</v>
          </cell>
          <cell r="J633" t="str">
            <v>—</v>
          </cell>
          <cell r="K633" t="str">
            <v>—</v>
          </cell>
          <cell r="L633" t="str">
            <v>—</v>
          </cell>
          <cell r="M633" t="str">
            <v>—</v>
          </cell>
        </row>
        <row r="634">
          <cell r="A634" t="str">
            <v>39-6011</v>
          </cell>
          <cell r="B634" t="str">
            <v xml:space="preserve">      Baggage porters and bellhops</v>
          </cell>
          <cell r="C634" t="str">
            <v>Line item</v>
          </cell>
          <cell r="D634">
            <v>36020</v>
          </cell>
          <cell r="E634">
            <v>32.5</v>
          </cell>
          <cell r="F634">
            <v>32</v>
          </cell>
          <cell r="G634">
            <v>-0.5</v>
          </cell>
          <cell r="H634">
            <v>-1.6</v>
          </cell>
          <cell r="I634">
            <v>4.5999999999999996</v>
          </cell>
          <cell r="J634" t="str">
            <v>High school diploma or equivalent</v>
          </cell>
          <cell r="K634" t="str">
            <v>None</v>
          </cell>
          <cell r="L634" t="str">
            <v>Short-term on-the-job training</v>
          </cell>
          <cell r="M634" t="str">
            <v>—</v>
          </cell>
        </row>
        <row r="635">
          <cell r="A635" t="str">
            <v>39-6012</v>
          </cell>
          <cell r="B635" t="str">
            <v xml:space="preserve">      Concierges</v>
          </cell>
          <cell r="C635" t="str">
            <v>Line item</v>
          </cell>
          <cell r="D635">
            <v>37320</v>
          </cell>
          <cell r="E635">
            <v>45.6</v>
          </cell>
          <cell r="F635">
            <v>46.7</v>
          </cell>
          <cell r="G635">
            <v>1.1000000000000001</v>
          </cell>
          <cell r="H635">
            <v>2.2999999999999998</v>
          </cell>
          <cell r="I635">
            <v>6.8</v>
          </cell>
          <cell r="J635" t="str">
            <v>High school diploma or equivalent</v>
          </cell>
          <cell r="K635" t="str">
            <v>None</v>
          </cell>
          <cell r="L635" t="str">
            <v>Moderate-term on-the-job training</v>
          </cell>
          <cell r="M635" t="str">
            <v>OOH Content</v>
          </cell>
        </row>
        <row r="636">
          <cell r="A636" t="str">
            <v>39-7000</v>
          </cell>
          <cell r="B636" t="str">
            <v xml:space="preserve">    Tour and travel guides</v>
          </cell>
          <cell r="C636" t="str">
            <v>Summary</v>
          </cell>
          <cell r="D636">
            <v>36660</v>
          </cell>
          <cell r="E636">
            <v>55.8</v>
          </cell>
          <cell r="F636">
            <v>60.3</v>
          </cell>
          <cell r="G636">
            <v>4.5</v>
          </cell>
          <cell r="H636">
            <v>8.1</v>
          </cell>
          <cell r="I636">
            <v>13</v>
          </cell>
          <cell r="J636" t="str">
            <v>—</v>
          </cell>
          <cell r="K636" t="str">
            <v>—</v>
          </cell>
          <cell r="L636" t="str">
            <v>—</v>
          </cell>
          <cell r="M636" t="str">
            <v>—</v>
          </cell>
        </row>
        <row r="637">
          <cell r="A637" t="str">
            <v>39-7010</v>
          </cell>
          <cell r="B637" t="str">
            <v xml:space="preserve">      Tour and travel guides</v>
          </cell>
          <cell r="C637" t="str">
            <v>Line item</v>
          </cell>
          <cell r="D637">
            <v>36660</v>
          </cell>
          <cell r="E637">
            <v>55.8</v>
          </cell>
          <cell r="F637">
            <v>60.3</v>
          </cell>
          <cell r="G637">
            <v>4.5</v>
          </cell>
          <cell r="H637">
            <v>8.1</v>
          </cell>
          <cell r="I637">
            <v>13</v>
          </cell>
          <cell r="J637" t="str">
            <v>High school diploma or equivalent</v>
          </cell>
          <cell r="K637" t="str">
            <v>None</v>
          </cell>
          <cell r="L637" t="str">
            <v>Moderate-term on-the-job training</v>
          </cell>
          <cell r="M637" t="str">
            <v>OOH Content</v>
          </cell>
        </row>
        <row r="638">
          <cell r="A638" t="str">
            <v>39-9000</v>
          </cell>
          <cell r="B638" t="str">
            <v xml:space="preserve">    Other personal care and service workers</v>
          </cell>
          <cell r="C638" t="str">
            <v>Summary</v>
          </cell>
          <cell r="D638">
            <v>35550</v>
          </cell>
          <cell r="E638">
            <v>1875.1</v>
          </cell>
          <cell r="F638">
            <v>1912.9</v>
          </cell>
          <cell r="G638">
            <v>37.799999999999997</v>
          </cell>
          <cell r="H638">
            <v>2</v>
          </cell>
          <cell r="I638">
            <v>336</v>
          </cell>
          <cell r="J638" t="str">
            <v>—</v>
          </cell>
          <cell r="K638" t="str">
            <v>—</v>
          </cell>
          <cell r="L638" t="str">
            <v>—</v>
          </cell>
          <cell r="M638" t="str">
            <v>—</v>
          </cell>
        </row>
        <row r="639">
          <cell r="A639" t="str">
            <v>39-9011</v>
          </cell>
          <cell r="B639" t="str">
            <v xml:space="preserve">      Childcare workers</v>
          </cell>
          <cell r="C639" t="str">
            <v>Line item</v>
          </cell>
          <cell r="D639">
            <v>32050</v>
          </cell>
          <cell r="E639">
            <v>991.6</v>
          </cell>
          <cell r="F639">
            <v>962.4</v>
          </cell>
          <cell r="G639">
            <v>-29.2</v>
          </cell>
          <cell r="H639">
            <v>-2.9</v>
          </cell>
          <cell r="I639">
            <v>160.19999999999999</v>
          </cell>
          <cell r="J639" t="str">
            <v>High school diploma or equivalent</v>
          </cell>
          <cell r="K639" t="str">
            <v>None</v>
          </cell>
          <cell r="L639" t="str">
            <v>Short-term on-the-job training</v>
          </cell>
          <cell r="M639" t="str">
            <v>OOH Content</v>
          </cell>
        </row>
        <row r="640">
          <cell r="A640" t="str">
            <v>39-9030</v>
          </cell>
          <cell r="B640" t="str">
            <v xml:space="preserve">      Recreation and fitness workers</v>
          </cell>
          <cell r="C640" t="str">
            <v>Summary</v>
          </cell>
          <cell r="D640">
            <v>37420</v>
          </cell>
          <cell r="E640">
            <v>697.8</v>
          </cell>
          <cell r="F640">
            <v>755.3</v>
          </cell>
          <cell r="G640">
            <v>57.5</v>
          </cell>
          <cell r="H640">
            <v>8.1999999999999993</v>
          </cell>
          <cell r="I640">
            <v>142.19999999999999</v>
          </cell>
          <cell r="J640" t="str">
            <v>—</v>
          </cell>
          <cell r="K640" t="str">
            <v>—</v>
          </cell>
          <cell r="L640" t="str">
            <v>—</v>
          </cell>
          <cell r="M640" t="str">
            <v>—</v>
          </cell>
        </row>
        <row r="641">
          <cell r="A641" t="str">
            <v>39-9031</v>
          </cell>
          <cell r="B641" t="str">
            <v xml:space="preserve">        Exercise trainers and group fitness instructors</v>
          </cell>
          <cell r="C641" t="str">
            <v>Line item</v>
          </cell>
          <cell r="D641">
            <v>46180</v>
          </cell>
          <cell r="E641">
            <v>370.1</v>
          </cell>
          <cell r="F641">
            <v>414.2</v>
          </cell>
          <cell r="G641">
            <v>44.1</v>
          </cell>
          <cell r="H641">
            <v>11.9</v>
          </cell>
          <cell r="I641">
            <v>74.2</v>
          </cell>
          <cell r="J641" t="str">
            <v>High school diploma or equivalent</v>
          </cell>
          <cell r="K641" t="str">
            <v>None</v>
          </cell>
          <cell r="L641" t="str">
            <v>Short-term on-the-job training</v>
          </cell>
          <cell r="M641" t="str">
            <v>OOH Content</v>
          </cell>
        </row>
        <row r="642">
          <cell r="A642" t="str">
            <v>39-9032</v>
          </cell>
          <cell r="B642" t="str">
            <v xml:space="preserve">        Recreation workers</v>
          </cell>
          <cell r="C642" t="str">
            <v>Line item</v>
          </cell>
          <cell r="D642">
            <v>35380</v>
          </cell>
          <cell r="E642">
            <v>327.7</v>
          </cell>
          <cell r="F642">
            <v>341.1</v>
          </cell>
          <cell r="G642">
            <v>13.4</v>
          </cell>
          <cell r="H642">
            <v>4.0999999999999996</v>
          </cell>
          <cell r="I642">
            <v>68.099999999999994</v>
          </cell>
          <cell r="J642" t="str">
            <v>High school diploma or equivalent</v>
          </cell>
          <cell r="K642" t="str">
            <v>None</v>
          </cell>
          <cell r="L642" t="str">
            <v>Short-term on-the-job training</v>
          </cell>
          <cell r="M642" t="str">
            <v>OOH Content</v>
          </cell>
        </row>
        <row r="643">
          <cell r="A643" t="str">
            <v>39-9041</v>
          </cell>
          <cell r="B643" t="str">
            <v xml:space="preserve">      Residential advisors</v>
          </cell>
          <cell r="C643" t="str">
            <v>Line item</v>
          </cell>
          <cell r="D643">
            <v>39180</v>
          </cell>
          <cell r="E643">
            <v>91.2</v>
          </cell>
          <cell r="F643">
            <v>94.7</v>
          </cell>
          <cell r="G643">
            <v>3.5</v>
          </cell>
          <cell r="H643">
            <v>3.8</v>
          </cell>
          <cell r="I643">
            <v>17.399999999999999</v>
          </cell>
          <cell r="J643" t="str">
            <v>High school diploma or equivalent</v>
          </cell>
          <cell r="K643" t="str">
            <v>None</v>
          </cell>
          <cell r="L643" t="str">
            <v>Short-term on-the-job training</v>
          </cell>
          <cell r="M643" t="str">
            <v>—</v>
          </cell>
        </row>
        <row r="644">
          <cell r="A644" t="str">
            <v>39-9099</v>
          </cell>
          <cell r="B644" t="str">
            <v xml:space="preserve">      Personal care and service workers, all other</v>
          </cell>
          <cell r="C644" t="str">
            <v>Line item</v>
          </cell>
          <cell r="D644">
            <v>37900</v>
          </cell>
          <cell r="E644">
            <v>94.4</v>
          </cell>
          <cell r="F644">
            <v>100.4</v>
          </cell>
          <cell r="G644">
            <v>6</v>
          </cell>
          <cell r="H644">
            <v>6.4</v>
          </cell>
          <cell r="I644">
            <v>16.100000000000001</v>
          </cell>
          <cell r="J644" t="str">
            <v>High school diploma or equivalent</v>
          </cell>
          <cell r="K644" t="str">
            <v>None</v>
          </cell>
          <cell r="L644" t="str">
            <v>Short-term on-the-job training</v>
          </cell>
          <cell r="M644" t="str">
            <v>—</v>
          </cell>
        </row>
        <row r="645">
          <cell r="A645" t="str">
            <v>41-0000</v>
          </cell>
          <cell r="B645" t="str">
            <v xml:space="preserve">  Sales and related occupations</v>
          </cell>
          <cell r="C645" t="str">
            <v>Summary</v>
          </cell>
          <cell r="D645">
            <v>37460</v>
          </cell>
          <cell r="E645">
            <v>14532.6</v>
          </cell>
          <cell r="F645">
            <v>14234.8</v>
          </cell>
          <cell r="G645">
            <v>-297.8</v>
          </cell>
          <cell r="H645">
            <v>-2</v>
          </cell>
          <cell r="I645">
            <v>1786.8</v>
          </cell>
          <cell r="J645" t="str">
            <v>—</v>
          </cell>
          <cell r="K645" t="str">
            <v>—</v>
          </cell>
          <cell r="L645" t="str">
            <v>—</v>
          </cell>
          <cell r="M645" t="str">
            <v>—</v>
          </cell>
        </row>
        <row r="646">
          <cell r="A646" t="str">
            <v>41-1000</v>
          </cell>
          <cell r="B646" t="str">
            <v xml:space="preserve">    Supervisors of sales workers</v>
          </cell>
          <cell r="C646" t="str">
            <v>Summary</v>
          </cell>
          <cell r="D646">
            <v>49510</v>
          </cell>
          <cell r="E646">
            <v>1752.6</v>
          </cell>
          <cell r="F646">
            <v>1680.3</v>
          </cell>
          <cell r="G646">
            <v>-72.3</v>
          </cell>
          <cell r="H646">
            <v>-4.0999999999999996</v>
          </cell>
          <cell r="I646">
            <v>149.9</v>
          </cell>
          <cell r="J646" t="str">
            <v>—</v>
          </cell>
          <cell r="K646" t="str">
            <v>—</v>
          </cell>
          <cell r="L646" t="str">
            <v>—</v>
          </cell>
          <cell r="M646" t="str">
            <v>—</v>
          </cell>
        </row>
        <row r="647">
          <cell r="A647" t="str">
            <v>41-1011</v>
          </cell>
          <cell r="B647" t="str">
            <v xml:space="preserve">      First-line supervisors of retail sales workers</v>
          </cell>
          <cell r="C647" t="str">
            <v>Line item</v>
          </cell>
          <cell r="D647">
            <v>47320</v>
          </cell>
          <cell r="E647">
            <v>1432.6</v>
          </cell>
          <cell r="F647">
            <v>1360.3</v>
          </cell>
          <cell r="G647">
            <v>-72.3</v>
          </cell>
          <cell r="H647">
            <v>-5</v>
          </cell>
          <cell r="I647">
            <v>125.1</v>
          </cell>
          <cell r="J647" t="str">
            <v>High school diploma or equivalent</v>
          </cell>
          <cell r="K647" t="str">
            <v>Less than 5 years</v>
          </cell>
          <cell r="L647" t="str">
            <v>None</v>
          </cell>
          <cell r="M647" t="str">
            <v>—</v>
          </cell>
        </row>
        <row r="648">
          <cell r="A648" t="str">
            <v>41-1012</v>
          </cell>
          <cell r="B648" t="str">
            <v xml:space="preserve">      First-line supervisors of non-retail sales workers</v>
          </cell>
          <cell r="C648" t="str">
            <v>Line item</v>
          </cell>
          <cell r="D648">
            <v>84130</v>
          </cell>
          <cell r="E648">
            <v>320</v>
          </cell>
          <cell r="F648">
            <v>320</v>
          </cell>
          <cell r="G648">
            <v>0</v>
          </cell>
          <cell r="H648">
            <v>0</v>
          </cell>
          <cell r="I648">
            <v>24.8</v>
          </cell>
          <cell r="J648" t="str">
            <v>High school diploma or equivalent</v>
          </cell>
          <cell r="K648" t="str">
            <v>Less than 5 years</v>
          </cell>
          <cell r="L648" t="str">
            <v>None</v>
          </cell>
          <cell r="M648" t="str">
            <v>—</v>
          </cell>
        </row>
        <row r="649">
          <cell r="A649" t="str">
            <v>41-2000</v>
          </cell>
          <cell r="B649" t="str">
            <v xml:space="preserve">    Retail sales workers</v>
          </cell>
          <cell r="C649" t="str">
            <v>Summary</v>
          </cell>
          <cell r="D649">
            <v>33690</v>
          </cell>
          <cell r="E649">
            <v>7796.8</v>
          </cell>
          <cell r="F649">
            <v>7483.8</v>
          </cell>
          <cell r="G649">
            <v>-313</v>
          </cell>
          <cell r="H649">
            <v>-4</v>
          </cell>
          <cell r="I649">
            <v>1178.5999999999999</v>
          </cell>
          <cell r="J649" t="str">
            <v>—</v>
          </cell>
          <cell r="K649" t="str">
            <v>—</v>
          </cell>
          <cell r="L649" t="str">
            <v>—</v>
          </cell>
          <cell r="M649" t="str">
            <v>—</v>
          </cell>
        </row>
        <row r="650">
          <cell r="A650" t="str">
            <v>41-2010</v>
          </cell>
          <cell r="B650" t="str">
            <v xml:space="preserve">      Cashiers</v>
          </cell>
          <cell r="C650" t="str">
            <v>Summary</v>
          </cell>
          <cell r="D650">
            <v>31200</v>
          </cell>
          <cell r="E650">
            <v>3179.8</v>
          </cell>
          <cell r="F650">
            <v>2864.7</v>
          </cell>
          <cell r="G650">
            <v>-315.10000000000002</v>
          </cell>
          <cell r="H650">
            <v>-9.9</v>
          </cell>
          <cell r="I650">
            <v>546.70000000000005</v>
          </cell>
          <cell r="J650" t="str">
            <v>—</v>
          </cell>
          <cell r="K650" t="str">
            <v>—</v>
          </cell>
          <cell r="L650" t="str">
            <v>—</v>
          </cell>
          <cell r="M650" t="str">
            <v>—</v>
          </cell>
        </row>
        <row r="651">
          <cell r="A651" t="str">
            <v>41-2011</v>
          </cell>
          <cell r="B651" t="str">
            <v xml:space="preserve">        Cashiers</v>
          </cell>
          <cell r="C651" t="str">
            <v>Line item</v>
          </cell>
          <cell r="D651">
            <v>31190</v>
          </cell>
          <cell r="E651">
            <v>3157.2</v>
          </cell>
          <cell r="F651">
            <v>2843.6</v>
          </cell>
          <cell r="G651">
            <v>-313.60000000000002</v>
          </cell>
          <cell r="H651">
            <v>-9.9</v>
          </cell>
          <cell r="I651">
            <v>542.6</v>
          </cell>
          <cell r="J651" t="str">
            <v>No formal educational credential</v>
          </cell>
          <cell r="K651" t="str">
            <v>None</v>
          </cell>
          <cell r="L651" t="str">
            <v>Short-term on-the-job training</v>
          </cell>
          <cell r="M651" t="str">
            <v>OOH Content</v>
          </cell>
        </row>
        <row r="652">
          <cell r="A652" t="str">
            <v>41-2012</v>
          </cell>
          <cell r="B652" t="str">
            <v xml:space="preserve">        Gambling change persons and booth cashiers</v>
          </cell>
          <cell r="C652" t="str">
            <v>Line item</v>
          </cell>
          <cell r="D652">
            <v>34810</v>
          </cell>
          <cell r="E652">
            <v>22.6</v>
          </cell>
          <cell r="F652">
            <v>21.1</v>
          </cell>
          <cell r="G652">
            <v>-1.5</v>
          </cell>
          <cell r="H652">
            <v>-6.4</v>
          </cell>
          <cell r="I652">
            <v>4</v>
          </cell>
          <cell r="J652" t="str">
            <v>No formal educational credential</v>
          </cell>
          <cell r="K652" t="str">
            <v>None</v>
          </cell>
          <cell r="L652" t="str">
            <v>Short-term on-the-job training</v>
          </cell>
          <cell r="M652" t="str">
            <v>—</v>
          </cell>
        </row>
        <row r="653">
          <cell r="A653" t="str">
            <v>41-2020</v>
          </cell>
          <cell r="B653" t="str">
            <v xml:space="preserve">      Counter and rental clerks and parts salespersons</v>
          </cell>
          <cell r="C653" t="str">
            <v>Summary</v>
          </cell>
          <cell r="D653">
            <v>38100</v>
          </cell>
          <cell r="E653">
            <v>680.3</v>
          </cell>
          <cell r="F653">
            <v>701.9</v>
          </cell>
          <cell r="G653">
            <v>21.6</v>
          </cell>
          <cell r="H653">
            <v>3.2</v>
          </cell>
          <cell r="I653">
            <v>76.099999999999994</v>
          </cell>
          <cell r="J653" t="str">
            <v>—</v>
          </cell>
          <cell r="K653" t="str">
            <v>—</v>
          </cell>
          <cell r="L653" t="str">
            <v>—</v>
          </cell>
          <cell r="M653" t="str">
            <v>—</v>
          </cell>
        </row>
        <row r="654">
          <cell r="A654" t="str">
            <v>41-2021</v>
          </cell>
          <cell r="B654" t="str">
            <v xml:space="preserve">        Counter and rental clerks</v>
          </cell>
          <cell r="C654" t="str">
            <v>Line item</v>
          </cell>
          <cell r="D654">
            <v>38540</v>
          </cell>
          <cell r="E654">
            <v>408.2</v>
          </cell>
          <cell r="F654">
            <v>421.3</v>
          </cell>
          <cell r="G654">
            <v>13.1</v>
          </cell>
          <cell r="H654">
            <v>3.2</v>
          </cell>
          <cell r="I654">
            <v>45.9</v>
          </cell>
          <cell r="J654" t="str">
            <v>No formal educational credential</v>
          </cell>
          <cell r="K654" t="str">
            <v>None</v>
          </cell>
          <cell r="L654" t="str">
            <v>Short-term on-the-job training</v>
          </cell>
          <cell r="M654" t="str">
            <v>—</v>
          </cell>
        </row>
        <row r="655">
          <cell r="A655" t="str">
            <v>41-2022</v>
          </cell>
          <cell r="B655" t="str">
            <v xml:space="preserve">        Parts salespersons</v>
          </cell>
          <cell r="C655" t="str">
            <v>Line item</v>
          </cell>
          <cell r="D655">
            <v>37440</v>
          </cell>
          <cell r="E655">
            <v>272.10000000000002</v>
          </cell>
          <cell r="F655">
            <v>280.60000000000002</v>
          </cell>
          <cell r="G655">
            <v>8.5</v>
          </cell>
          <cell r="H655">
            <v>3.1</v>
          </cell>
          <cell r="I655">
            <v>30.2</v>
          </cell>
          <cell r="J655" t="str">
            <v>No formal educational credential</v>
          </cell>
          <cell r="K655" t="str">
            <v>None</v>
          </cell>
          <cell r="L655" t="str">
            <v>Moderate-term on-the-job training</v>
          </cell>
          <cell r="M655" t="str">
            <v>OOH Content</v>
          </cell>
        </row>
        <row r="656">
          <cell r="A656" t="str">
            <v>41-2031</v>
          </cell>
          <cell r="B656" t="str">
            <v xml:space="preserve">      Retail salespersons</v>
          </cell>
          <cell r="C656" t="str">
            <v>Line item</v>
          </cell>
          <cell r="D656">
            <v>34580</v>
          </cell>
          <cell r="E656">
            <v>3936.7</v>
          </cell>
          <cell r="F656">
            <v>3917.1</v>
          </cell>
          <cell r="G656">
            <v>-19.600000000000001</v>
          </cell>
          <cell r="H656">
            <v>-0.5</v>
          </cell>
          <cell r="I656">
            <v>555.79999999999995</v>
          </cell>
          <cell r="J656" t="str">
            <v>No formal educational credential</v>
          </cell>
          <cell r="K656" t="str">
            <v>None</v>
          </cell>
          <cell r="L656" t="str">
            <v>Short-term on-the-job training</v>
          </cell>
          <cell r="M656" t="str">
            <v>OOH Content</v>
          </cell>
        </row>
        <row r="657">
          <cell r="A657" t="str">
            <v>41-3000</v>
          </cell>
          <cell r="B657" t="str">
            <v xml:space="preserve">    Sales representatives, services</v>
          </cell>
          <cell r="C657" t="str">
            <v>Summary</v>
          </cell>
          <cell r="D657">
            <v>64200</v>
          </cell>
          <cell r="E657">
            <v>2479.4</v>
          </cell>
          <cell r="F657">
            <v>2550.3000000000002</v>
          </cell>
          <cell r="G657">
            <v>70.900000000000006</v>
          </cell>
          <cell r="H657">
            <v>2.9</v>
          </cell>
          <cell r="I657">
            <v>224.6</v>
          </cell>
          <cell r="J657" t="str">
            <v>—</v>
          </cell>
          <cell r="K657" t="str">
            <v>—</v>
          </cell>
          <cell r="L657" t="str">
            <v>—</v>
          </cell>
          <cell r="M657" t="str">
            <v>—</v>
          </cell>
        </row>
        <row r="658">
          <cell r="A658" t="str">
            <v>41-3011</v>
          </cell>
          <cell r="B658" t="str">
            <v xml:space="preserve">      Advertising sales agents</v>
          </cell>
          <cell r="C658" t="str">
            <v>Line item</v>
          </cell>
          <cell r="D658">
            <v>61460</v>
          </cell>
          <cell r="E658">
            <v>103.7</v>
          </cell>
          <cell r="F658">
            <v>97.1</v>
          </cell>
          <cell r="G658">
            <v>-6.6</v>
          </cell>
          <cell r="H658">
            <v>-6.4</v>
          </cell>
          <cell r="I658">
            <v>9.3000000000000007</v>
          </cell>
          <cell r="J658" t="str">
            <v>High school diploma or equivalent</v>
          </cell>
          <cell r="K658" t="str">
            <v>None</v>
          </cell>
          <cell r="L658" t="str">
            <v>Moderate-term on-the-job training</v>
          </cell>
          <cell r="M658" t="str">
            <v>OOH Content</v>
          </cell>
        </row>
        <row r="659">
          <cell r="A659" t="str">
            <v>41-3021</v>
          </cell>
          <cell r="B659" t="str">
            <v xml:space="preserve">      Insurance sales agents</v>
          </cell>
          <cell r="C659" t="str">
            <v>Line item</v>
          </cell>
          <cell r="D659">
            <v>60370</v>
          </cell>
          <cell r="E659">
            <v>568.79999999999995</v>
          </cell>
          <cell r="F659">
            <v>589.79999999999995</v>
          </cell>
          <cell r="G659">
            <v>21.1</v>
          </cell>
          <cell r="H659">
            <v>3.7</v>
          </cell>
          <cell r="I659">
            <v>47</v>
          </cell>
          <cell r="J659" t="str">
            <v>High school diploma or equivalent</v>
          </cell>
          <cell r="K659" t="str">
            <v>None</v>
          </cell>
          <cell r="L659" t="str">
            <v>Moderate-term on-the-job training</v>
          </cell>
          <cell r="M659" t="str">
            <v>OOH Content</v>
          </cell>
        </row>
        <row r="660">
          <cell r="A660" t="str">
            <v>41-3031</v>
          </cell>
          <cell r="B660" t="str">
            <v xml:space="preserve">      Securities, commodities, and financial services sales agents</v>
          </cell>
          <cell r="C660" t="str">
            <v>Line item</v>
          </cell>
          <cell r="D660">
            <v>78140</v>
          </cell>
          <cell r="E660">
            <v>514.5</v>
          </cell>
          <cell r="F660">
            <v>531.6</v>
          </cell>
          <cell r="G660">
            <v>17.100000000000001</v>
          </cell>
          <cell r="H660">
            <v>3.3</v>
          </cell>
          <cell r="I660">
            <v>38.1</v>
          </cell>
          <cell r="J660" t="str">
            <v>Bachelor's degree</v>
          </cell>
          <cell r="K660" t="str">
            <v>None</v>
          </cell>
          <cell r="L660" t="str">
            <v>Moderate-term on-the-job training</v>
          </cell>
          <cell r="M660" t="str">
            <v>OOH Content</v>
          </cell>
        </row>
        <row r="661">
          <cell r="A661" t="str">
            <v>41-3041</v>
          </cell>
          <cell r="B661" t="str">
            <v xml:space="preserve">      Travel agents</v>
          </cell>
          <cell r="C661" t="str">
            <v>Line item</v>
          </cell>
          <cell r="D661">
            <v>48450</v>
          </cell>
          <cell r="E661">
            <v>65.7</v>
          </cell>
          <cell r="F661">
            <v>67.2</v>
          </cell>
          <cell r="G661">
            <v>1.4</v>
          </cell>
          <cell r="H661">
            <v>2.2000000000000002</v>
          </cell>
          <cell r="I661">
            <v>7.1</v>
          </cell>
          <cell r="J661" t="str">
            <v>High school diploma or equivalent</v>
          </cell>
          <cell r="K661" t="str">
            <v>None</v>
          </cell>
          <cell r="L661" t="str">
            <v>Moderate-term on-the-job training</v>
          </cell>
          <cell r="M661" t="str">
            <v>OOH Content</v>
          </cell>
        </row>
        <row r="662">
          <cell r="A662" t="str">
            <v>41-3091</v>
          </cell>
          <cell r="B662" t="str">
            <v xml:space="preserve">      Sales representatives of services, except advertising, insurance, financial services, and travel</v>
          </cell>
          <cell r="C662" t="str">
            <v>Line item</v>
          </cell>
          <cell r="D662">
            <v>66260</v>
          </cell>
          <cell r="E662">
            <v>1226.7</v>
          </cell>
          <cell r="F662">
            <v>1264.7</v>
          </cell>
          <cell r="G662">
            <v>37.9</v>
          </cell>
          <cell r="H662">
            <v>3.1</v>
          </cell>
          <cell r="I662">
            <v>123</v>
          </cell>
          <cell r="J662" t="str">
            <v>High school diploma or equivalent</v>
          </cell>
          <cell r="K662" t="str">
            <v>None</v>
          </cell>
          <cell r="L662" t="str">
            <v>Moderate-term on-the-job training</v>
          </cell>
          <cell r="M662" t="str">
            <v>—</v>
          </cell>
        </row>
        <row r="663">
          <cell r="A663" t="str">
            <v>41-4000</v>
          </cell>
          <cell r="B663" t="str">
            <v xml:space="preserve">    Sales representatives, wholesale and manufacturing</v>
          </cell>
          <cell r="C663" t="str">
            <v>Summary</v>
          </cell>
          <cell r="D663">
            <v>74100</v>
          </cell>
          <cell r="E663">
            <v>1613.6</v>
          </cell>
          <cell r="F663">
            <v>1623.8</v>
          </cell>
          <cell r="G663">
            <v>10.1</v>
          </cell>
          <cell r="H663">
            <v>0.6</v>
          </cell>
          <cell r="I663">
            <v>142.1</v>
          </cell>
          <cell r="J663" t="str">
            <v>—</v>
          </cell>
          <cell r="K663" t="str">
            <v>—</v>
          </cell>
          <cell r="L663" t="str">
            <v>—</v>
          </cell>
          <cell r="M663" t="str">
            <v>—</v>
          </cell>
        </row>
        <row r="664">
          <cell r="A664" t="str">
            <v>41-4011</v>
          </cell>
          <cell r="B664" t="str">
            <v xml:space="preserve">      Sales representatives, wholesale and manufacturing, technical and scientific products</v>
          </cell>
          <cell r="C664" t="str">
            <v>Line item</v>
          </cell>
          <cell r="D664">
            <v>100070</v>
          </cell>
          <cell r="E664">
            <v>303.2</v>
          </cell>
          <cell r="F664">
            <v>308.89999999999998</v>
          </cell>
          <cell r="G664">
            <v>5.7</v>
          </cell>
          <cell r="H664">
            <v>1.9</v>
          </cell>
          <cell r="I664">
            <v>27.2</v>
          </cell>
          <cell r="J664" t="str">
            <v>Bachelor's degree</v>
          </cell>
          <cell r="K664" t="str">
            <v>None</v>
          </cell>
          <cell r="L664" t="str">
            <v>Moderate-term on-the-job training</v>
          </cell>
          <cell r="M664" t="str">
            <v>OOH Content</v>
          </cell>
        </row>
        <row r="665">
          <cell r="A665" t="str">
            <v>41-4012</v>
          </cell>
          <cell r="B665" t="str">
            <v xml:space="preserve">      Sales representatives, wholesale and manufacturing, except technical and scientific products</v>
          </cell>
          <cell r="C665" t="str">
            <v>Line item</v>
          </cell>
          <cell r="D665">
            <v>66780</v>
          </cell>
          <cell r="E665">
            <v>1310.5</v>
          </cell>
          <cell r="F665">
            <v>1314.9</v>
          </cell>
          <cell r="G665">
            <v>4.4000000000000004</v>
          </cell>
          <cell r="H665">
            <v>0.3</v>
          </cell>
          <cell r="I665">
            <v>114.8</v>
          </cell>
          <cell r="J665" t="str">
            <v>High school diploma or equivalent</v>
          </cell>
          <cell r="K665" t="str">
            <v>None</v>
          </cell>
          <cell r="L665" t="str">
            <v>Moderate-term on-the-job training</v>
          </cell>
          <cell r="M665" t="str">
            <v>OOH Content</v>
          </cell>
        </row>
        <row r="666">
          <cell r="A666" t="str">
            <v>41-9000</v>
          </cell>
          <cell r="B666" t="str">
            <v xml:space="preserve">    Other sales and related workers</v>
          </cell>
          <cell r="C666" t="str">
            <v>Summary</v>
          </cell>
          <cell r="D666">
            <v>49720</v>
          </cell>
          <cell r="E666">
            <v>890.1</v>
          </cell>
          <cell r="F666">
            <v>896.6</v>
          </cell>
          <cell r="G666">
            <v>6.5</v>
          </cell>
          <cell r="H666">
            <v>0.7</v>
          </cell>
          <cell r="I666">
            <v>91.6</v>
          </cell>
          <cell r="J666" t="str">
            <v>—</v>
          </cell>
          <cell r="K666" t="str">
            <v>—</v>
          </cell>
          <cell r="L666" t="str">
            <v>—</v>
          </cell>
          <cell r="M666" t="str">
            <v>—</v>
          </cell>
        </row>
        <row r="667">
          <cell r="A667" t="str">
            <v>41-9010</v>
          </cell>
          <cell r="B667" t="str">
            <v xml:space="preserve">      Models, demonstrators, and product promoters</v>
          </cell>
          <cell r="C667" t="str">
            <v>Summary</v>
          </cell>
          <cell r="D667">
            <v>38760</v>
          </cell>
          <cell r="E667">
            <v>85.9</v>
          </cell>
          <cell r="F667">
            <v>85.7</v>
          </cell>
          <cell r="G667">
            <v>-0.1</v>
          </cell>
          <cell r="H667">
            <v>-0.2</v>
          </cell>
          <cell r="I667">
            <v>15.2</v>
          </cell>
          <cell r="J667" t="str">
            <v>—</v>
          </cell>
          <cell r="K667" t="str">
            <v>—</v>
          </cell>
          <cell r="L667" t="str">
            <v>—</v>
          </cell>
          <cell r="M667" t="str">
            <v>—</v>
          </cell>
        </row>
        <row r="668">
          <cell r="A668" t="str">
            <v>41-9011</v>
          </cell>
          <cell r="B668" t="str">
            <v xml:space="preserve">        Demonstrators and product promoters</v>
          </cell>
          <cell r="C668" t="str">
            <v>Line item</v>
          </cell>
          <cell r="D668">
            <v>37960</v>
          </cell>
          <cell r="E668">
            <v>79.2</v>
          </cell>
          <cell r="F668">
            <v>79.099999999999994</v>
          </cell>
          <cell r="G668">
            <v>-0.1</v>
          </cell>
          <cell r="H668">
            <v>-0.1</v>
          </cell>
          <cell r="I668">
            <v>14</v>
          </cell>
          <cell r="J668" t="str">
            <v>No formal educational credential</v>
          </cell>
          <cell r="K668" t="str">
            <v>None</v>
          </cell>
          <cell r="L668" t="str">
            <v>Short-term on-the-job training</v>
          </cell>
          <cell r="M668" t="str">
            <v>—</v>
          </cell>
        </row>
        <row r="669">
          <cell r="A669" t="str">
            <v>41-9012</v>
          </cell>
          <cell r="B669" t="str">
            <v xml:space="preserve">        Models</v>
          </cell>
          <cell r="C669" t="str">
            <v>Line item</v>
          </cell>
          <cell r="D669">
            <v>89990</v>
          </cell>
          <cell r="E669">
            <v>6.7</v>
          </cell>
          <cell r="F669">
            <v>6.7</v>
          </cell>
          <cell r="G669">
            <v>0</v>
          </cell>
          <cell r="H669">
            <v>-0.5</v>
          </cell>
          <cell r="I669">
            <v>1.2</v>
          </cell>
          <cell r="J669" t="str">
            <v>No formal educational credential</v>
          </cell>
          <cell r="K669" t="str">
            <v>None</v>
          </cell>
          <cell r="L669" t="str">
            <v>None</v>
          </cell>
          <cell r="M669" t="str">
            <v>OOH Content</v>
          </cell>
        </row>
        <row r="670">
          <cell r="A670" t="str">
            <v>41-9020</v>
          </cell>
          <cell r="B670" t="str">
            <v xml:space="preserve">      Real estate brokers and sales agents</v>
          </cell>
          <cell r="C670" t="str">
            <v>Summary</v>
          </cell>
          <cell r="D670">
            <v>58960</v>
          </cell>
          <cell r="E670">
            <v>532.20000000000005</v>
          </cell>
          <cell r="F670">
            <v>548.70000000000005</v>
          </cell>
          <cell r="G670">
            <v>16.5</v>
          </cell>
          <cell r="H670">
            <v>3.1</v>
          </cell>
          <cell r="I670">
            <v>46.3</v>
          </cell>
          <cell r="J670" t="str">
            <v>—</v>
          </cell>
          <cell r="K670" t="str">
            <v>—</v>
          </cell>
          <cell r="L670" t="str">
            <v>—</v>
          </cell>
          <cell r="M670" t="str">
            <v>—</v>
          </cell>
        </row>
        <row r="671">
          <cell r="A671" t="str">
            <v>41-9021</v>
          </cell>
          <cell r="B671" t="str">
            <v xml:space="preserve">        Real estate brokers</v>
          </cell>
          <cell r="C671" t="str">
            <v>Line item</v>
          </cell>
          <cell r="D671">
            <v>72280</v>
          </cell>
          <cell r="E671">
            <v>111.3</v>
          </cell>
          <cell r="F671">
            <v>115</v>
          </cell>
          <cell r="G671">
            <v>3.7</v>
          </cell>
          <cell r="H671">
            <v>3.3</v>
          </cell>
          <cell r="I671">
            <v>9.6999999999999993</v>
          </cell>
          <cell r="J671" t="str">
            <v>High school diploma or equivalent</v>
          </cell>
          <cell r="K671" t="str">
            <v>Less than 5 years</v>
          </cell>
          <cell r="L671" t="str">
            <v>None</v>
          </cell>
          <cell r="M671" t="str">
            <v>OOH Content</v>
          </cell>
        </row>
        <row r="672">
          <cell r="A672" t="str">
            <v>41-9022</v>
          </cell>
          <cell r="B672" t="str">
            <v xml:space="preserve">        Real estate sales agents</v>
          </cell>
          <cell r="C672" t="str">
            <v>Line item</v>
          </cell>
          <cell r="D672">
            <v>56320</v>
          </cell>
          <cell r="E672">
            <v>420.9</v>
          </cell>
          <cell r="F672">
            <v>433.7</v>
          </cell>
          <cell r="G672">
            <v>12.8</v>
          </cell>
          <cell r="H672">
            <v>3.1</v>
          </cell>
          <cell r="I672">
            <v>36.6</v>
          </cell>
          <cell r="J672" t="str">
            <v>High school diploma or equivalent</v>
          </cell>
          <cell r="K672" t="str">
            <v>None</v>
          </cell>
          <cell r="L672" t="str">
            <v>Moderate-term on-the-job training</v>
          </cell>
          <cell r="M672" t="str">
            <v>OOH Content</v>
          </cell>
        </row>
        <row r="673">
          <cell r="A673" t="str">
            <v>41-9031</v>
          </cell>
          <cell r="B673" t="str">
            <v xml:space="preserve">      Sales engineers</v>
          </cell>
          <cell r="C673" t="str">
            <v>Line item</v>
          </cell>
          <cell r="D673">
            <v>121520</v>
          </cell>
          <cell r="E673">
            <v>56.8</v>
          </cell>
          <cell r="F673">
            <v>59.9</v>
          </cell>
          <cell r="G673">
            <v>3.1</v>
          </cell>
          <cell r="H673">
            <v>5.5</v>
          </cell>
          <cell r="I673">
            <v>5</v>
          </cell>
          <cell r="J673" t="str">
            <v>Bachelor's degree</v>
          </cell>
          <cell r="K673" t="str">
            <v>None</v>
          </cell>
          <cell r="L673" t="str">
            <v>Moderate-term on-the-job training</v>
          </cell>
          <cell r="M673" t="str">
            <v>OOH Content</v>
          </cell>
        </row>
        <row r="674">
          <cell r="A674" t="str">
            <v>41-9041</v>
          </cell>
          <cell r="B674" t="str">
            <v xml:space="preserve">      Telemarketers</v>
          </cell>
          <cell r="C674" t="str">
            <v>Line item</v>
          </cell>
          <cell r="D674">
            <v>34410</v>
          </cell>
          <cell r="E674">
            <v>67.400000000000006</v>
          </cell>
          <cell r="F674">
            <v>52.5</v>
          </cell>
          <cell r="G674">
            <v>-14.9</v>
          </cell>
          <cell r="H674">
            <v>-22.1</v>
          </cell>
          <cell r="I674">
            <v>6.5</v>
          </cell>
          <cell r="J674" t="str">
            <v>No formal educational credential</v>
          </cell>
          <cell r="K674" t="str">
            <v>None</v>
          </cell>
          <cell r="L674" t="str">
            <v>Short-term on-the-job training</v>
          </cell>
          <cell r="M674" t="str">
            <v>—</v>
          </cell>
        </row>
        <row r="675">
          <cell r="A675" t="str">
            <v>41-9090</v>
          </cell>
          <cell r="B675" t="str">
            <v xml:space="preserve">      Miscellaneous sales and related workers</v>
          </cell>
          <cell r="C675" t="str">
            <v>Summary</v>
          </cell>
          <cell r="D675">
            <v>46000</v>
          </cell>
          <cell r="E675">
            <v>147.80000000000001</v>
          </cell>
          <cell r="F675">
            <v>149.80000000000001</v>
          </cell>
          <cell r="G675">
            <v>2</v>
          </cell>
          <cell r="H675">
            <v>1.3</v>
          </cell>
          <cell r="I675">
            <v>18.7</v>
          </cell>
          <cell r="J675" t="str">
            <v>—</v>
          </cell>
          <cell r="K675" t="str">
            <v>—</v>
          </cell>
          <cell r="L675" t="str">
            <v>—</v>
          </cell>
          <cell r="M675" t="str">
            <v>—</v>
          </cell>
        </row>
        <row r="676">
          <cell r="A676" t="str">
            <v>41-9091</v>
          </cell>
          <cell r="B676" t="str">
            <v xml:space="preserve">        Door-to-door sales workers, news and street vendors, and related workers</v>
          </cell>
          <cell r="C676" t="str">
            <v>Line item</v>
          </cell>
          <cell r="D676">
            <v>34530</v>
          </cell>
          <cell r="E676">
            <v>25.3</v>
          </cell>
          <cell r="F676">
            <v>22.8</v>
          </cell>
          <cell r="G676">
            <v>-2.5</v>
          </cell>
          <cell r="H676">
            <v>-10</v>
          </cell>
          <cell r="I676">
            <v>2.7</v>
          </cell>
          <cell r="J676" t="str">
            <v>No formal educational credential</v>
          </cell>
          <cell r="K676" t="str">
            <v>None</v>
          </cell>
          <cell r="L676" t="str">
            <v>Short-term on-the-job training</v>
          </cell>
          <cell r="M676" t="str">
            <v>—</v>
          </cell>
        </row>
        <row r="677">
          <cell r="A677" t="str">
            <v>41-9099</v>
          </cell>
          <cell r="B677" t="str">
            <v xml:space="preserve">        Sales and related workers, all other</v>
          </cell>
          <cell r="C677" t="str">
            <v>Line item</v>
          </cell>
          <cell r="D677">
            <v>46370</v>
          </cell>
          <cell r="E677">
            <v>122.6</v>
          </cell>
          <cell r="F677">
            <v>127.1</v>
          </cell>
          <cell r="G677">
            <v>4.5</v>
          </cell>
          <cell r="H677">
            <v>3.7</v>
          </cell>
          <cell r="I677">
            <v>16</v>
          </cell>
          <cell r="J677" t="str">
            <v>High school diploma or equivalent</v>
          </cell>
          <cell r="K677" t="str">
            <v>None</v>
          </cell>
          <cell r="L677" t="str">
            <v>None</v>
          </cell>
          <cell r="M677" t="str">
            <v>—</v>
          </cell>
        </row>
        <row r="678">
          <cell r="A678" t="str">
            <v>43-0000</v>
          </cell>
          <cell r="B678" t="str">
            <v xml:space="preserve">  Office and administrative support occupations</v>
          </cell>
          <cell r="C678" t="str">
            <v>Summary</v>
          </cell>
          <cell r="D678">
            <v>46320</v>
          </cell>
          <cell r="E678">
            <v>19325.2</v>
          </cell>
          <cell r="F678">
            <v>18563.3</v>
          </cell>
          <cell r="G678">
            <v>-761.9</v>
          </cell>
          <cell r="H678">
            <v>-3.9</v>
          </cell>
          <cell r="I678">
            <v>1996.8</v>
          </cell>
          <cell r="J678" t="str">
            <v>—</v>
          </cell>
          <cell r="K678" t="str">
            <v>—</v>
          </cell>
          <cell r="L678" t="str">
            <v>—</v>
          </cell>
          <cell r="M678" t="str">
            <v>—</v>
          </cell>
        </row>
        <row r="679">
          <cell r="A679" t="str">
            <v>43-1000</v>
          </cell>
          <cell r="B679" t="str">
            <v xml:space="preserve">    Supervisors of office and administrative support workers</v>
          </cell>
          <cell r="C679" t="str">
            <v>Summary</v>
          </cell>
          <cell r="D679">
            <v>66140</v>
          </cell>
          <cell r="E679">
            <v>1558.4</v>
          </cell>
          <cell r="F679">
            <v>1554.4</v>
          </cell>
          <cell r="G679">
            <v>-3.9</v>
          </cell>
          <cell r="H679">
            <v>-0.3</v>
          </cell>
          <cell r="I679">
            <v>144.5</v>
          </cell>
          <cell r="J679" t="str">
            <v>—</v>
          </cell>
          <cell r="K679" t="str">
            <v>—</v>
          </cell>
          <cell r="L679" t="str">
            <v>—</v>
          </cell>
          <cell r="M679" t="str">
            <v>—</v>
          </cell>
        </row>
        <row r="680">
          <cell r="A680" t="str">
            <v>43-1011</v>
          </cell>
          <cell r="B680" t="str">
            <v xml:space="preserve">      First-line supervisors of office and administrative support workers</v>
          </cell>
          <cell r="C680" t="str">
            <v>Line item</v>
          </cell>
          <cell r="D680">
            <v>66140</v>
          </cell>
          <cell r="E680">
            <v>1558.4</v>
          </cell>
          <cell r="F680">
            <v>1554.4</v>
          </cell>
          <cell r="G680">
            <v>-3.9</v>
          </cell>
          <cell r="H680">
            <v>-0.3</v>
          </cell>
          <cell r="I680">
            <v>144.5</v>
          </cell>
          <cell r="J680" t="str">
            <v>High school diploma or equivalent</v>
          </cell>
          <cell r="K680" t="str">
            <v>Less than 5 years</v>
          </cell>
          <cell r="L680" t="str">
            <v>None</v>
          </cell>
          <cell r="M680" t="str">
            <v>—</v>
          </cell>
        </row>
        <row r="681">
          <cell r="A681" t="str">
            <v>43-2000</v>
          </cell>
          <cell r="B681" t="str">
            <v xml:space="preserve">    Communications equipment operators</v>
          </cell>
          <cell r="C681" t="str">
            <v>Summary</v>
          </cell>
          <cell r="D681">
            <v>38600</v>
          </cell>
          <cell r="E681">
            <v>42.1</v>
          </cell>
          <cell r="F681">
            <v>31.4</v>
          </cell>
          <cell r="G681">
            <v>-10.7</v>
          </cell>
          <cell r="H681">
            <v>-25.4</v>
          </cell>
          <cell r="I681">
            <v>3.2</v>
          </cell>
          <cell r="J681" t="str">
            <v>—</v>
          </cell>
          <cell r="K681" t="str">
            <v>—</v>
          </cell>
          <cell r="L681" t="str">
            <v>—</v>
          </cell>
          <cell r="M681" t="str">
            <v>—</v>
          </cell>
        </row>
        <row r="682">
          <cell r="A682" t="str">
            <v>43-2011</v>
          </cell>
          <cell r="B682" t="str">
            <v xml:space="preserve">      Switchboard operators, including answering service</v>
          </cell>
          <cell r="C682" t="str">
            <v>Line item</v>
          </cell>
          <cell r="D682">
            <v>38370</v>
          </cell>
          <cell r="E682">
            <v>36.6</v>
          </cell>
          <cell r="F682">
            <v>27</v>
          </cell>
          <cell r="G682">
            <v>-9.6</v>
          </cell>
          <cell r="H682">
            <v>-26.3</v>
          </cell>
          <cell r="I682">
            <v>2.8</v>
          </cell>
          <cell r="J682" t="str">
            <v>High school diploma or equivalent</v>
          </cell>
          <cell r="K682" t="str">
            <v>None</v>
          </cell>
          <cell r="L682" t="str">
            <v>Short-term on-the-job training</v>
          </cell>
          <cell r="M682" t="str">
            <v>—</v>
          </cell>
        </row>
        <row r="683">
          <cell r="A683" t="str">
            <v>43-2021</v>
          </cell>
          <cell r="B683" t="str">
            <v xml:space="preserve">      Telephone operators</v>
          </cell>
          <cell r="C683" t="str">
            <v>Line item</v>
          </cell>
          <cell r="D683">
            <v>39130</v>
          </cell>
          <cell r="E683">
            <v>4</v>
          </cell>
          <cell r="F683">
            <v>2.9</v>
          </cell>
          <cell r="G683">
            <v>-1.1000000000000001</v>
          </cell>
          <cell r="H683">
            <v>-27.5</v>
          </cell>
          <cell r="I683">
            <v>0.3</v>
          </cell>
          <cell r="J683" t="str">
            <v>High school diploma or equivalent</v>
          </cell>
          <cell r="K683" t="str">
            <v>None</v>
          </cell>
          <cell r="L683" t="str">
            <v>Short-term on-the-job training</v>
          </cell>
          <cell r="M683" t="str">
            <v>—</v>
          </cell>
        </row>
        <row r="684">
          <cell r="A684" t="str">
            <v>43-2099</v>
          </cell>
          <cell r="B684" t="str">
            <v xml:space="preserve">      Communications equipment operators, all other</v>
          </cell>
          <cell r="C684" t="str">
            <v>Line item</v>
          </cell>
          <cell r="D684">
            <v>49910</v>
          </cell>
          <cell r="E684">
            <v>1.4</v>
          </cell>
          <cell r="F684">
            <v>1.5</v>
          </cell>
          <cell r="G684">
            <v>0</v>
          </cell>
          <cell r="H684">
            <v>2.5</v>
          </cell>
          <cell r="I684">
            <v>0.1</v>
          </cell>
          <cell r="J684" t="str">
            <v>High school diploma or equivalent</v>
          </cell>
          <cell r="K684" t="str">
            <v>None</v>
          </cell>
          <cell r="L684" t="str">
            <v>Short-term on-the-job training</v>
          </cell>
          <cell r="M684" t="str">
            <v>—</v>
          </cell>
        </row>
        <row r="685">
          <cell r="A685" t="str">
            <v>43-3000</v>
          </cell>
          <cell r="B685" t="str">
            <v xml:space="preserve">    Financial clerks</v>
          </cell>
          <cell r="C685" t="str">
            <v>Summary</v>
          </cell>
          <cell r="D685">
            <v>47370</v>
          </cell>
          <cell r="E685">
            <v>2833.6</v>
          </cell>
          <cell r="F685">
            <v>2642.5</v>
          </cell>
          <cell r="G685">
            <v>-191.1</v>
          </cell>
          <cell r="H685">
            <v>-6.7</v>
          </cell>
          <cell r="I685">
            <v>278.60000000000002</v>
          </cell>
          <cell r="J685" t="str">
            <v>—</v>
          </cell>
          <cell r="K685" t="str">
            <v>—</v>
          </cell>
          <cell r="L685" t="str">
            <v>—</v>
          </cell>
          <cell r="M685" t="str">
            <v>—</v>
          </cell>
        </row>
        <row r="686">
          <cell r="A686" t="str">
            <v>43-3011</v>
          </cell>
          <cell r="B686" t="str">
            <v xml:space="preserve">      Bill and account collectors</v>
          </cell>
          <cell r="C686" t="str">
            <v>Line item</v>
          </cell>
          <cell r="D686">
            <v>46040</v>
          </cell>
          <cell r="E686">
            <v>166.9</v>
          </cell>
          <cell r="F686">
            <v>149.4</v>
          </cell>
          <cell r="G686">
            <v>-17.5</v>
          </cell>
          <cell r="H686">
            <v>-10.5</v>
          </cell>
          <cell r="I686">
            <v>13.7</v>
          </cell>
          <cell r="J686" t="str">
            <v>High school diploma or equivalent</v>
          </cell>
          <cell r="K686" t="str">
            <v>None</v>
          </cell>
          <cell r="L686" t="str">
            <v>Moderate-term on-the-job training</v>
          </cell>
          <cell r="M686" t="str">
            <v>OOH Content</v>
          </cell>
        </row>
        <row r="687">
          <cell r="A687" t="str">
            <v>43-3021</v>
          </cell>
          <cell r="B687" t="str">
            <v xml:space="preserve">      Billing and posting clerks</v>
          </cell>
          <cell r="C687" t="str">
            <v>Line item</v>
          </cell>
          <cell r="D687">
            <v>47170</v>
          </cell>
          <cell r="E687">
            <v>429.8</v>
          </cell>
          <cell r="F687">
            <v>427.9</v>
          </cell>
          <cell r="G687">
            <v>-1.9</v>
          </cell>
          <cell r="H687">
            <v>-0.4</v>
          </cell>
          <cell r="I687">
            <v>42.2</v>
          </cell>
          <cell r="J687" t="str">
            <v>High school diploma or equivalent</v>
          </cell>
          <cell r="K687" t="str">
            <v>None</v>
          </cell>
          <cell r="L687" t="str">
            <v>Moderate-term on-the-job training</v>
          </cell>
          <cell r="M687" t="str">
            <v>OOH Content</v>
          </cell>
        </row>
        <row r="688">
          <cell r="A688" t="str">
            <v>43-3031</v>
          </cell>
          <cell r="B688" t="str">
            <v xml:space="preserve">      Bookkeeping, accounting, and auditing clerks</v>
          </cell>
          <cell r="C688" t="str">
            <v>Line item</v>
          </cell>
          <cell r="D688">
            <v>49210</v>
          </cell>
          <cell r="E688">
            <v>1613.4</v>
          </cell>
          <cell r="F688">
            <v>1519.1</v>
          </cell>
          <cell r="G688">
            <v>-94.3</v>
          </cell>
          <cell r="H688">
            <v>-5.8</v>
          </cell>
          <cell r="I688">
            <v>170</v>
          </cell>
          <cell r="J688" t="str">
            <v>Some college, no degree</v>
          </cell>
          <cell r="K688" t="str">
            <v>None</v>
          </cell>
          <cell r="L688" t="str">
            <v>Moderate-term on-the-job training</v>
          </cell>
          <cell r="M688" t="str">
            <v>OOH Content</v>
          </cell>
        </row>
        <row r="689">
          <cell r="A689" t="str">
            <v>43-3041</v>
          </cell>
          <cell r="B689" t="str">
            <v xml:space="preserve">      Gambling cage workers</v>
          </cell>
          <cell r="C689" t="str">
            <v>Line item</v>
          </cell>
          <cell r="D689">
            <v>36990</v>
          </cell>
          <cell r="E689">
            <v>14.1</v>
          </cell>
          <cell r="F689">
            <v>13.4</v>
          </cell>
          <cell r="G689">
            <v>-0.7</v>
          </cell>
          <cell r="H689">
            <v>-5</v>
          </cell>
          <cell r="I689">
            <v>1.3</v>
          </cell>
          <cell r="J689" t="str">
            <v>High school diploma or equivalent</v>
          </cell>
          <cell r="K689" t="str">
            <v>None</v>
          </cell>
          <cell r="L689" t="str">
            <v>Short-term on-the-job training</v>
          </cell>
          <cell r="M689" t="str">
            <v>OOH Content</v>
          </cell>
        </row>
        <row r="690">
          <cell r="A690" t="str">
            <v>43-3051</v>
          </cell>
          <cell r="B690" t="str">
            <v xml:space="preserve">      Payroll and timekeeping clerks</v>
          </cell>
          <cell r="C690" t="str">
            <v>Line item</v>
          </cell>
          <cell r="D690">
            <v>55290</v>
          </cell>
          <cell r="E690">
            <v>161.1</v>
          </cell>
          <cell r="F690">
            <v>134.19999999999999</v>
          </cell>
          <cell r="G690">
            <v>-27</v>
          </cell>
          <cell r="H690">
            <v>-16.7</v>
          </cell>
          <cell r="I690">
            <v>13</v>
          </cell>
          <cell r="J690" t="str">
            <v>High school diploma or equivalent</v>
          </cell>
          <cell r="K690" t="str">
            <v>None</v>
          </cell>
          <cell r="L690" t="str">
            <v>Moderate-term on-the-job training</v>
          </cell>
          <cell r="M690" t="str">
            <v>OOH Content</v>
          </cell>
        </row>
        <row r="691">
          <cell r="A691" t="str">
            <v>43-3061</v>
          </cell>
          <cell r="B691" t="str">
            <v xml:space="preserve">      Procurement clerks</v>
          </cell>
          <cell r="C691" t="str">
            <v>Line item</v>
          </cell>
          <cell r="D691">
            <v>48510</v>
          </cell>
          <cell r="E691">
            <v>61.9</v>
          </cell>
          <cell r="F691">
            <v>56.6</v>
          </cell>
          <cell r="G691">
            <v>-5.4</v>
          </cell>
          <cell r="H691">
            <v>-8.6999999999999993</v>
          </cell>
          <cell r="I691">
            <v>4.5999999999999996</v>
          </cell>
          <cell r="J691" t="str">
            <v>High school diploma or equivalent</v>
          </cell>
          <cell r="K691" t="str">
            <v>None</v>
          </cell>
          <cell r="L691" t="str">
            <v>Moderate-term on-the-job training</v>
          </cell>
          <cell r="M691" t="str">
            <v>OOH Content</v>
          </cell>
        </row>
        <row r="692">
          <cell r="A692" t="str">
            <v>43-3071</v>
          </cell>
          <cell r="B692" t="str">
            <v xml:space="preserve">      Tellers</v>
          </cell>
          <cell r="C692" t="str">
            <v>Line item</v>
          </cell>
          <cell r="D692">
            <v>39340</v>
          </cell>
          <cell r="E692">
            <v>347.4</v>
          </cell>
          <cell r="F692">
            <v>302.5</v>
          </cell>
          <cell r="G692">
            <v>-44.9</v>
          </cell>
          <cell r="H692">
            <v>-12.9</v>
          </cell>
          <cell r="I692">
            <v>29.8</v>
          </cell>
          <cell r="J692" t="str">
            <v>High school diploma or equivalent</v>
          </cell>
          <cell r="K692" t="str">
            <v>None</v>
          </cell>
          <cell r="L692" t="str">
            <v>Short-term on-the-job training</v>
          </cell>
          <cell r="M692" t="str">
            <v>OOH Content</v>
          </cell>
        </row>
        <row r="693">
          <cell r="A693" t="str">
            <v>43-3099</v>
          </cell>
          <cell r="B693" t="str">
            <v xml:space="preserve">      Financial clerks, all other</v>
          </cell>
          <cell r="C693" t="str">
            <v>Line item</v>
          </cell>
          <cell r="D693">
            <v>52150</v>
          </cell>
          <cell r="E693">
            <v>38.9</v>
          </cell>
          <cell r="F693">
            <v>39.4</v>
          </cell>
          <cell r="G693">
            <v>0.5</v>
          </cell>
          <cell r="H693">
            <v>1.4</v>
          </cell>
          <cell r="I693">
            <v>4</v>
          </cell>
          <cell r="J693" t="str">
            <v>High school diploma or equivalent</v>
          </cell>
          <cell r="K693" t="str">
            <v>None</v>
          </cell>
          <cell r="L693" t="str">
            <v>Short-term on-the-job training</v>
          </cell>
          <cell r="M693" t="str">
            <v>—</v>
          </cell>
        </row>
        <row r="694">
          <cell r="A694" t="str">
            <v>43-4000</v>
          </cell>
          <cell r="B694" t="str">
            <v xml:space="preserve">    Information and record clerks</v>
          </cell>
          <cell r="C694" t="str">
            <v>Summary</v>
          </cell>
          <cell r="D694">
            <v>41600</v>
          </cell>
          <cell r="E694">
            <v>5511.6</v>
          </cell>
          <cell r="F694">
            <v>5304.2</v>
          </cell>
          <cell r="G694">
            <v>-207.4</v>
          </cell>
          <cell r="H694">
            <v>-3.8</v>
          </cell>
          <cell r="I694">
            <v>653</v>
          </cell>
          <cell r="J694" t="str">
            <v>—</v>
          </cell>
          <cell r="K694" t="str">
            <v>—</v>
          </cell>
          <cell r="L694" t="str">
            <v>—</v>
          </cell>
          <cell r="M694" t="str">
            <v>—</v>
          </cell>
        </row>
        <row r="695">
          <cell r="A695" t="str">
            <v>43-4011</v>
          </cell>
          <cell r="B695" t="str">
            <v xml:space="preserve">      Brokerage clerks</v>
          </cell>
          <cell r="C695" t="str">
            <v>Line item</v>
          </cell>
          <cell r="D695">
            <v>62940</v>
          </cell>
          <cell r="E695">
            <v>40.799999999999997</v>
          </cell>
          <cell r="F695">
            <v>36.9</v>
          </cell>
          <cell r="G695">
            <v>-3.9</v>
          </cell>
          <cell r="H695">
            <v>-9.5</v>
          </cell>
          <cell r="I695">
            <v>4.0999999999999996</v>
          </cell>
          <cell r="J695" t="str">
            <v>High school diploma or equivalent</v>
          </cell>
          <cell r="K695" t="str">
            <v>None</v>
          </cell>
          <cell r="L695" t="str">
            <v>Moderate-term on-the-job training</v>
          </cell>
          <cell r="M695" t="str">
            <v>OOH Content</v>
          </cell>
        </row>
        <row r="696">
          <cell r="A696" t="str">
            <v>43-4021</v>
          </cell>
          <cell r="B696" t="str">
            <v xml:space="preserve">      Correspondence clerks</v>
          </cell>
          <cell r="C696" t="str">
            <v>Line item</v>
          </cell>
          <cell r="D696">
            <v>46740</v>
          </cell>
          <cell r="E696">
            <v>6.9</v>
          </cell>
          <cell r="F696">
            <v>6.5</v>
          </cell>
          <cell r="G696">
            <v>-0.4</v>
          </cell>
          <cell r="H696">
            <v>-5.6</v>
          </cell>
          <cell r="I696">
            <v>0.7</v>
          </cell>
          <cell r="J696" t="str">
            <v>High school diploma or equivalent</v>
          </cell>
          <cell r="K696" t="str">
            <v>None</v>
          </cell>
          <cell r="L696" t="str">
            <v>Short-term on-the-job training</v>
          </cell>
          <cell r="M696" t="str">
            <v>OOH Content</v>
          </cell>
        </row>
        <row r="697">
          <cell r="A697" t="str">
            <v>43-4031</v>
          </cell>
          <cell r="B697" t="str">
            <v xml:space="preserve">      Court, municipal, and license clerks</v>
          </cell>
          <cell r="C697" t="str">
            <v>Line item</v>
          </cell>
          <cell r="D697">
            <v>47700</v>
          </cell>
          <cell r="E697">
            <v>180.4</v>
          </cell>
          <cell r="F697">
            <v>185.9</v>
          </cell>
          <cell r="G697">
            <v>5.5</v>
          </cell>
          <cell r="H697">
            <v>3</v>
          </cell>
          <cell r="I697">
            <v>18.5</v>
          </cell>
          <cell r="J697" t="str">
            <v>High school diploma or equivalent</v>
          </cell>
          <cell r="K697" t="str">
            <v>None</v>
          </cell>
          <cell r="L697" t="str">
            <v>Long-term on-the-job training</v>
          </cell>
          <cell r="M697" t="str">
            <v>OOH Content</v>
          </cell>
        </row>
        <row r="698">
          <cell r="A698" t="str">
            <v>43-4041</v>
          </cell>
          <cell r="B698" t="str">
            <v xml:space="preserve">      Credit authorizers, checkers, and clerks</v>
          </cell>
          <cell r="C698" t="str">
            <v>Line item</v>
          </cell>
          <cell r="D698">
            <v>49130</v>
          </cell>
          <cell r="E698">
            <v>12</v>
          </cell>
          <cell r="F698">
            <v>11.3</v>
          </cell>
          <cell r="G698">
            <v>-0.7</v>
          </cell>
          <cell r="H698">
            <v>-6.2</v>
          </cell>
          <cell r="I698">
            <v>1</v>
          </cell>
          <cell r="J698" t="str">
            <v>High school diploma or equivalent</v>
          </cell>
          <cell r="K698" t="str">
            <v>None</v>
          </cell>
          <cell r="L698" t="str">
            <v>Moderate-term on-the-job training</v>
          </cell>
          <cell r="M698" t="str">
            <v>OOH Content</v>
          </cell>
        </row>
        <row r="699">
          <cell r="A699" t="str">
            <v>43-4051</v>
          </cell>
          <cell r="B699" t="str">
            <v xml:space="preserve">      Customer service representatives</v>
          </cell>
          <cell r="C699" t="str">
            <v>Line item</v>
          </cell>
          <cell r="D699">
            <v>42830</v>
          </cell>
          <cell r="E699">
            <v>2814</v>
          </cell>
          <cell r="F699">
            <v>2660.3</v>
          </cell>
          <cell r="G699">
            <v>-153.69999999999999</v>
          </cell>
          <cell r="H699">
            <v>-5.5</v>
          </cell>
          <cell r="I699">
            <v>341.7</v>
          </cell>
          <cell r="J699" t="str">
            <v>High school diploma or equivalent</v>
          </cell>
          <cell r="K699" t="str">
            <v>None</v>
          </cell>
          <cell r="L699" t="str">
            <v>Short-term on-the-job training</v>
          </cell>
          <cell r="M699" t="str">
            <v>OOH Content</v>
          </cell>
        </row>
        <row r="700">
          <cell r="A700" t="str">
            <v>43-4061</v>
          </cell>
          <cell r="B700" t="str">
            <v xml:space="preserve">      Eligibility interviewers, government programs</v>
          </cell>
          <cell r="C700" t="str">
            <v>Line item</v>
          </cell>
          <cell r="D700">
            <v>51500</v>
          </cell>
          <cell r="E700">
            <v>166.8</v>
          </cell>
          <cell r="F700">
            <v>168.5</v>
          </cell>
          <cell r="G700">
            <v>1.7</v>
          </cell>
          <cell r="H700">
            <v>1</v>
          </cell>
          <cell r="I700">
            <v>14</v>
          </cell>
          <cell r="J700" t="str">
            <v>High school diploma or equivalent</v>
          </cell>
          <cell r="K700" t="str">
            <v>None</v>
          </cell>
          <cell r="L700" t="str">
            <v>Moderate-term on-the-job training</v>
          </cell>
          <cell r="M700" t="str">
            <v>OOH Content</v>
          </cell>
        </row>
        <row r="701">
          <cell r="A701" t="str">
            <v>43-4071</v>
          </cell>
          <cell r="B701" t="str">
            <v xml:space="preserve">      File clerks</v>
          </cell>
          <cell r="C701" t="str">
            <v>Line item</v>
          </cell>
          <cell r="D701">
            <v>41270</v>
          </cell>
          <cell r="E701">
            <v>84.3</v>
          </cell>
          <cell r="F701">
            <v>70.900000000000006</v>
          </cell>
          <cell r="G701">
            <v>-13.4</v>
          </cell>
          <cell r="H701">
            <v>-15.9</v>
          </cell>
          <cell r="I701">
            <v>7.3</v>
          </cell>
          <cell r="J701" t="str">
            <v>High school diploma or equivalent</v>
          </cell>
          <cell r="K701" t="str">
            <v>None</v>
          </cell>
          <cell r="L701" t="str">
            <v>Short-term on-the-job training</v>
          </cell>
          <cell r="M701" t="str">
            <v>OOH Content</v>
          </cell>
        </row>
        <row r="702">
          <cell r="A702" t="str">
            <v>43-4081</v>
          </cell>
          <cell r="B702" t="str">
            <v xml:space="preserve">      Hotel, motel, and resort desk clerks</v>
          </cell>
          <cell r="C702" t="str">
            <v>Line item</v>
          </cell>
          <cell r="D702">
            <v>34270</v>
          </cell>
          <cell r="E702">
            <v>264.2</v>
          </cell>
          <cell r="F702">
            <v>274</v>
          </cell>
          <cell r="G702">
            <v>9.9</v>
          </cell>
          <cell r="H702">
            <v>3.7</v>
          </cell>
          <cell r="I702">
            <v>43.6</v>
          </cell>
          <cell r="J702" t="str">
            <v>High school diploma or equivalent</v>
          </cell>
          <cell r="K702" t="str">
            <v>None</v>
          </cell>
          <cell r="L702" t="str">
            <v>Short-term on-the-job training</v>
          </cell>
          <cell r="M702" t="str">
            <v>OOH Content</v>
          </cell>
        </row>
        <row r="703">
          <cell r="A703" t="str">
            <v>43-4111</v>
          </cell>
          <cell r="B703" t="str">
            <v xml:space="preserve">      Interviewers, except eligibility and loan</v>
          </cell>
          <cell r="C703" t="str">
            <v>Line item</v>
          </cell>
          <cell r="D703">
            <v>43830</v>
          </cell>
          <cell r="E703">
            <v>164.3</v>
          </cell>
          <cell r="F703">
            <v>145.1</v>
          </cell>
          <cell r="G703">
            <v>-19.100000000000001</v>
          </cell>
          <cell r="H703">
            <v>-11.6</v>
          </cell>
          <cell r="I703">
            <v>15.8</v>
          </cell>
          <cell r="J703" t="str">
            <v>High school diploma or equivalent</v>
          </cell>
          <cell r="K703" t="str">
            <v>None</v>
          </cell>
          <cell r="L703" t="str">
            <v>Short-term on-the-job training</v>
          </cell>
          <cell r="M703" t="str">
            <v>OOH Content</v>
          </cell>
        </row>
        <row r="704">
          <cell r="A704" t="str">
            <v>43-4121</v>
          </cell>
          <cell r="B704" t="str">
            <v xml:space="preserve">      Library assistants, clerical</v>
          </cell>
          <cell r="C704" t="str">
            <v>Line item</v>
          </cell>
          <cell r="D704">
            <v>36010</v>
          </cell>
          <cell r="E704">
            <v>84.5</v>
          </cell>
          <cell r="F704">
            <v>78.900000000000006</v>
          </cell>
          <cell r="G704">
            <v>-5.6</v>
          </cell>
          <cell r="H704">
            <v>-6.7</v>
          </cell>
          <cell r="I704">
            <v>12.8</v>
          </cell>
          <cell r="J704" t="str">
            <v>High school diploma or equivalent</v>
          </cell>
          <cell r="K704" t="str">
            <v>None</v>
          </cell>
          <cell r="L704" t="str">
            <v>Short-term on-the-job training</v>
          </cell>
          <cell r="M704" t="str">
            <v>OOH Content</v>
          </cell>
        </row>
        <row r="705">
          <cell r="A705" t="str">
            <v>43-4131</v>
          </cell>
          <cell r="B705" t="str">
            <v xml:space="preserve">      Loan interviewers and clerks</v>
          </cell>
          <cell r="C705" t="str">
            <v>Line item</v>
          </cell>
          <cell r="D705">
            <v>48950</v>
          </cell>
          <cell r="E705">
            <v>177.6</v>
          </cell>
          <cell r="F705">
            <v>173.5</v>
          </cell>
          <cell r="G705">
            <v>-4.0999999999999996</v>
          </cell>
          <cell r="H705">
            <v>-2.2999999999999998</v>
          </cell>
          <cell r="I705">
            <v>13.3</v>
          </cell>
          <cell r="J705" t="str">
            <v>High school diploma or equivalent</v>
          </cell>
          <cell r="K705" t="str">
            <v>None</v>
          </cell>
          <cell r="L705" t="str">
            <v>Short-term on-the-job training</v>
          </cell>
          <cell r="M705" t="str">
            <v>OOH Content</v>
          </cell>
        </row>
        <row r="706">
          <cell r="A706" t="str">
            <v>43-4141</v>
          </cell>
          <cell r="B706" t="str">
            <v xml:space="preserve">      New accounts clerks</v>
          </cell>
          <cell r="C706" t="str">
            <v>Line item</v>
          </cell>
          <cell r="D706">
            <v>46610</v>
          </cell>
          <cell r="E706">
            <v>38.9</v>
          </cell>
          <cell r="F706">
            <v>33.799999999999997</v>
          </cell>
          <cell r="G706">
            <v>-5.2</v>
          </cell>
          <cell r="H706">
            <v>-13.2</v>
          </cell>
          <cell r="I706">
            <v>2.2999999999999998</v>
          </cell>
          <cell r="J706" t="str">
            <v>High school diploma or equivalent</v>
          </cell>
          <cell r="K706" t="str">
            <v>None</v>
          </cell>
          <cell r="L706" t="str">
            <v>Moderate-term on-the-job training</v>
          </cell>
          <cell r="M706" t="str">
            <v>OOH Content</v>
          </cell>
        </row>
        <row r="707">
          <cell r="A707" t="str">
            <v>43-4151</v>
          </cell>
          <cell r="B707" t="str">
            <v xml:space="preserve">      Order clerks</v>
          </cell>
          <cell r="C707" t="str">
            <v>Line item</v>
          </cell>
          <cell r="D707">
            <v>44660</v>
          </cell>
          <cell r="E707">
            <v>89.5</v>
          </cell>
          <cell r="F707">
            <v>74.099999999999994</v>
          </cell>
          <cell r="G707">
            <v>-15.4</v>
          </cell>
          <cell r="H707">
            <v>-17.2</v>
          </cell>
          <cell r="I707">
            <v>8</v>
          </cell>
          <cell r="J707" t="str">
            <v>Some college, no degree</v>
          </cell>
          <cell r="K707" t="str">
            <v>None</v>
          </cell>
          <cell r="L707" t="str">
            <v>Short-term on-the-job training</v>
          </cell>
          <cell r="M707" t="str">
            <v>OOH Content</v>
          </cell>
        </row>
        <row r="708">
          <cell r="A708" t="str">
            <v>43-4161</v>
          </cell>
          <cell r="B708" t="str">
            <v xml:space="preserve">      Human resources assistants, except payroll and timekeeping</v>
          </cell>
          <cell r="C708" t="str">
            <v>Line item</v>
          </cell>
          <cell r="D708">
            <v>49440</v>
          </cell>
          <cell r="E708">
            <v>95.2</v>
          </cell>
          <cell r="F708">
            <v>88.4</v>
          </cell>
          <cell r="G708">
            <v>-6.8</v>
          </cell>
          <cell r="H708">
            <v>-7.1</v>
          </cell>
          <cell r="I708">
            <v>9</v>
          </cell>
          <cell r="J708" t="str">
            <v>Associate's degree</v>
          </cell>
          <cell r="K708" t="str">
            <v>None</v>
          </cell>
          <cell r="L708" t="str">
            <v>None</v>
          </cell>
          <cell r="M708" t="str">
            <v>OOH Content</v>
          </cell>
        </row>
        <row r="709">
          <cell r="A709" t="str">
            <v>43-4171</v>
          </cell>
          <cell r="B709" t="str">
            <v xml:space="preserve">      Receptionists and information clerks</v>
          </cell>
          <cell r="C709" t="str">
            <v>Line item</v>
          </cell>
          <cell r="D709">
            <v>37230</v>
          </cell>
          <cell r="E709">
            <v>1007.2</v>
          </cell>
          <cell r="F709">
            <v>1007.6</v>
          </cell>
          <cell r="G709">
            <v>0.3</v>
          </cell>
          <cell r="H709">
            <v>0</v>
          </cell>
          <cell r="I709">
            <v>128.5</v>
          </cell>
          <cell r="J709" t="str">
            <v>High school diploma or equivalent</v>
          </cell>
          <cell r="K709" t="str">
            <v>None</v>
          </cell>
          <cell r="L709" t="str">
            <v>Short-term on-the-job training</v>
          </cell>
          <cell r="M709" t="str">
            <v>OOH Content</v>
          </cell>
        </row>
        <row r="710">
          <cell r="A710" t="str">
            <v>43-4181</v>
          </cell>
          <cell r="B710" t="str">
            <v xml:space="preserve">      Reservation and transportation ticket agents and travel clerks</v>
          </cell>
          <cell r="C710" t="str">
            <v>Line item</v>
          </cell>
          <cell r="D710">
            <v>41460</v>
          </cell>
          <cell r="E710">
            <v>131.9</v>
          </cell>
          <cell r="F710">
            <v>135.6</v>
          </cell>
          <cell r="G710">
            <v>3.7</v>
          </cell>
          <cell r="H710">
            <v>2.8</v>
          </cell>
          <cell r="I710">
            <v>14.4</v>
          </cell>
          <cell r="J710" t="str">
            <v>High school diploma or equivalent</v>
          </cell>
          <cell r="K710" t="str">
            <v>None</v>
          </cell>
          <cell r="L710" t="str">
            <v>Short-term on-the-job training</v>
          </cell>
          <cell r="M710" t="str">
            <v>OOH Content</v>
          </cell>
        </row>
        <row r="711">
          <cell r="A711" t="str">
            <v>43-4199</v>
          </cell>
          <cell r="B711" t="str">
            <v xml:space="preserve">      Information and record clerks, all other</v>
          </cell>
          <cell r="C711" t="str">
            <v>Line item</v>
          </cell>
          <cell r="D711">
            <v>48360</v>
          </cell>
          <cell r="E711">
            <v>153.30000000000001</v>
          </cell>
          <cell r="F711">
            <v>153</v>
          </cell>
          <cell r="G711">
            <v>-0.3</v>
          </cell>
          <cell r="H711">
            <v>-0.2</v>
          </cell>
          <cell r="I711">
            <v>17.8</v>
          </cell>
          <cell r="J711" t="str">
            <v>High school diploma or equivalent</v>
          </cell>
          <cell r="K711" t="str">
            <v>None</v>
          </cell>
          <cell r="L711" t="str">
            <v>Short-term on-the-job training</v>
          </cell>
          <cell r="M711" t="str">
            <v>OOH Content</v>
          </cell>
        </row>
        <row r="712">
          <cell r="A712" t="str">
            <v>43-5000</v>
          </cell>
          <cell r="B712" t="str">
            <v xml:space="preserve">    Material recording, scheduling, dispatching, and distributing workers</v>
          </cell>
          <cell r="C712" t="str">
            <v>Summary</v>
          </cell>
          <cell r="D712">
            <v>48090</v>
          </cell>
          <cell r="E712">
            <v>2492.6</v>
          </cell>
          <cell r="F712">
            <v>2422.1</v>
          </cell>
          <cell r="G712">
            <v>-70.599999999999994</v>
          </cell>
          <cell r="H712">
            <v>-2.8</v>
          </cell>
          <cell r="I712">
            <v>210.5</v>
          </cell>
          <cell r="J712" t="str">
            <v>—</v>
          </cell>
          <cell r="K712" t="str">
            <v>—</v>
          </cell>
          <cell r="L712" t="str">
            <v>—</v>
          </cell>
          <cell r="M712" t="str">
            <v>—</v>
          </cell>
        </row>
        <row r="713">
          <cell r="A713" t="str">
            <v>43-5011</v>
          </cell>
          <cell r="B713" t="str">
            <v xml:space="preserve">      Cargo and freight agents</v>
          </cell>
          <cell r="C713" t="str">
            <v>Line item</v>
          </cell>
          <cell r="D713">
            <v>49900</v>
          </cell>
          <cell r="E713">
            <v>100.6</v>
          </cell>
          <cell r="F713">
            <v>109.2</v>
          </cell>
          <cell r="G713">
            <v>8.6</v>
          </cell>
          <cell r="H713">
            <v>8.5</v>
          </cell>
          <cell r="I713">
            <v>8.8000000000000007</v>
          </cell>
          <cell r="J713" t="str">
            <v>High school diploma or equivalent</v>
          </cell>
          <cell r="K713" t="str">
            <v>None</v>
          </cell>
          <cell r="L713" t="str">
            <v>Short-term on-the-job training</v>
          </cell>
          <cell r="M713" t="str">
            <v>—</v>
          </cell>
        </row>
        <row r="714">
          <cell r="A714" t="str">
            <v>43-5021</v>
          </cell>
          <cell r="B714" t="str">
            <v xml:space="preserve">      Couriers and messengers</v>
          </cell>
          <cell r="C714" t="str">
            <v>Line item</v>
          </cell>
          <cell r="D714">
            <v>38340</v>
          </cell>
          <cell r="E714">
            <v>247.2</v>
          </cell>
          <cell r="F714">
            <v>267.60000000000002</v>
          </cell>
          <cell r="G714">
            <v>20.399999999999999</v>
          </cell>
          <cell r="H714">
            <v>8.1999999999999993</v>
          </cell>
          <cell r="I714">
            <v>27.9</v>
          </cell>
          <cell r="J714" t="str">
            <v>High school diploma or equivalent</v>
          </cell>
          <cell r="K714" t="str">
            <v>None</v>
          </cell>
          <cell r="L714" t="str">
            <v>Short-term on-the-job training</v>
          </cell>
          <cell r="M714" t="str">
            <v>—</v>
          </cell>
        </row>
        <row r="715">
          <cell r="A715" t="str">
            <v>43-5030</v>
          </cell>
          <cell r="B715" t="str">
            <v xml:space="preserve">      Dispatchers</v>
          </cell>
          <cell r="C715" t="str">
            <v>Summary</v>
          </cell>
          <cell r="D715">
            <v>49500</v>
          </cell>
          <cell r="E715">
            <v>323.89999999999998</v>
          </cell>
          <cell r="F715">
            <v>325.5</v>
          </cell>
          <cell r="G715">
            <v>1.6</v>
          </cell>
          <cell r="H715">
            <v>0.5</v>
          </cell>
          <cell r="I715">
            <v>29.2</v>
          </cell>
          <cell r="J715" t="str">
            <v>—</v>
          </cell>
          <cell r="K715" t="str">
            <v>—</v>
          </cell>
          <cell r="L715" t="str">
            <v>—</v>
          </cell>
          <cell r="M715" t="str">
            <v>—</v>
          </cell>
        </row>
        <row r="716">
          <cell r="A716" t="str">
            <v>43-5031</v>
          </cell>
          <cell r="B716" t="str">
            <v xml:space="preserve">        Public safety telecommunicators</v>
          </cell>
          <cell r="C716" t="str">
            <v>Line item</v>
          </cell>
          <cell r="D716">
            <v>50730</v>
          </cell>
          <cell r="E716">
            <v>105.2</v>
          </cell>
          <cell r="F716">
            <v>108.9</v>
          </cell>
          <cell r="G716">
            <v>3.6</v>
          </cell>
          <cell r="H716">
            <v>3.5</v>
          </cell>
          <cell r="I716">
            <v>10.7</v>
          </cell>
          <cell r="J716" t="str">
            <v>High school diploma or equivalent</v>
          </cell>
          <cell r="K716" t="str">
            <v>None</v>
          </cell>
          <cell r="L716" t="str">
            <v>Moderate-term on-the-job training</v>
          </cell>
          <cell r="M716" t="str">
            <v>OOH Content</v>
          </cell>
        </row>
        <row r="717">
          <cell r="A717" t="str">
            <v>43-5032</v>
          </cell>
          <cell r="B717" t="str">
            <v xml:space="preserve">        Dispatchers, except police, fire, and ambulance</v>
          </cell>
          <cell r="C717" t="str">
            <v>Line item</v>
          </cell>
          <cell r="D717">
            <v>48880</v>
          </cell>
          <cell r="E717">
            <v>218.7</v>
          </cell>
          <cell r="F717">
            <v>216.7</v>
          </cell>
          <cell r="G717">
            <v>-2.1</v>
          </cell>
          <cell r="H717">
            <v>-0.9</v>
          </cell>
          <cell r="I717">
            <v>18.5</v>
          </cell>
          <cell r="J717" t="str">
            <v>High school diploma or equivalent</v>
          </cell>
          <cell r="K717" t="str">
            <v>None</v>
          </cell>
          <cell r="L717" t="str">
            <v>Moderate-term on-the-job training</v>
          </cell>
          <cell r="M717" t="str">
            <v>—</v>
          </cell>
        </row>
        <row r="718">
          <cell r="A718" t="str">
            <v>43-5041</v>
          </cell>
          <cell r="B718" t="str">
            <v xml:space="preserve">      Meter readers, utilities</v>
          </cell>
          <cell r="C718" t="str">
            <v>Line item</v>
          </cell>
          <cell r="D718">
            <v>49180</v>
          </cell>
          <cell r="E718">
            <v>20.100000000000001</v>
          </cell>
          <cell r="F718">
            <v>17.7</v>
          </cell>
          <cell r="G718">
            <v>-2.4</v>
          </cell>
          <cell r="H718">
            <v>-12</v>
          </cell>
          <cell r="I718">
            <v>1.3</v>
          </cell>
          <cell r="J718" t="str">
            <v>High school diploma or equivalent</v>
          </cell>
          <cell r="K718" t="str">
            <v>None</v>
          </cell>
          <cell r="L718" t="str">
            <v>Short-term on-the-job training</v>
          </cell>
          <cell r="M718" t="str">
            <v>—</v>
          </cell>
        </row>
        <row r="719">
          <cell r="A719" t="str">
            <v>43-5050</v>
          </cell>
          <cell r="B719" t="str">
            <v xml:space="preserve">      Postal service workers</v>
          </cell>
          <cell r="C719" t="str">
            <v>Summary</v>
          </cell>
          <cell r="D719">
            <v>57870</v>
          </cell>
          <cell r="E719">
            <v>500</v>
          </cell>
          <cell r="F719">
            <v>477.1</v>
          </cell>
          <cell r="G719">
            <v>-22.9</v>
          </cell>
          <cell r="H719">
            <v>-4.5999999999999996</v>
          </cell>
          <cell r="I719">
            <v>34.5</v>
          </cell>
          <cell r="J719" t="str">
            <v>—</v>
          </cell>
          <cell r="K719" t="str">
            <v>—</v>
          </cell>
          <cell r="L719" t="str">
            <v>—</v>
          </cell>
          <cell r="M719" t="str">
            <v>—</v>
          </cell>
        </row>
        <row r="720">
          <cell r="A720" t="str">
            <v>43-5051</v>
          </cell>
          <cell r="B720" t="str">
            <v xml:space="preserve">        Postal service clerks</v>
          </cell>
          <cell r="C720" t="str">
            <v>Line item</v>
          </cell>
          <cell r="D720">
            <v>61630</v>
          </cell>
          <cell r="E720">
            <v>74.2</v>
          </cell>
          <cell r="F720">
            <v>71.599999999999994</v>
          </cell>
          <cell r="G720">
            <v>-2.6</v>
          </cell>
          <cell r="H720">
            <v>-3.5</v>
          </cell>
          <cell r="I720">
            <v>6.1</v>
          </cell>
          <cell r="J720" t="str">
            <v>No formal educational credential</v>
          </cell>
          <cell r="K720" t="str">
            <v>None</v>
          </cell>
          <cell r="L720" t="str">
            <v>Short-term on-the-job training</v>
          </cell>
          <cell r="M720" t="str">
            <v>OOH Content</v>
          </cell>
        </row>
        <row r="721">
          <cell r="A721" t="str">
            <v>43-5052</v>
          </cell>
          <cell r="B721" t="str">
            <v xml:space="preserve">        Postal service mail carriers</v>
          </cell>
          <cell r="C721" t="str">
            <v>Line item</v>
          </cell>
          <cell r="D721">
            <v>57490</v>
          </cell>
          <cell r="E721">
            <v>319.39999999999998</v>
          </cell>
          <cell r="F721">
            <v>308.10000000000002</v>
          </cell>
          <cell r="G721">
            <v>-11.3</v>
          </cell>
          <cell r="H721">
            <v>-3.5</v>
          </cell>
          <cell r="I721">
            <v>20.6</v>
          </cell>
          <cell r="J721" t="str">
            <v>No formal educational credential</v>
          </cell>
          <cell r="K721" t="str">
            <v>None</v>
          </cell>
          <cell r="L721" t="str">
            <v>Short-term on-the-job training</v>
          </cell>
          <cell r="M721" t="str">
            <v>OOH Content</v>
          </cell>
        </row>
        <row r="722">
          <cell r="A722" t="str">
            <v>43-5053</v>
          </cell>
          <cell r="B722" t="str">
            <v xml:space="preserve">        Postal service mail sorters, processors, and processing machine operators</v>
          </cell>
          <cell r="C722" t="str">
            <v>Line item</v>
          </cell>
          <cell r="D722">
            <v>56530</v>
          </cell>
          <cell r="E722">
            <v>106.4</v>
          </cell>
          <cell r="F722">
            <v>97.5</v>
          </cell>
          <cell r="G722">
            <v>-8.9</v>
          </cell>
          <cell r="H722">
            <v>-8.4</v>
          </cell>
          <cell r="I722">
            <v>7.8</v>
          </cell>
          <cell r="J722" t="str">
            <v>No formal educational credential</v>
          </cell>
          <cell r="K722" t="str">
            <v>None</v>
          </cell>
          <cell r="L722" t="str">
            <v>Short-term on-the-job training</v>
          </cell>
          <cell r="M722" t="str">
            <v>OOH Content</v>
          </cell>
        </row>
        <row r="723">
          <cell r="A723" t="str">
            <v>43-5061</v>
          </cell>
          <cell r="B723" t="str">
            <v xml:space="preserve">      Production, planning, and expediting clerks</v>
          </cell>
          <cell r="C723" t="str">
            <v>Line item</v>
          </cell>
          <cell r="D723">
            <v>57770</v>
          </cell>
          <cell r="E723">
            <v>388.8</v>
          </cell>
          <cell r="F723">
            <v>381.7</v>
          </cell>
          <cell r="G723">
            <v>-7.1</v>
          </cell>
          <cell r="H723">
            <v>-1.8</v>
          </cell>
          <cell r="I723">
            <v>34.1</v>
          </cell>
          <cell r="J723" t="str">
            <v>High school diploma or equivalent</v>
          </cell>
          <cell r="K723" t="str">
            <v>None</v>
          </cell>
          <cell r="L723" t="str">
            <v>Moderate-term on-the-job training</v>
          </cell>
          <cell r="M723" t="str">
            <v>OOH Content</v>
          </cell>
        </row>
        <row r="724">
          <cell r="A724" t="str">
            <v>43-5071</v>
          </cell>
          <cell r="B724" t="str">
            <v xml:space="preserve">      Shipping, receiving, and inventory clerks</v>
          </cell>
          <cell r="C724" t="str">
            <v>Line item</v>
          </cell>
          <cell r="D724">
            <v>43190</v>
          </cell>
          <cell r="E724">
            <v>862.2</v>
          </cell>
          <cell r="F724">
            <v>795.8</v>
          </cell>
          <cell r="G724">
            <v>-66.3</v>
          </cell>
          <cell r="H724">
            <v>-7.7</v>
          </cell>
          <cell r="I724">
            <v>69.3</v>
          </cell>
          <cell r="J724" t="str">
            <v>High school diploma or equivalent</v>
          </cell>
          <cell r="K724" t="str">
            <v>None</v>
          </cell>
          <cell r="L724" t="str">
            <v>Short-term on-the-job training</v>
          </cell>
          <cell r="M724" t="str">
            <v>OOH Content</v>
          </cell>
        </row>
        <row r="725">
          <cell r="A725" t="str">
            <v>43-5111</v>
          </cell>
          <cell r="B725" t="str">
            <v xml:space="preserve">      Weighers, measurers, checkers, and samplers, recordkeeping</v>
          </cell>
          <cell r="C725" t="str">
            <v>Line item</v>
          </cell>
          <cell r="D725">
            <v>45650</v>
          </cell>
          <cell r="E725">
            <v>49.8</v>
          </cell>
          <cell r="F725">
            <v>47.4</v>
          </cell>
          <cell r="G725">
            <v>-2.4</v>
          </cell>
          <cell r="H725">
            <v>-4.8</v>
          </cell>
          <cell r="I725">
            <v>5.3</v>
          </cell>
          <cell r="J725" t="str">
            <v>High school diploma or equivalent</v>
          </cell>
          <cell r="K725" t="str">
            <v>None</v>
          </cell>
          <cell r="L725" t="str">
            <v>Short-term on-the-job training</v>
          </cell>
          <cell r="M725" t="str">
            <v>OOH Content</v>
          </cell>
        </row>
        <row r="726">
          <cell r="A726" t="str">
            <v>43-6000</v>
          </cell>
          <cell r="B726" t="str">
            <v xml:space="preserve">    Secretaries and administrative assistants</v>
          </cell>
          <cell r="C726" t="str">
            <v>Summary</v>
          </cell>
          <cell r="D726">
            <v>47460</v>
          </cell>
          <cell r="E726">
            <v>3453.1</v>
          </cell>
          <cell r="F726">
            <v>3440.8</v>
          </cell>
          <cell r="G726">
            <v>-12.4</v>
          </cell>
          <cell r="H726">
            <v>-0.4</v>
          </cell>
          <cell r="I726">
            <v>358.3</v>
          </cell>
          <cell r="J726" t="str">
            <v>—</v>
          </cell>
          <cell r="K726" t="str">
            <v>—</v>
          </cell>
          <cell r="L726" t="str">
            <v>—</v>
          </cell>
          <cell r="M726" t="str">
            <v>—</v>
          </cell>
        </row>
        <row r="727">
          <cell r="A727" t="str">
            <v>43-6011</v>
          </cell>
          <cell r="B727" t="str">
            <v xml:space="preserve">      Executive secretaries and executive administrative assistants</v>
          </cell>
          <cell r="C727" t="str">
            <v>Line item</v>
          </cell>
          <cell r="D727">
            <v>74260</v>
          </cell>
          <cell r="E727">
            <v>502.8</v>
          </cell>
          <cell r="F727">
            <v>494.9</v>
          </cell>
          <cell r="G727">
            <v>-7.9</v>
          </cell>
          <cell r="H727">
            <v>-1.6</v>
          </cell>
          <cell r="I727">
            <v>50</v>
          </cell>
          <cell r="J727" t="str">
            <v>High school diploma or equivalent</v>
          </cell>
          <cell r="K727" t="str">
            <v>Less than 5 years</v>
          </cell>
          <cell r="L727" t="str">
            <v>None</v>
          </cell>
          <cell r="M727" t="str">
            <v>OOH Content</v>
          </cell>
        </row>
        <row r="728">
          <cell r="A728" t="str">
            <v>43-6012</v>
          </cell>
          <cell r="B728" t="str">
            <v xml:space="preserve">      Legal secretaries and administrative assistants</v>
          </cell>
          <cell r="C728" t="str">
            <v>Line item</v>
          </cell>
          <cell r="D728">
            <v>54140</v>
          </cell>
          <cell r="E728">
            <v>156.30000000000001</v>
          </cell>
          <cell r="F728">
            <v>147.30000000000001</v>
          </cell>
          <cell r="G728">
            <v>-9</v>
          </cell>
          <cell r="H728">
            <v>-5.8</v>
          </cell>
          <cell r="I728">
            <v>19.600000000000001</v>
          </cell>
          <cell r="J728" t="str">
            <v>High school diploma or equivalent</v>
          </cell>
          <cell r="K728" t="str">
            <v>None</v>
          </cell>
          <cell r="L728" t="str">
            <v>Moderate-term on-the-job training</v>
          </cell>
          <cell r="M728" t="str">
            <v>OOH Content</v>
          </cell>
        </row>
        <row r="729">
          <cell r="A729" t="str">
            <v>43-6013</v>
          </cell>
          <cell r="B729" t="str">
            <v xml:space="preserve">      Medical secretaries and administrative assistants</v>
          </cell>
          <cell r="C729" t="str">
            <v>Line item</v>
          </cell>
          <cell r="D729">
            <v>44640</v>
          </cell>
          <cell r="E729">
            <v>850</v>
          </cell>
          <cell r="F729">
            <v>885.3</v>
          </cell>
          <cell r="G729">
            <v>35.299999999999997</v>
          </cell>
          <cell r="H729">
            <v>4.2</v>
          </cell>
          <cell r="I729">
            <v>85.9</v>
          </cell>
          <cell r="J729" t="str">
            <v>High school diploma or equivalent</v>
          </cell>
          <cell r="K729" t="str">
            <v>None</v>
          </cell>
          <cell r="L729" t="str">
            <v>Moderate-term on-the-job training</v>
          </cell>
          <cell r="M729" t="str">
            <v>OOH Content</v>
          </cell>
        </row>
        <row r="730">
          <cell r="A730" t="str">
            <v>43-6014</v>
          </cell>
          <cell r="B730" t="str">
            <v xml:space="preserve">      Secretaries and administrative assistants, except legal, medical, and executive</v>
          </cell>
          <cell r="C730" t="str">
            <v>Line item</v>
          </cell>
          <cell r="D730">
            <v>46290</v>
          </cell>
          <cell r="E730">
            <v>1944</v>
          </cell>
          <cell r="F730">
            <v>1913.2</v>
          </cell>
          <cell r="G730">
            <v>-30.8</v>
          </cell>
          <cell r="H730">
            <v>-1.6</v>
          </cell>
          <cell r="I730">
            <v>202.8</v>
          </cell>
          <cell r="J730" t="str">
            <v>High school diploma or equivalent</v>
          </cell>
          <cell r="K730" t="str">
            <v>None</v>
          </cell>
          <cell r="L730" t="str">
            <v>Short-term on-the-job training</v>
          </cell>
          <cell r="M730" t="str">
            <v>OOH Content</v>
          </cell>
        </row>
        <row r="731">
          <cell r="A731" t="str">
            <v>43-9000</v>
          </cell>
          <cell r="B731" t="str">
            <v xml:space="preserve">    Other office and administrative support workers</v>
          </cell>
          <cell r="C731" t="str">
            <v>Summary</v>
          </cell>
          <cell r="D731">
            <v>44030</v>
          </cell>
          <cell r="E731">
            <v>3433.7</v>
          </cell>
          <cell r="F731">
            <v>3167.9</v>
          </cell>
          <cell r="G731">
            <v>-265.8</v>
          </cell>
          <cell r="H731">
            <v>-7.7</v>
          </cell>
          <cell r="I731">
            <v>348.7</v>
          </cell>
          <cell r="J731" t="str">
            <v>—</v>
          </cell>
          <cell r="K731" t="str">
            <v>—</v>
          </cell>
          <cell r="L731" t="str">
            <v>—</v>
          </cell>
          <cell r="M731" t="str">
            <v>—</v>
          </cell>
        </row>
        <row r="732">
          <cell r="A732" t="str">
            <v>43-9020</v>
          </cell>
          <cell r="B732" t="str">
            <v xml:space="preserve">      Data entry and information processing workers</v>
          </cell>
          <cell r="C732" t="str">
            <v>Summary</v>
          </cell>
          <cell r="D732">
            <v>41480</v>
          </cell>
          <cell r="E732">
            <v>181.7</v>
          </cell>
          <cell r="F732">
            <v>130.5</v>
          </cell>
          <cell r="G732">
            <v>-51.2</v>
          </cell>
          <cell r="H732">
            <v>-28.2</v>
          </cell>
          <cell r="I732">
            <v>11.8</v>
          </cell>
          <cell r="J732" t="str">
            <v>—</v>
          </cell>
          <cell r="K732" t="str">
            <v>—</v>
          </cell>
          <cell r="L732" t="str">
            <v>—</v>
          </cell>
          <cell r="M732" t="str">
            <v>—</v>
          </cell>
        </row>
        <row r="733">
          <cell r="A733" t="str">
            <v>43-9021</v>
          </cell>
          <cell r="B733" t="str">
            <v xml:space="preserve">        Data entry keyers</v>
          </cell>
          <cell r="C733" t="str">
            <v>Line item</v>
          </cell>
          <cell r="D733">
            <v>39850</v>
          </cell>
          <cell r="E733">
            <v>141.6</v>
          </cell>
          <cell r="F733">
            <v>104.9</v>
          </cell>
          <cell r="G733">
            <v>-36.700000000000003</v>
          </cell>
          <cell r="H733">
            <v>-25.9</v>
          </cell>
          <cell r="I733">
            <v>9.5</v>
          </cell>
          <cell r="J733" t="str">
            <v>High school diploma or equivalent</v>
          </cell>
          <cell r="K733" t="str">
            <v>None</v>
          </cell>
          <cell r="L733" t="str">
            <v>Short-term on-the-job training</v>
          </cell>
          <cell r="M733" t="str">
            <v>—</v>
          </cell>
        </row>
        <row r="734">
          <cell r="A734" t="str">
            <v>43-9022</v>
          </cell>
          <cell r="B734" t="str">
            <v xml:space="preserve">        Word processors and typists</v>
          </cell>
          <cell r="C734" t="str">
            <v>Line item</v>
          </cell>
          <cell r="D734">
            <v>47850</v>
          </cell>
          <cell r="E734">
            <v>40</v>
          </cell>
          <cell r="F734">
            <v>25.6</v>
          </cell>
          <cell r="G734">
            <v>-14.4</v>
          </cell>
          <cell r="H734">
            <v>-36.1</v>
          </cell>
          <cell r="I734">
            <v>2.2000000000000002</v>
          </cell>
          <cell r="J734" t="str">
            <v>High school diploma or equivalent</v>
          </cell>
          <cell r="K734" t="str">
            <v>None</v>
          </cell>
          <cell r="L734" t="str">
            <v>Short-term on-the-job training</v>
          </cell>
          <cell r="M734" t="str">
            <v>—</v>
          </cell>
        </row>
        <row r="735">
          <cell r="A735" t="str">
            <v>43-9031</v>
          </cell>
          <cell r="B735" t="str">
            <v xml:space="preserve">      Desktop publishers</v>
          </cell>
          <cell r="C735" t="str">
            <v>Line item</v>
          </cell>
          <cell r="D735">
            <v>53620</v>
          </cell>
          <cell r="E735">
            <v>5</v>
          </cell>
          <cell r="F735">
            <v>4.4000000000000004</v>
          </cell>
          <cell r="G735">
            <v>-0.6</v>
          </cell>
          <cell r="H735">
            <v>-12.4</v>
          </cell>
          <cell r="I735">
            <v>0.4</v>
          </cell>
          <cell r="J735" t="str">
            <v>Associate's degree</v>
          </cell>
          <cell r="K735" t="str">
            <v>None</v>
          </cell>
          <cell r="L735" t="str">
            <v>Short-term on-the-job training</v>
          </cell>
          <cell r="M735" t="str">
            <v>OOH Content</v>
          </cell>
        </row>
        <row r="736">
          <cell r="A736" t="str">
            <v>43-9041</v>
          </cell>
          <cell r="B736" t="str">
            <v xml:space="preserve">      Insurance claims and policy processing clerks</v>
          </cell>
          <cell r="C736" t="str">
            <v>Line item</v>
          </cell>
          <cell r="D736">
            <v>48450</v>
          </cell>
          <cell r="E736">
            <v>256.7</v>
          </cell>
          <cell r="F736">
            <v>247.2</v>
          </cell>
          <cell r="G736">
            <v>-9.5</v>
          </cell>
          <cell r="H736">
            <v>-3.7</v>
          </cell>
          <cell r="I736">
            <v>20.3</v>
          </cell>
          <cell r="J736" t="str">
            <v>High school diploma or equivalent</v>
          </cell>
          <cell r="K736" t="str">
            <v>None</v>
          </cell>
          <cell r="L736" t="str">
            <v>Moderate-term on-the-job training</v>
          </cell>
          <cell r="M736" t="str">
            <v>OOH Content</v>
          </cell>
        </row>
        <row r="737">
          <cell r="A737" t="str">
            <v>43-9051</v>
          </cell>
          <cell r="B737" t="str">
            <v xml:space="preserve">      Mail clerks and mail machine operators, except postal service</v>
          </cell>
          <cell r="C737" t="str">
            <v>Line item</v>
          </cell>
          <cell r="D737">
            <v>38150</v>
          </cell>
          <cell r="E737">
            <v>67.400000000000006</v>
          </cell>
          <cell r="F737">
            <v>62.9</v>
          </cell>
          <cell r="G737">
            <v>-4.4000000000000004</v>
          </cell>
          <cell r="H737">
            <v>-6.6</v>
          </cell>
          <cell r="I737">
            <v>6.9</v>
          </cell>
          <cell r="J737" t="str">
            <v>High school diploma or equivalent</v>
          </cell>
          <cell r="K737" t="str">
            <v>None</v>
          </cell>
          <cell r="L737" t="str">
            <v>Short-term on-the-job training</v>
          </cell>
          <cell r="M737" t="str">
            <v>—</v>
          </cell>
        </row>
        <row r="738">
          <cell r="A738" t="str">
            <v>43-9061</v>
          </cell>
          <cell r="B738" t="str">
            <v xml:space="preserve">      Office clerks, general</v>
          </cell>
          <cell r="C738" t="str">
            <v>Line item</v>
          </cell>
          <cell r="D738">
            <v>43630</v>
          </cell>
          <cell r="E738">
            <v>2646</v>
          </cell>
          <cell r="F738">
            <v>2468.1999999999998</v>
          </cell>
          <cell r="G738">
            <v>-177.8</v>
          </cell>
          <cell r="H738">
            <v>-6.7</v>
          </cell>
          <cell r="I738">
            <v>282.39999999999998</v>
          </cell>
          <cell r="J738" t="str">
            <v>High school diploma or equivalent</v>
          </cell>
          <cell r="K738" t="str">
            <v>None</v>
          </cell>
          <cell r="L738" t="str">
            <v>Short-term on-the-job training</v>
          </cell>
          <cell r="M738" t="str">
            <v>OOH Content</v>
          </cell>
        </row>
        <row r="739">
          <cell r="A739" t="str">
            <v>43-9071</v>
          </cell>
          <cell r="B739" t="str">
            <v xml:space="preserve">      Office machine operators, except computer</v>
          </cell>
          <cell r="C739" t="str">
            <v>Line item</v>
          </cell>
          <cell r="D739">
            <v>39020</v>
          </cell>
          <cell r="E739">
            <v>25.5</v>
          </cell>
          <cell r="F739">
            <v>21.6</v>
          </cell>
          <cell r="G739">
            <v>-3.9</v>
          </cell>
          <cell r="H739">
            <v>-15.2</v>
          </cell>
          <cell r="I739">
            <v>2.8</v>
          </cell>
          <cell r="J739" t="str">
            <v>High school diploma or equivalent</v>
          </cell>
          <cell r="K739" t="str">
            <v>None</v>
          </cell>
          <cell r="L739" t="str">
            <v>Short-term on-the-job training</v>
          </cell>
          <cell r="M739" t="str">
            <v>—</v>
          </cell>
        </row>
        <row r="740">
          <cell r="A740" t="str">
            <v>43-9081</v>
          </cell>
          <cell r="B740" t="str">
            <v xml:space="preserve">      Proofreaders and copy markers</v>
          </cell>
          <cell r="C740" t="str">
            <v>Line item</v>
          </cell>
          <cell r="D740">
            <v>49210</v>
          </cell>
          <cell r="E740">
            <v>12</v>
          </cell>
          <cell r="F740">
            <v>11.9</v>
          </cell>
          <cell r="G740">
            <v>-0.1</v>
          </cell>
          <cell r="H740">
            <v>-0.6</v>
          </cell>
          <cell r="I740">
            <v>1.9</v>
          </cell>
          <cell r="J740" t="str">
            <v>Bachelor's degree</v>
          </cell>
          <cell r="K740" t="str">
            <v>None</v>
          </cell>
          <cell r="L740" t="str">
            <v>None</v>
          </cell>
          <cell r="M740" t="str">
            <v>—</v>
          </cell>
        </row>
        <row r="741">
          <cell r="A741" t="str">
            <v>43-9111</v>
          </cell>
          <cell r="B741" t="str">
            <v xml:space="preserve">      Statistical assistants</v>
          </cell>
          <cell r="C741" t="str">
            <v>Line item</v>
          </cell>
          <cell r="D741">
            <v>51440</v>
          </cell>
          <cell r="E741">
            <v>6.5</v>
          </cell>
          <cell r="F741">
            <v>6.3</v>
          </cell>
          <cell r="G741">
            <v>-0.2</v>
          </cell>
          <cell r="H741">
            <v>-2.5</v>
          </cell>
          <cell r="I741">
            <v>0.8</v>
          </cell>
          <cell r="J741" t="str">
            <v>Bachelor's degree</v>
          </cell>
          <cell r="K741" t="str">
            <v>None</v>
          </cell>
          <cell r="L741" t="str">
            <v>None</v>
          </cell>
          <cell r="M741" t="str">
            <v>—</v>
          </cell>
        </row>
        <row r="742">
          <cell r="A742" t="str">
            <v>43-9199</v>
          </cell>
          <cell r="B742" t="str">
            <v xml:space="preserve">      Office and administrative support workers, all other</v>
          </cell>
          <cell r="C742" t="str">
            <v>Line item</v>
          </cell>
          <cell r="D742">
            <v>46040</v>
          </cell>
          <cell r="E742">
            <v>232.9</v>
          </cell>
          <cell r="F742">
            <v>214.8</v>
          </cell>
          <cell r="G742">
            <v>-18.100000000000001</v>
          </cell>
          <cell r="H742">
            <v>-7.8</v>
          </cell>
          <cell r="I742">
            <v>21.3</v>
          </cell>
          <cell r="J742" t="str">
            <v>High school diploma or equivalent</v>
          </cell>
          <cell r="K742" t="str">
            <v>None</v>
          </cell>
          <cell r="L742" t="str">
            <v>Short-term on-the-job training</v>
          </cell>
          <cell r="M742" t="str">
            <v>—</v>
          </cell>
        </row>
        <row r="743">
          <cell r="A743" t="str">
            <v>45-0000</v>
          </cell>
          <cell r="B743" t="str">
            <v xml:space="preserve">  Farming, fishing, and forestry occupations</v>
          </cell>
          <cell r="C743" t="str">
            <v>Summary</v>
          </cell>
          <cell r="D743">
            <v>36750</v>
          </cell>
          <cell r="E743">
            <v>1008.5</v>
          </cell>
          <cell r="F743">
            <v>983.3</v>
          </cell>
          <cell r="G743">
            <v>-25.2</v>
          </cell>
          <cell r="H743">
            <v>-2.5</v>
          </cell>
          <cell r="I743">
            <v>142.80000000000001</v>
          </cell>
          <cell r="J743" t="str">
            <v>—</v>
          </cell>
          <cell r="K743" t="str">
            <v>—</v>
          </cell>
          <cell r="L743" t="str">
            <v>—</v>
          </cell>
          <cell r="M743" t="str">
            <v>—</v>
          </cell>
        </row>
        <row r="744">
          <cell r="A744" t="str">
            <v>45-1000</v>
          </cell>
          <cell r="B744" t="str">
            <v xml:space="preserve">    Supervisors of farming, fishing, and forestry workers</v>
          </cell>
          <cell r="C744" t="str">
            <v>Summary</v>
          </cell>
          <cell r="D744">
            <v>59330</v>
          </cell>
          <cell r="E744">
            <v>65.400000000000006</v>
          </cell>
          <cell r="F744">
            <v>67</v>
          </cell>
          <cell r="G744">
            <v>1.6</v>
          </cell>
          <cell r="H744">
            <v>2.5</v>
          </cell>
          <cell r="I744">
            <v>8.5</v>
          </cell>
          <cell r="J744" t="str">
            <v>—</v>
          </cell>
          <cell r="K744" t="str">
            <v>—</v>
          </cell>
          <cell r="L744" t="str">
            <v>—</v>
          </cell>
          <cell r="M744" t="str">
            <v>—</v>
          </cell>
        </row>
        <row r="745">
          <cell r="A745" t="str">
            <v>45-1011</v>
          </cell>
          <cell r="B745" t="str">
            <v xml:space="preserve">      First-line supervisors of farming, fishing, and forestry workers</v>
          </cell>
          <cell r="C745" t="str">
            <v>Line item</v>
          </cell>
          <cell r="D745">
            <v>59330</v>
          </cell>
          <cell r="E745">
            <v>65.400000000000006</v>
          </cell>
          <cell r="F745">
            <v>67</v>
          </cell>
          <cell r="G745">
            <v>1.6</v>
          </cell>
          <cell r="H745">
            <v>2.5</v>
          </cell>
          <cell r="I745">
            <v>8.5</v>
          </cell>
          <cell r="J745" t="str">
            <v>High school diploma or equivalent</v>
          </cell>
          <cell r="K745" t="str">
            <v>Less than 5 years</v>
          </cell>
          <cell r="L745" t="str">
            <v>None</v>
          </cell>
          <cell r="M745" t="str">
            <v>—</v>
          </cell>
        </row>
        <row r="746">
          <cell r="A746" t="str">
            <v>45-2000</v>
          </cell>
          <cell r="B746" t="str">
            <v xml:space="preserve">    Agricultural workers</v>
          </cell>
          <cell r="C746" t="str">
            <v>Summary</v>
          </cell>
          <cell r="D746">
            <v>36020</v>
          </cell>
          <cell r="E746">
            <v>866.2</v>
          </cell>
          <cell r="F746">
            <v>841.8</v>
          </cell>
          <cell r="G746">
            <v>-24.3</v>
          </cell>
          <cell r="H746">
            <v>-2.8</v>
          </cell>
          <cell r="I746">
            <v>123.5</v>
          </cell>
          <cell r="J746" t="str">
            <v>—</v>
          </cell>
          <cell r="K746" t="str">
            <v>—</v>
          </cell>
          <cell r="L746" t="str">
            <v>—</v>
          </cell>
          <cell r="M746" t="str">
            <v>—</v>
          </cell>
        </row>
        <row r="747">
          <cell r="A747" t="str">
            <v>45-2011</v>
          </cell>
          <cell r="B747" t="str">
            <v xml:space="preserve">      Agricultural inspectors</v>
          </cell>
          <cell r="C747" t="str">
            <v>Line item</v>
          </cell>
          <cell r="D747">
            <v>50990</v>
          </cell>
          <cell r="E747">
            <v>14.7</v>
          </cell>
          <cell r="F747">
            <v>14.9</v>
          </cell>
          <cell r="G747">
            <v>0.2</v>
          </cell>
          <cell r="H747">
            <v>1.5</v>
          </cell>
          <cell r="I747">
            <v>2.2000000000000002</v>
          </cell>
          <cell r="J747" t="str">
            <v>Bachelor's degree</v>
          </cell>
          <cell r="K747" t="str">
            <v>None</v>
          </cell>
          <cell r="L747" t="str">
            <v>Moderate-term on-the-job training</v>
          </cell>
          <cell r="M747" t="str">
            <v>—</v>
          </cell>
        </row>
        <row r="748">
          <cell r="A748" t="str">
            <v>45-2021</v>
          </cell>
          <cell r="B748" t="str">
            <v xml:space="preserve">      Animal breeders</v>
          </cell>
          <cell r="C748" t="str">
            <v>Line item</v>
          </cell>
          <cell r="D748">
            <v>52000</v>
          </cell>
          <cell r="E748">
            <v>7.9</v>
          </cell>
          <cell r="F748">
            <v>8.1</v>
          </cell>
          <cell r="G748">
            <v>0.2</v>
          </cell>
          <cell r="H748">
            <v>2.4</v>
          </cell>
          <cell r="I748">
            <v>1.2</v>
          </cell>
          <cell r="J748" t="str">
            <v>High school diploma or equivalent</v>
          </cell>
          <cell r="K748" t="str">
            <v>None</v>
          </cell>
          <cell r="L748" t="str">
            <v>Short-term on-the-job training</v>
          </cell>
          <cell r="M748" t="str">
            <v>OOH Content</v>
          </cell>
        </row>
        <row r="749">
          <cell r="A749" t="str">
            <v>45-2041</v>
          </cell>
          <cell r="B749" t="str">
            <v xml:space="preserve">      Graders and sorters, agricultural products</v>
          </cell>
          <cell r="C749" t="str">
            <v>Line item</v>
          </cell>
          <cell r="D749">
            <v>35430</v>
          </cell>
          <cell r="E749">
            <v>38.9</v>
          </cell>
          <cell r="F749">
            <v>36.799999999999997</v>
          </cell>
          <cell r="G749">
            <v>-2.1</v>
          </cell>
          <cell r="H749">
            <v>-5.4</v>
          </cell>
          <cell r="I749">
            <v>5.0999999999999996</v>
          </cell>
          <cell r="J749" t="str">
            <v>No formal educational credential</v>
          </cell>
          <cell r="K749" t="str">
            <v>None</v>
          </cell>
          <cell r="L749" t="str">
            <v>Short-term on-the-job training</v>
          </cell>
          <cell r="M749" t="str">
            <v>—</v>
          </cell>
        </row>
        <row r="750">
          <cell r="A750" t="str">
            <v>45-2090</v>
          </cell>
          <cell r="B750" t="str">
            <v xml:space="preserve">      Miscellaneous agricultural workers</v>
          </cell>
          <cell r="C750" t="str">
            <v>Summary</v>
          </cell>
          <cell r="D750">
            <v>35960</v>
          </cell>
          <cell r="E750">
            <v>804.7</v>
          </cell>
          <cell r="F750">
            <v>782.1</v>
          </cell>
          <cell r="G750">
            <v>-22.6</v>
          </cell>
          <cell r="H750">
            <v>-2.8</v>
          </cell>
          <cell r="I750">
            <v>115</v>
          </cell>
          <cell r="J750" t="str">
            <v>—</v>
          </cell>
          <cell r="K750" t="str">
            <v>—</v>
          </cell>
          <cell r="L750" t="str">
            <v>—</v>
          </cell>
          <cell r="M750" t="str">
            <v>—</v>
          </cell>
        </row>
        <row r="751">
          <cell r="A751" t="str">
            <v>45-2091</v>
          </cell>
          <cell r="B751" t="str">
            <v xml:space="preserve">        Agricultural equipment operators</v>
          </cell>
          <cell r="C751" t="str">
            <v>Line item</v>
          </cell>
          <cell r="D751">
            <v>42580</v>
          </cell>
          <cell r="E751">
            <v>65.2</v>
          </cell>
          <cell r="F751">
            <v>70.3</v>
          </cell>
          <cell r="G751">
            <v>5</v>
          </cell>
          <cell r="H751">
            <v>7.7</v>
          </cell>
          <cell r="I751">
            <v>10.5</v>
          </cell>
          <cell r="J751" t="str">
            <v>No formal educational credential</v>
          </cell>
          <cell r="K751" t="str">
            <v>None</v>
          </cell>
          <cell r="L751" t="str">
            <v>Moderate-term on-the-job training</v>
          </cell>
          <cell r="M751" t="str">
            <v>OOH Content</v>
          </cell>
        </row>
        <row r="752">
          <cell r="A752" t="str">
            <v>45-2092</v>
          </cell>
          <cell r="B752" t="str">
            <v xml:space="preserve">        Farmworkers and laborers, crop, nursery, and greenhouse</v>
          </cell>
          <cell r="C752" t="str">
            <v>Line item</v>
          </cell>
          <cell r="D752">
            <v>35690</v>
          </cell>
          <cell r="E752">
            <v>504.8</v>
          </cell>
          <cell r="F752">
            <v>488.1</v>
          </cell>
          <cell r="G752">
            <v>-16.8</v>
          </cell>
          <cell r="H752">
            <v>-3.3</v>
          </cell>
          <cell r="I752">
            <v>71.7</v>
          </cell>
          <cell r="J752" t="str">
            <v>No formal educational credential</v>
          </cell>
          <cell r="K752" t="str">
            <v>None</v>
          </cell>
          <cell r="L752" t="str">
            <v>Short-term on-the-job training</v>
          </cell>
          <cell r="M752" t="str">
            <v>OOH Content</v>
          </cell>
        </row>
        <row r="753">
          <cell r="A753" t="str">
            <v>45-2093</v>
          </cell>
          <cell r="B753" t="str">
            <v xml:space="preserve">        Farmworkers, farm, ranch, and aquacultural animals</v>
          </cell>
          <cell r="C753" t="str">
            <v>Line item</v>
          </cell>
          <cell r="D753">
            <v>36150</v>
          </cell>
          <cell r="E753">
            <v>224.6</v>
          </cell>
          <cell r="F753">
            <v>213.4</v>
          </cell>
          <cell r="G753">
            <v>-11.1</v>
          </cell>
          <cell r="H753">
            <v>-5</v>
          </cell>
          <cell r="I753">
            <v>31.2</v>
          </cell>
          <cell r="J753" t="str">
            <v>No formal educational credential</v>
          </cell>
          <cell r="K753" t="str">
            <v>None</v>
          </cell>
          <cell r="L753" t="str">
            <v>Short-term on-the-job training</v>
          </cell>
          <cell r="M753" t="str">
            <v>OOH Content</v>
          </cell>
        </row>
        <row r="754">
          <cell r="A754" t="str">
            <v>45-2099</v>
          </cell>
          <cell r="B754" t="str">
            <v xml:space="preserve">        Agricultural workers, all other</v>
          </cell>
          <cell r="C754" t="str">
            <v>Line item</v>
          </cell>
          <cell r="D754">
            <v>40390</v>
          </cell>
          <cell r="E754">
            <v>10.1</v>
          </cell>
          <cell r="F754">
            <v>10.3</v>
          </cell>
          <cell r="G754">
            <v>0.2</v>
          </cell>
          <cell r="H754">
            <v>2.2999999999999998</v>
          </cell>
          <cell r="I754">
            <v>1.5</v>
          </cell>
          <cell r="J754" t="str">
            <v>No formal educational credential</v>
          </cell>
          <cell r="K754" t="str">
            <v>None</v>
          </cell>
          <cell r="L754" t="str">
            <v>Short-term on-the-job training</v>
          </cell>
          <cell r="M754" t="str">
            <v>OOH Content</v>
          </cell>
        </row>
        <row r="755">
          <cell r="A755" t="str">
            <v>45-3000</v>
          </cell>
          <cell r="B755" t="str">
            <v xml:space="preserve">    Fishing and hunting workers</v>
          </cell>
          <cell r="C755" t="str">
            <v>Summary</v>
          </cell>
          <cell r="D755" t="str">
            <v>—</v>
          </cell>
          <cell r="E755">
            <v>21.9</v>
          </cell>
          <cell r="F755">
            <v>20.9</v>
          </cell>
          <cell r="G755">
            <v>-1</v>
          </cell>
          <cell r="H755">
            <v>-4.5999999999999996</v>
          </cell>
          <cell r="I755">
            <v>2.8</v>
          </cell>
          <cell r="J755" t="str">
            <v>—</v>
          </cell>
          <cell r="K755" t="str">
            <v>—</v>
          </cell>
          <cell r="L755" t="str">
            <v>—</v>
          </cell>
          <cell r="M755" t="str">
            <v>—</v>
          </cell>
        </row>
        <row r="756">
          <cell r="A756" t="str">
            <v>45-3031</v>
          </cell>
          <cell r="B756" t="str">
            <v xml:space="preserve">      Fishing and hunting workers</v>
          </cell>
          <cell r="C756" t="str">
            <v>Line item</v>
          </cell>
          <cell r="D756" t="str">
            <v>—</v>
          </cell>
          <cell r="E756">
            <v>21.9</v>
          </cell>
          <cell r="F756">
            <v>20.9</v>
          </cell>
          <cell r="G756">
            <v>-1</v>
          </cell>
          <cell r="H756">
            <v>-4.5999999999999996</v>
          </cell>
          <cell r="I756">
            <v>2.8</v>
          </cell>
          <cell r="J756" t="str">
            <v>No formal educational credential</v>
          </cell>
          <cell r="K756" t="str">
            <v>None</v>
          </cell>
          <cell r="L756" t="str">
            <v>Moderate-term on-the-job training</v>
          </cell>
          <cell r="M756" t="str">
            <v>OOH Content</v>
          </cell>
        </row>
        <row r="757">
          <cell r="A757" t="str">
            <v>45-4000</v>
          </cell>
          <cell r="B757" t="str">
            <v xml:space="preserve">    Forest, conservation, and logging workers</v>
          </cell>
          <cell r="C757" t="str">
            <v>Summary</v>
          </cell>
          <cell r="D757">
            <v>48390</v>
          </cell>
          <cell r="E757">
            <v>55</v>
          </cell>
          <cell r="F757">
            <v>53.5</v>
          </cell>
          <cell r="G757">
            <v>-1.5</v>
          </cell>
          <cell r="H757">
            <v>-2.8</v>
          </cell>
          <cell r="I757">
            <v>8</v>
          </cell>
          <cell r="J757" t="str">
            <v>—</v>
          </cell>
          <cell r="K757" t="str">
            <v>—</v>
          </cell>
          <cell r="L757" t="str">
            <v>—</v>
          </cell>
          <cell r="M757" t="str">
            <v>—</v>
          </cell>
        </row>
        <row r="758">
          <cell r="A758" t="str">
            <v>45-4011</v>
          </cell>
          <cell r="B758" t="str">
            <v xml:space="preserve">      Forest and conservation workers</v>
          </cell>
          <cell r="C758" t="str">
            <v>Line item</v>
          </cell>
          <cell r="D758">
            <v>43680</v>
          </cell>
          <cell r="E758">
            <v>10.8</v>
          </cell>
          <cell r="F758">
            <v>10.3</v>
          </cell>
          <cell r="G758">
            <v>-0.5</v>
          </cell>
          <cell r="H758">
            <v>-4.7</v>
          </cell>
          <cell r="I758">
            <v>2</v>
          </cell>
          <cell r="J758" t="str">
            <v>High school diploma or equivalent</v>
          </cell>
          <cell r="K758" t="str">
            <v>None</v>
          </cell>
          <cell r="L758" t="str">
            <v>Moderate-term on-the-job training</v>
          </cell>
          <cell r="M758" t="str">
            <v>OOH Content</v>
          </cell>
        </row>
        <row r="759">
          <cell r="A759" t="str">
            <v>45-4020</v>
          </cell>
          <cell r="B759" t="str">
            <v xml:space="preserve">      Logging workers</v>
          </cell>
          <cell r="C759" t="str">
            <v>Summary</v>
          </cell>
          <cell r="D759">
            <v>49540</v>
          </cell>
          <cell r="E759">
            <v>44.3</v>
          </cell>
          <cell r="F759">
            <v>43.3</v>
          </cell>
          <cell r="G759">
            <v>-1</v>
          </cell>
          <cell r="H759">
            <v>-2.2999999999999998</v>
          </cell>
          <cell r="I759">
            <v>6</v>
          </cell>
          <cell r="J759" t="str">
            <v>—</v>
          </cell>
          <cell r="K759" t="str">
            <v>—</v>
          </cell>
          <cell r="L759" t="str">
            <v>—</v>
          </cell>
          <cell r="M759" t="str">
            <v>—</v>
          </cell>
        </row>
        <row r="760">
          <cell r="A760" t="str">
            <v>45-4021</v>
          </cell>
          <cell r="B760" t="str">
            <v xml:space="preserve">        Fallers</v>
          </cell>
          <cell r="C760" t="str">
            <v>Line item</v>
          </cell>
          <cell r="D760">
            <v>53900</v>
          </cell>
          <cell r="E760">
            <v>5.6</v>
          </cell>
          <cell r="F760">
            <v>5.2</v>
          </cell>
          <cell r="G760">
            <v>-0.4</v>
          </cell>
          <cell r="H760">
            <v>-7.3</v>
          </cell>
          <cell r="I760">
            <v>0.7</v>
          </cell>
          <cell r="J760" t="str">
            <v>High school diploma or equivalent</v>
          </cell>
          <cell r="K760" t="str">
            <v>None</v>
          </cell>
          <cell r="L760" t="str">
            <v>Moderate-term on-the-job training</v>
          </cell>
          <cell r="M760" t="str">
            <v>OOH Content</v>
          </cell>
        </row>
        <row r="761">
          <cell r="A761" t="str">
            <v>45-4022</v>
          </cell>
          <cell r="B761" t="str">
            <v xml:space="preserve">        Logging equipment operators</v>
          </cell>
          <cell r="C761" t="str">
            <v>Line item</v>
          </cell>
          <cell r="D761">
            <v>49210</v>
          </cell>
          <cell r="E761">
            <v>30.9</v>
          </cell>
          <cell r="F761">
            <v>30.5</v>
          </cell>
          <cell r="G761">
            <v>-0.4</v>
          </cell>
          <cell r="H761">
            <v>-1.4</v>
          </cell>
          <cell r="I761">
            <v>4.2</v>
          </cell>
          <cell r="J761" t="str">
            <v>High school diploma or equivalent</v>
          </cell>
          <cell r="K761" t="str">
            <v>None</v>
          </cell>
          <cell r="L761" t="str">
            <v>Moderate-term on-the-job training</v>
          </cell>
          <cell r="M761" t="str">
            <v>OOH Content</v>
          </cell>
        </row>
        <row r="762">
          <cell r="A762" t="str">
            <v>45-4023</v>
          </cell>
          <cell r="B762" t="str">
            <v xml:space="preserve">        Log graders and scalers</v>
          </cell>
          <cell r="C762" t="str">
            <v>Line item</v>
          </cell>
          <cell r="D762">
            <v>46710</v>
          </cell>
          <cell r="E762">
            <v>4.5999999999999996</v>
          </cell>
          <cell r="F762">
            <v>4.5999999999999996</v>
          </cell>
          <cell r="G762">
            <v>0</v>
          </cell>
          <cell r="H762">
            <v>-0.7</v>
          </cell>
          <cell r="I762">
            <v>0.6</v>
          </cell>
          <cell r="J762" t="str">
            <v>High school diploma or equivalent</v>
          </cell>
          <cell r="K762" t="str">
            <v>None</v>
          </cell>
          <cell r="L762" t="str">
            <v>Moderate-term on-the-job training</v>
          </cell>
          <cell r="M762" t="str">
            <v>OOH Content</v>
          </cell>
        </row>
        <row r="763">
          <cell r="A763" t="str">
            <v>45-4029</v>
          </cell>
          <cell r="B763" t="str">
            <v xml:space="preserve">        Logging workers, all other</v>
          </cell>
          <cell r="C763" t="str">
            <v>Line item</v>
          </cell>
          <cell r="D763">
            <v>52000</v>
          </cell>
          <cell r="E763">
            <v>3.1</v>
          </cell>
          <cell r="F763">
            <v>3</v>
          </cell>
          <cell r="G763">
            <v>-0.1</v>
          </cell>
          <cell r="H763">
            <v>-4.7</v>
          </cell>
          <cell r="I763">
            <v>0.4</v>
          </cell>
          <cell r="J763" t="str">
            <v>High school diploma or equivalent</v>
          </cell>
          <cell r="K763" t="str">
            <v>None</v>
          </cell>
          <cell r="L763" t="str">
            <v>Moderate-term on-the-job training</v>
          </cell>
          <cell r="M763" t="str">
            <v>OOH Content</v>
          </cell>
        </row>
        <row r="764">
          <cell r="A764" t="str">
            <v>47-0000</v>
          </cell>
          <cell r="B764" t="str">
            <v xml:space="preserve">  Construction and extraction occupations</v>
          </cell>
          <cell r="C764" t="str">
            <v>Summary</v>
          </cell>
          <cell r="D764">
            <v>58360</v>
          </cell>
          <cell r="E764">
            <v>7574.7</v>
          </cell>
          <cell r="F764">
            <v>7968.8</v>
          </cell>
          <cell r="G764">
            <v>394.1</v>
          </cell>
          <cell r="H764">
            <v>5.2</v>
          </cell>
          <cell r="I764">
            <v>649.29999999999995</v>
          </cell>
          <cell r="J764" t="str">
            <v>—</v>
          </cell>
          <cell r="K764" t="str">
            <v>—</v>
          </cell>
          <cell r="L764" t="str">
            <v>—</v>
          </cell>
          <cell r="M764" t="str">
            <v>—</v>
          </cell>
        </row>
        <row r="765">
          <cell r="A765" t="str">
            <v>47-1000</v>
          </cell>
          <cell r="B765" t="str">
            <v xml:space="preserve">    Supervisors of construction and extraction workers</v>
          </cell>
          <cell r="C765" t="str">
            <v>Summary</v>
          </cell>
          <cell r="D765">
            <v>78690</v>
          </cell>
          <cell r="E765">
            <v>921.6</v>
          </cell>
          <cell r="F765">
            <v>970.6</v>
          </cell>
          <cell r="G765">
            <v>49</v>
          </cell>
          <cell r="H765">
            <v>5.3</v>
          </cell>
          <cell r="I765">
            <v>74.400000000000006</v>
          </cell>
          <cell r="J765" t="str">
            <v>—</v>
          </cell>
          <cell r="K765" t="str">
            <v>—</v>
          </cell>
          <cell r="L765" t="str">
            <v>—</v>
          </cell>
          <cell r="M765" t="str">
            <v>—</v>
          </cell>
        </row>
        <row r="766">
          <cell r="A766" t="str">
            <v>47-1011</v>
          </cell>
          <cell r="B766" t="str">
            <v xml:space="preserve">      First-line supervisors of construction trades and extraction workers</v>
          </cell>
          <cell r="C766" t="str">
            <v>Line item</v>
          </cell>
          <cell r="D766">
            <v>78690</v>
          </cell>
          <cell r="E766">
            <v>921.6</v>
          </cell>
          <cell r="F766">
            <v>970.6</v>
          </cell>
          <cell r="G766">
            <v>49</v>
          </cell>
          <cell r="H766">
            <v>5.3</v>
          </cell>
          <cell r="I766">
            <v>74.400000000000006</v>
          </cell>
          <cell r="J766" t="str">
            <v>High school diploma or equivalent</v>
          </cell>
          <cell r="K766" t="str">
            <v>5 years or more</v>
          </cell>
          <cell r="L766" t="str">
            <v>None</v>
          </cell>
          <cell r="M766" t="str">
            <v>—</v>
          </cell>
        </row>
        <row r="767">
          <cell r="A767" t="str">
            <v>47-2000</v>
          </cell>
          <cell r="B767" t="str">
            <v xml:space="preserve">    Construction trades workers</v>
          </cell>
          <cell r="C767" t="str">
            <v>Summary</v>
          </cell>
          <cell r="D767">
            <v>56490</v>
          </cell>
          <cell r="E767">
            <v>5752.6</v>
          </cell>
          <cell r="F767">
            <v>6084.4</v>
          </cell>
          <cell r="G767">
            <v>331.9</v>
          </cell>
          <cell r="H767">
            <v>5.8</v>
          </cell>
          <cell r="I767">
            <v>491.2</v>
          </cell>
          <cell r="J767" t="str">
            <v>—</v>
          </cell>
          <cell r="K767" t="str">
            <v>—</v>
          </cell>
          <cell r="L767" t="str">
            <v>—</v>
          </cell>
          <cell r="M767" t="str">
            <v>—</v>
          </cell>
        </row>
        <row r="768">
          <cell r="A768" t="str">
            <v>47-2011</v>
          </cell>
          <cell r="B768" t="str">
            <v xml:space="preserve">      Boilermakers</v>
          </cell>
          <cell r="C768" t="str">
            <v>Line item</v>
          </cell>
          <cell r="D768">
            <v>73340</v>
          </cell>
          <cell r="E768">
            <v>10.4</v>
          </cell>
          <cell r="F768">
            <v>10.1</v>
          </cell>
          <cell r="G768">
            <v>-0.2</v>
          </cell>
          <cell r="H768">
            <v>-2.4</v>
          </cell>
          <cell r="I768">
            <v>0.8</v>
          </cell>
          <cell r="J768" t="str">
            <v>High school diploma or equivalent</v>
          </cell>
          <cell r="K768" t="str">
            <v>None</v>
          </cell>
          <cell r="L768" t="str">
            <v>Apprenticeship</v>
          </cell>
          <cell r="M768" t="str">
            <v>OOH Content</v>
          </cell>
        </row>
        <row r="769">
          <cell r="A769" t="str">
            <v>47-2020</v>
          </cell>
          <cell r="B769" t="str">
            <v xml:space="preserve">      Brickmasons, blockmasons, and stonemasons</v>
          </cell>
          <cell r="C769" t="str">
            <v>Summary</v>
          </cell>
          <cell r="D769">
            <v>60180</v>
          </cell>
          <cell r="E769">
            <v>86.2</v>
          </cell>
          <cell r="F769">
            <v>88.2</v>
          </cell>
          <cell r="G769">
            <v>2</v>
          </cell>
          <cell r="H769">
            <v>2.2999999999999998</v>
          </cell>
          <cell r="I769">
            <v>6.4</v>
          </cell>
          <cell r="J769" t="str">
            <v>—</v>
          </cell>
          <cell r="K769" t="str">
            <v>—</v>
          </cell>
          <cell r="L769" t="str">
            <v>—</v>
          </cell>
          <cell r="M769" t="str">
            <v>—</v>
          </cell>
        </row>
        <row r="770">
          <cell r="A770" t="str">
            <v>47-2021</v>
          </cell>
          <cell r="B770" t="str">
            <v xml:space="preserve">        Brickmasons and blockmasons</v>
          </cell>
          <cell r="C770" t="str">
            <v>Line item</v>
          </cell>
          <cell r="D770">
            <v>60800</v>
          </cell>
          <cell r="E770">
            <v>74.099999999999994</v>
          </cell>
          <cell r="F770">
            <v>76.400000000000006</v>
          </cell>
          <cell r="G770">
            <v>2.4</v>
          </cell>
          <cell r="H770">
            <v>3.2</v>
          </cell>
          <cell r="I770">
            <v>5.6</v>
          </cell>
          <cell r="J770" t="str">
            <v>High school diploma or equivalent</v>
          </cell>
          <cell r="K770" t="str">
            <v>None</v>
          </cell>
          <cell r="L770" t="str">
            <v>Apprenticeship</v>
          </cell>
          <cell r="M770" t="str">
            <v>OOH Content</v>
          </cell>
        </row>
        <row r="771">
          <cell r="A771" t="str">
            <v>47-2022</v>
          </cell>
          <cell r="B771" t="str">
            <v xml:space="preserve">        Stonemasons</v>
          </cell>
          <cell r="C771" t="str">
            <v>Line item</v>
          </cell>
          <cell r="D771">
            <v>51990</v>
          </cell>
          <cell r="E771">
            <v>12.1</v>
          </cell>
          <cell r="F771">
            <v>11.8</v>
          </cell>
          <cell r="G771">
            <v>-0.4</v>
          </cell>
          <cell r="H771">
            <v>-3</v>
          </cell>
          <cell r="I771">
            <v>0.8</v>
          </cell>
          <cell r="J771" t="str">
            <v>High school diploma or equivalent</v>
          </cell>
          <cell r="K771" t="str">
            <v>None</v>
          </cell>
          <cell r="L771" t="str">
            <v>Apprenticeship</v>
          </cell>
          <cell r="M771" t="str">
            <v>OOH Content</v>
          </cell>
        </row>
        <row r="772">
          <cell r="A772" t="str">
            <v>47-2031</v>
          </cell>
          <cell r="B772" t="str">
            <v xml:space="preserve">      Carpenters</v>
          </cell>
          <cell r="C772" t="str">
            <v>Line item</v>
          </cell>
          <cell r="D772">
            <v>59310</v>
          </cell>
          <cell r="E772">
            <v>959</v>
          </cell>
          <cell r="F772">
            <v>1002.1</v>
          </cell>
          <cell r="G772">
            <v>43.1</v>
          </cell>
          <cell r="H772">
            <v>4.5</v>
          </cell>
          <cell r="I772">
            <v>74.099999999999994</v>
          </cell>
          <cell r="J772" t="str">
            <v>High school diploma or equivalent</v>
          </cell>
          <cell r="K772" t="str">
            <v>None</v>
          </cell>
          <cell r="L772" t="str">
            <v>Apprenticeship</v>
          </cell>
          <cell r="M772" t="str">
            <v>OOH Content</v>
          </cell>
        </row>
        <row r="773">
          <cell r="A773" t="str">
            <v>47-2040</v>
          </cell>
          <cell r="B773" t="str">
            <v xml:space="preserve">      Carpet, floor, and tile installers and finishers</v>
          </cell>
          <cell r="C773" t="str">
            <v>Summary</v>
          </cell>
          <cell r="D773">
            <v>52000</v>
          </cell>
          <cell r="E773">
            <v>112.3</v>
          </cell>
          <cell r="F773">
            <v>119</v>
          </cell>
          <cell r="G773">
            <v>6.7</v>
          </cell>
          <cell r="H773">
            <v>6</v>
          </cell>
          <cell r="I773">
            <v>8.4</v>
          </cell>
          <cell r="J773" t="str">
            <v>—</v>
          </cell>
          <cell r="K773" t="str">
            <v>—</v>
          </cell>
          <cell r="L773" t="str">
            <v>—</v>
          </cell>
          <cell r="M773" t="str">
            <v>—</v>
          </cell>
        </row>
        <row r="774">
          <cell r="A774" t="str">
            <v>47-2041</v>
          </cell>
          <cell r="B774" t="str">
            <v xml:space="preserve">        Carpet installers</v>
          </cell>
          <cell r="C774" t="str">
            <v>Line item</v>
          </cell>
          <cell r="D774">
            <v>49850</v>
          </cell>
          <cell r="E774">
            <v>20.3</v>
          </cell>
          <cell r="F774">
            <v>18.3</v>
          </cell>
          <cell r="G774">
            <v>-1.9</v>
          </cell>
          <cell r="H774">
            <v>-9.6</v>
          </cell>
          <cell r="I774">
            <v>1.1000000000000001</v>
          </cell>
          <cell r="J774" t="str">
            <v>No formal educational credential</v>
          </cell>
          <cell r="K774" t="str">
            <v>None</v>
          </cell>
          <cell r="L774" t="str">
            <v>Short-term on-the-job training</v>
          </cell>
          <cell r="M774" t="str">
            <v>OOH Content</v>
          </cell>
        </row>
        <row r="775">
          <cell r="A775" t="str">
            <v>47-2042</v>
          </cell>
          <cell r="B775" t="str">
            <v xml:space="preserve">        Floor layers, except carpet, wood, and hard tiles</v>
          </cell>
          <cell r="C775" t="str">
            <v>Line item</v>
          </cell>
          <cell r="D775">
            <v>54340</v>
          </cell>
          <cell r="E775">
            <v>33.700000000000003</v>
          </cell>
          <cell r="F775">
            <v>36.9</v>
          </cell>
          <cell r="G775">
            <v>3.2</v>
          </cell>
          <cell r="H775">
            <v>9.5</v>
          </cell>
          <cell r="I775">
            <v>2.7</v>
          </cell>
          <cell r="J775" t="str">
            <v>No formal educational credential</v>
          </cell>
          <cell r="K775" t="str">
            <v>None</v>
          </cell>
          <cell r="L775" t="str">
            <v>Moderate-term on-the-job training</v>
          </cell>
          <cell r="M775" t="str">
            <v>OOH Content</v>
          </cell>
        </row>
        <row r="776">
          <cell r="A776" t="str">
            <v>47-2043</v>
          </cell>
          <cell r="B776" t="str">
            <v xml:space="preserve">        Floor sanders and finishers</v>
          </cell>
          <cell r="C776" t="str">
            <v>Line item</v>
          </cell>
          <cell r="D776">
            <v>49150</v>
          </cell>
          <cell r="E776">
            <v>5.6</v>
          </cell>
          <cell r="F776">
            <v>5.8</v>
          </cell>
          <cell r="G776">
            <v>0.1</v>
          </cell>
          <cell r="H776">
            <v>2.6</v>
          </cell>
          <cell r="I776">
            <v>0.4</v>
          </cell>
          <cell r="J776" t="str">
            <v>No formal educational credential</v>
          </cell>
          <cell r="K776" t="str">
            <v>None</v>
          </cell>
          <cell r="L776" t="str">
            <v>Moderate-term on-the-job training</v>
          </cell>
          <cell r="M776" t="str">
            <v>OOH Content</v>
          </cell>
        </row>
        <row r="777">
          <cell r="A777" t="str">
            <v>47-2044</v>
          </cell>
          <cell r="B777" t="str">
            <v xml:space="preserve">        Tile and stone setters</v>
          </cell>
          <cell r="C777" t="str">
            <v>Line item</v>
          </cell>
          <cell r="D777">
            <v>52240</v>
          </cell>
          <cell r="E777">
            <v>52.6</v>
          </cell>
          <cell r="F777">
            <v>58</v>
          </cell>
          <cell r="G777">
            <v>5.3</v>
          </cell>
          <cell r="H777">
            <v>10.1</v>
          </cell>
          <cell r="I777">
            <v>4.2</v>
          </cell>
          <cell r="J777" t="str">
            <v>No formal educational credential</v>
          </cell>
          <cell r="K777" t="str">
            <v>None</v>
          </cell>
          <cell r="L777" t="str">
            <v>Long-term on-the-job training</v>
          </cell>
          <cell r="M777" t="str">
            <v>OOH Content</v>
          </cell>
        </row>
        <row r="778">
          <cell r="A778" t="str">
            <v>47-2050</v>
          </cell>
          <cell r="B778" t="str">
            <v xml:space="preserve">      Cement masons, concrete finishers, and terrazzo workers</v>
          </cell>
          <cell r="C778" t="str">
            <v>Summary</v>
          </cell>
          <cell r="D778">
            <v>54700</v>
          </cell>
          <cell r="E778">
            <v>208.2</v>
          </cell>
          <cell r="F778">
            <v>211.8</v>
          </cell>
          <cell r="G778">
            <v>3.6</v>
          </cell>
          <cell r="H778">
            <v>1.7</v>
          </cell>
          <cell r="I778">
            <v>14.3</v>
          </cell>
          <cell r="J778" t="str">
            <v>—</v>
          </cell>
          <cell r="K778" t="str">
            <v>—</v>
          </cell>
          <cell r="L778" t="str">
            <v>—</v>
          </cell>
          <cell r="M778" t="str">
            <v>—</v>
          </cell>
        </row>
        <row r="779">
          <cell r="A779" t="str">
            <v>47-2051</v>
          </cell>
          <cell r="B779" t="str">
            <v xml:space="preserve">        Cement masons and concrete finishers</v>
          </cell>
          <cell r="C779" t="str">
            <v>Line item</v>
          </cell>
          <cell r="D779">
            <v>54660</v>
          </cell>
          <cell r="E779">
            <v>206.7</v>
          </cell>
          <cell r="F779">
            <v>210.4</v>
          </cell>
          <cell r="G779">
            <v>3.8</v>
          </cell>
          <cell r="H779">
            <v>1.8</v>
          </cell>
          <cell r="I779">
            <v>14.3</v>
          </cell>
          <cell r="J779" t="str">
            <v>No formal educational credential</v>
          </cell>
          <cell r="K779" t="str">
            <v>None</v>
          </cell>
          <cell r="L779" t="str">
            <v>Moderate-term on-the-job training</v>
          </cell>
          <cell r="M779" t="str">
            <v>OOH Content</v>
          </cell>
        </row>
        <row r="780">
          <cell r="A780" t="str">
            <v>47-2053</v>
          </cell>
          <cell r="B780" t="str">
            <v xml:space="preserve">        Terrazzo workers and finishers</v>
          </cell>
          <cell r="C780" t="str">
            <v>Line item</v>
          </cell>
          <cell r="D780">
            <v>57260</v>
          </cell>
          <cell r="E780">
            <v>1.5</v>
          </cell>
          <cell r="F780">
            <v>1.3</v>
          </cell>
          <cell r="G780">
            <v>-0.2</v>
          </cell>
          <cell r="H780">
            <v>-11.1</v>
          </cell>
          <cell r="I780">
            <v>0.1</v>
          </cell>
          <cell r="J780" t="str">
            <v>High school diploma or equivalent</v>
          </cell>
          <cell r="K780" t="str">
            <v>None</v>
          </cell>
          <cell r="L780" t="str">
            <v>Apprenticeship</v>
          </cell>
          <cell r="M780" t="str">
            <v>OOH Content</v>
          </cell>
        </row>
        <row r="781">
          <cell r="A781" t="str">
            <v>47-2061</v>
          </cell>
          <cell r="B781" t="str">
            <v xml:space="preserve">      Construction laborers</v>
          </cell>
          <cell r="C781" t="str">
            <v>Line item</v>
          </cell>
          <cell r="D781">
            <v>46730</v>
          </cell>
          <cell r="E781">
            <v>1457</v>
          </cell>
          <cell r="F781">
            <v>1563.4</v>
          </cell>
          <cell r="G781">
            <v>106.5</v>
          </cell>
          <cell r="H781">
            <v>7.3</v>
          </cell>
          <cell r="I781">
            <v>129.4</v>
          </cell>
          <cell r="J781" t="str">
            <v>No formal educational credential</v>
          </cell>
          <cell r="K781" t="str">
            <v>None</v>
          </cell>
          <cell r="L781" t="str">
            <v>Short-term on-the-job training</v>
          </cell>
          <cell r="M781" t="str">
            <v>OOH Content</v>
          </cell>
        </row>
        <row r="782">
          <cell r="A782" t="str">
            <v>47-2070</v>
          </cell>
          <cell r="B782" t="str">
            <v xml:space="preserve">      Construction equipment operators</v>
          </cell>
          <cell r="C782" t="str">
            <v>Summary</v>
          </cell>
          <cell r="D782">
            <v>58320</v>
          </cell>
          <cell r="E782">
            <v>539.5</v>
          </cell>
          <cell r="F782">
            <v>559</v>
          </cell>
          <cell r="G782">
            <v>19.5</v>
          </cell>
          <cell r="H782">
            <v>3.6</v>
          </cell>
          <cell r="I782">
            <v>46.2</v>
          </cell>
          <cell r="J782" t="str">
            <v>—</v>
          </cell>
          <cell r="K782" t="str">
            <v>—</v>
          </cell>
          <cell r="L782" t="str">
            <v>—</v>
          </cell>
          <cell r="M782" t="str">
            <v>—</v>
          </cell>
        </row>
        <row r="783">
          <cell r="A783" t="str">
            <v>47-2071</v>
          </cell>
          <cell r="B783" t="str">
            <v xml:space="preserve">        Paving, surfacing, and tamping equipment operators</v>
          </cell>
          <cell r="C783" t="str">
            <v>Line item</v>
          </cell>
          <cell r="D783">
            <v>51650</v>
          </cell>
          <cell r="E783">
            <v>47</v>
          </cell>
          <cell r="F783">
            <v>48.6</v>
          </cell>
          <cell r="G783">
            <v>1.5</v>
          </cell>
          <cell r="H783">
            <v>3.2</v>
          </cell>
          <cell r="I783">
            <v>4</v>
          </cell>
          <cell r="J783" t="str">
            <v>High school diploma or equivalent</v>
          </cell>
          <cell r="K783" t="str">
            <v>None</v>
          </cell>
          <cell r="L783" t="str">
            <v>Moderate-term on-the-job training</v>
          </cell>
          <cell r="M783" t="str">
            <v>OOH Content</v>
          </cell>
        </row>
        <row r="784">
          <cell r="A784" t="str">
            <v>47-2072</v>
          </cell>
          <cell r="B784" t="str">
            <v xml:space="preserve">        Pile driver operators</v>
          </cell>
          <cell r="C784" t="str">
            <v>Line item</v>
          </cell>
          <cell r="D784">
            <v>70510</v>
          </cell>
          <cell r="E784">
            <v>3.2</v>
          </cell>
          <cell r="F784">
            <v>3.3</v>
          </cell>
          <cell r="G784">
            <v>0.1</v>
          </cell>
          <cell r="H784">
            <v>4.3</v>
          </cell>
          <cell r="I784">
            <v>0.3</v>
          </cell>
          <cell r="J784" t="str">
            <v>High school diploma or equivalent</v>
          </cell>
          <cell r="K784" t="str">
            <v>None</v>
          </cell>
          <cell r="L784" t="str">
            <v>Moderate-term on-the-job training</v>
          </cell>
          <cell r="M784" t="str">
            <v>OOH Content</v>
          </cell>
        </row>
        <row r="785">
          <cell r="A785" t="str">
            <v>47-2073</v>
          </cell>
          <cell r="B785" t="str">
            <v xml:space="preserve">        Operating engineers and other construction equipment operators</v>
          </cell>
          <cell r="C785" t="str">
            <v>Line item</v>
          </cell>
          <cell r="D785">
            <v>58710</v>
          </cell>
          <cell r="E785">
            <v>489.3</v>
          </cell>
          <cell r="F785">
            <v>507.1</v>
          </cell>
          <cell r="G785">
            <v>17.8</v>
          </cell>
          <cell r="H785">
            <v>3.6</v>
          </cell>
          <cell r="I785">
            <v>41.9</v>
          </cell>
          <cell r="J785" t="str">
            <v>High school diploma or equivalent</v>
          </cell>
          <cell r="K785" t="str">
            <v>None</v>
          </cell>
          <cell r="L785" t="str">
            <v>Moderate-term on-the-job training</v>
          </cell>
          <cell r="M785" t="str">
            <v>OOH Content</v>
          </cell>
        </row>
        <row r="786">
          <cell r="A786" t="str">
            <v>47-2080</v>
          </cell>
          <cell r="B786" t="str">
            <v xml:space="preserve">      Drywall installers, ceiling tile installers, and tapers</v>
          </cell>
          <cell r="C786" t="str">
            <v>Summary</v>
          </cell>
          <cell r="D786">
            <v>58800</v>
          </cell>
          <cell r="E786">
            <v>118.6</v>
          </cell>
          <cell r="F786">
            <v>123</v>
          </cell>
          <cell r="G786">
            <v>4.4000000000000004</v>
          </cell>
          <cell r="H786">
            <v>3.7</v>
          </cell>
          <cell r="I786">
            <v>8.8000000000000007</v>
          </cell>
          <cell r="J786" t="str">
            <v>—</v>
          </cell>
          <cell r="K786" t="str">
            <v>—</v>
          </cell>
          <cell r="L786" t="str">
            <v>—</v>
          </cell>
          <cell r="M786" t="str">
            <v>—</v>
          </cell>
        </row>
        <row r="787">
          <cell r="A787" t="str">
            <v>47-2081</v>
          </cell>
          <cell r="B787" t="str">
            <v xml:space="preserve">        Drywall and ceiling tile installers</v>
          </cell>
          <cell r="C787" t="str">
            <v>Line item</v>
          </cell>
          <cell r="D787">
            <v>58140</v>
          </cell>
          <cell r="E787">
            <v>103.1</v>
          </cell>
          <cell r="F787">
            <v>107.4</v>
          </cell>
          <cell r="G787">
            <v>4.3</v>
          </cell>
          <cell r="H787">
            <v>4.2</v>
          </cell>
          <cell r="I787">
            <v>7.7</v>
          </cell>
          <cell r="J787" t="str">
            <v>No formal educational credential</v>
          </cell>
          <cell r="K787" t="str">
            <v>None</v>
          </cell>
          <cell r="L787" t="str">
            <v>Moderate-term on-the-job training</v>
          </cell>
          <cell r="M787" t="str">
            <v>OOH Content</v>
          </cell>
        </row>
        <row r="788">
          <cell r="A788" t="str">
            <v>47-2082</v>
          </cell>
          <cell r="B788" t="str">
            <v xml:space="preserve">        Tapers</v>
          </cell>
          <cell r="C788" t="str">
            <v>Line item</v>
          </cell>
          <cell r="D788">
            <v>64700</v>
          </cell>
          <cell r="E788">
            <v>15.6</v>
          </cell>
          <cell r="F788">
            <v>15.6</v>
          </cell>
          <cell r="G788">
            <v>0</v>
          </cell>
          <cell r="H788">
            <v>0.1</v>
          </cell>
          <cell r="I788">
            <v>1.1000000000000001</v>
          </cell>
          <cell r="J788" t="str">
            <v>No formal educational credential</v>
          </cell>
          <cell r="K788" t="str">
            <v>None</v>
          </cell>
          <cell r="L788" t="str">
            <v>Moderate-term on-the-job training</v>
          </cell>
          <cell r="M788" t="str">
            <v>OOH Content</v>
          </cell>
        </row>
        <row r="789">
          <cell r="A789" t="str">
            <v>47-2111</v>
          </cell>
          <cell r="B789" t="str">
            <v xml:space="preserve">      Electricians</v>
          </cell>
          <cell r="C789" t="str">
            <v>Line item</v>
          </cell>
          <cell r="D789">
            <v>62350</v>
          </cell>
          <cell r="E789">
            <v>818.7</v>
          </cell>
          <cell r="F789">
            <v>896.1</v>
          </cell>
          <cell r="G789">
            <v>77.400000000000006</v>
          </cell>
          <cell r="H789">
            <v>9.5</v>
          </cell>
          <cell r="I789">
            <v>81</v>
          </cell>
          <cell r="J789" t="str">
            <v>High school diploma or equivalent</v>
          </cell>
          <cell r="K789" t="str">
            <v>None</v>
          </cell>
          <cell r="L789" t="str">
            <v>Apprenticeship</v>
          </cell>
          <cell r="M789" t="str">
            <v>OOH Content</v>
          </cell>
        </row>
        <row r="790">
          <cell r="A790" t="str">
            <v>47-2121</v>
          </cell>
          <cell r="B790" t="str">
            <v xml:space="preserve">      Glaziers</v>
          </cell>
          <cell r="C790" t="str">
            <v>Line item</v>
          </cell>
          <cell r="D790">
            <v>55440</v>
          </cell>
          <cell r="E790">
            <v>60.5</v>
          </cell>
          <cell r="F790">
            <v>62.5</v>
          </cell>
          <cell r="G790">
            <v>2</v>
          </cell>
          <cell r="H790">
            <v>3.3</v>
          </cell>
          <cell r="I790">
            <v>5.0999999999999996</v>
          </cell>
          <cell r="J790" t="str">
            <v>High school diploma or equivalent</v>
          </cell>
          <cell r="K790" t="str">
            <v>None</v>
          </cell>
          <cell r="L790" t="str">
            <v>Apprenticeship</v>
          </cell>
          <cell r="M790" t="str">
            <v>OOH Content</v>
          </cell>
        </row>
        <row r="791">
          <cell r="A791" t="str">
            <v>47-2130</v>
          </cell>
          <cell r="B791" t="str">
            <v xml:space="preserve">      Insulation workers</v>
          </cell>
          <cell r="C791" t="str">
            <v>Summary</v>
          </cell>
          <cell r="D791">
            <v>50730</v>
          </cell>
          <cell r="E791">
            <v>67.400000000000006</v>
          </cell>
          <cell r="F791">
            <v>70.2</v>
          </cell>
          <cell r="G791">
            <v>2.8</v>
          </cell>
          <cell r="H791">
            <v>4.2</v>
          </cell>
          <cell r="I791">
            <v>5.7</v>
          </cell>
          <cell r="J791" t="str">
            <v>—</v>
          </cell>
          <cell r="K791" t="str">
            <v>—</v>
          </cell>
          <cell r="L791" t="str">
            <v>—</v>
          </cell>
          <cell r="M791" t="str">
            <v>—</v>
          </cell>
        </row>
        <row r="792">
          <cell r="A792" t="str">
            <v>47-2131</v>
          </cell>
          <cell r="B792" t="str">
            <v xml:space="preserve">        Insulation workers, floor, ceiling, and wall</v>
          </cell>
          <cell r="C792" t="str">
            <v>Line item</v>
          </cell>
          <cell r="D792">
            <v>48680</v>
          </cell>
          <cell r="E792">
            <v>40.200000000000003</v>
          </cell>
          <cell r="F792">
            <v>41.7</v>
          </cell>
          <cell r="G792">
            <v>1.5</v>
          </cell>
          <cell r="H792">
            <v>3.8</v>
          </cell>
          <cell r="I792">
            <v>3.4</v>
          </cell>
          <cell r="J792" t="str">
            <v>No formal educational credential</v>
          </cell>
          <cell r="K792" t="str">
            <v>None</v>
          </cell>
          <cell r="L792" t="str">
            <v>Short-term on-the-job training</v>
          </cell>
          <cell r="M792" t="str">
            <v>OOH Content</v>
          </cell>
        </row>
        <row r="793">
          <cell r="A793" t="str">
            <v>47-2132</v>
          </cell>
          <cell r="B793" t="str">
            <v xml:space="preserve">        Insulation workers, mechanical</v>
          </cell>
          <cell r="C793" t="str">
            <v>Line item</v>
          </cell>
          <cell r="D793">
            <v>57250</v>
          </cell>
          <cell r="E793">
            <v>27.2</v>
          </cell>
          <cell r="F793">
            <v>28.5</v>
          </cell>
          <cell r="G793">
            <v>1.3</v>
          </cell>
          <cell r="H793">
            <v>4.7</v>
          </cell>
          <cell r="I793">
            <v>2.2999999999999998</v>
          </cell>
          <cell r="J793" t="str">
            <v>High school diploma or equivalent</v>
          </cell>
          <cell r="K793" t="str">
            <v>None</v>
          </cell>
          <cell r="L793" t="str">
            <v>Apprenticeship</v>
          </cell>
          <cell r="M793" t="str">
            <v>OOH Content</v>
          </cell>
        </row>
        <row r="794">
          <cell r="A794" t="str">
            <v>47-2140</v>
          </cell>
          <cell r="B794" t="str">
            <v xml:space="preserve">      Painters and paperhangers</v>
          </cell>
          <cell r="C794" t="str">
            <v>Summary</v>
          </cell>
          <cell r="D794">
            <v>48660</v>
          </cell>
          <cell r="E794">
            <v>344.6</v>
          </cell>
          <cell r="F794">
            <v>357.7</v>
          </cell>
          <cell r="G794">
            <v>13.1</v>
          </cell>
          <cell r="H794">
            <v>3.8</v>
          </cell>
          <cell r="I794">
            <v>28.3</v>
          </cell>
          <cell r="J794" t="str">
            <v>—</v>
          </cell>
          <cell r="K794" t="str">
            <v>—</v>
          </cell>
          <cell r="L794" t="str">
            <v>—</v>
          </cell>
          <cell r="M794" t="str">
            <v>—</v>
          </cell>
        </row>
        <row r="795">
          <cell r="A795" t="str">
            <v>47-2141</v>
          </cell>
          <cell r="B795" t="str">
            <v xml:space="preserve">        Painters, construction and maintenance</v>
          </cell>
          <cell r="C795" t="str">
            <v>Line item</v>
          </cell>
          <cell r="D795">
            <v>48660</v>
          </cell>
          <cell r="E795">
            <v>342.2</v>
          </cell>
          <cell r="F795">
            <v>355.2</v>
          </cell>
          <cell r="G795">
            <v>13</v>
          </cell>
          <cell r="H795">
            <v>3.8</v>
          </cell>
          <cell r="I795">
            <v>28.1</v>
          </cell>
          <cell r="J795" t="str">
            <v>No formal educational credential</v>
          </cell>
          <cell r="K795" t="str">
            <v>None</v>
          </cell>
          <cell r="L795" t="str">
            <v>Moderate-term on-the-job training</v>
          </cell>
          <cell r="M795" t="str">
            <v>OOH Content</v>
          </cell>
        </row>
        <row r="796">
          <cell r="A796" t="str">
            <v>47-2142</v>
          </cell>
          <cell r="B796" t="str">
            <v xml:space="preserve">        Paperhangers</v>
          </cell>
          <cell r="C796" t="str">
            <v>Line item</v>
          </cell>
          <cell r="D796">
            <v>48260</v>
          </cell>
          <cell r="E796">
            <v>2.2999999999999998</v>
          </cell>
          <cell r="F796">
            <v>2.5</v>
          </cell>
          <cell r="G796">
            <v>0.1</v>
          </cell>
          <cell r="H796">
            <v>5.3</v>
          </cell>
          <cell r="I796">
            <v>0.2</v>
          </cell>
          <cell r="J796" t="str">
            <v>No formal educational credential</v>
          </cell>
          <cell r="K796" t="str">
            <v>None</v>
          </cell>
          <cell r="L796" t="str">
            <v>Long-term on-the-job training</v>
          </cell>
          <cell r="M796" t="str">
            <v>—</v>
          </cell>
        </row>
        <row r="797">
          <cell r="A797" t="str">
            <v>47-2150</v>
          </cell>
          <cell r="B797" t="str">
            <v xml:space="preserve">      Pipelayers, plumbers, pipefitters, and steamfitters</v>
          </cell>
          <cell r="C797" t="str">
            <v>Summary</v>
          </cell>
          <cell r="D797">
            <v>62210</v>
          </cell>
          <cell r="E797">
            <v>538.9</v>
          </cell>
          <cell r="F797">
            <v>560.1</v>
          </cell>
          <cell r="G797">
            <v>21.3</v>
          </cell>
          <cell r="H797">
            <v>3.9</v>
          </cell>
          <cell r="I797">
            <v>46.4</v>
          </cell>
          <cell r="J797" t="str">
            <v>—</v>
          </cell>
          <cell r="K797" t="str">
            <v>—</v>
          </cell>
          <cell r="L797" t="str">
            <v>—</v>
          </cell>
          <cell r="M797" t="str">
            <v>—</v>
          </cell>
        </row>
        <row r="798">
          <cell r="A798" t="str">
            <v>47-2151</v>
          </cell>
          <cell r="B798" t="str">
            <v xml:space="preserve">        Pipelayers</v>
          </cell>
          <cell r="C798" t="str">
            <v>Line item</v>
          </cell>
          <cell r="D798">
            <v>48710</v>
          </cell>
          <cell r="E798">
            <v>34.4</v>
          </cell>
          <cell r="F798">
            <v>32.9</v>
          </cell>
          <cell r="G798">
            <v>-1.4</v>
          </cell>
          <cell r="H798">
            <v>-4.0999999999999996</v>
          </cell>
          <cell r="I798">
            <v>2.4</v>
          </cell>
          <cell r="J798" t="str">
            <v>No formal educational credential</v>
          </cell>
          <cell r="K798" t="str">
            <v>None</v>
          </cell>
          <cell r="L798" t="str">
            <v>Short-term on-the-job training</v>
          </cell>
          <cell r="M798" t="str">
            <v>—</v>
          </cell>
        </row>
        <row r="799">
          <cell r="A799" t="str">
            <v>47-2152</v>
          </cell>
          <cell r="B799" t="str">
            <v xml:space="preserve">        Plumbers, pipefitters, and steamfitters</v>
          </cell>
          <cell r="C799" t="str">
            <v>Line item</v>
          </cell>
          <cell r="D799">
            <v>62970</v>
          </cell>
          <cell r="E799">
            <v>504.5</v>
          </cell>
          <cell r="F799">
            <v>527.20000000000005</v>
          </cell>
          <cell r="G799">
            <v>22.7</v>
          </cell>
          <cell r="H799">
            <v>4.5</v>
          </cell>
          <cell r="I799">
            <v>44</v>
          </cell>
          <cell r="J799" t="str">
            <v>High school diploma or equivalent</v>
          </cell>
          <cell r="K799" t="str">
            <v>None</v>
          </cell>
          <cell r="L799" t="str">
            <v>Apprenticeship</v>
          </cell>
          <cell r="M799" t="str">
            <v>OOH Content</v>
          </cell>
        </row>
        <row r="800">
          <cell r="A800" t="str">
            <v>47-2161</v>
          </cell>
          <cell r="B800" t="str">
            <v xml:space="preserve">      Plasterers and stucco masons</v>
          </cell>
          <cell r="C800" t="str">
            <v>Line item</v>
          </cell>
          <cell r="D800">
            <v>56020</v>
          </cell>
          <cell r="E800">
            <v>24.2</v>
          </cell>
          <cell r="F800">
            <v>25.2</v>
          </cell>
          <cell r="G800">
            <v>1</v>
          </cell>
          <cell r="H800">
            <v>4.0999999999999996</v>
          </cell>
          <cell r="I800">
            <v>1.9</v>
          </cell>
          <cell r="J800" t="str">
            <v>No formal educational credential</v>
          </cell>
          <cell r="K800" t="str">
            <v>None</v>
          </cell>
          <cell r="L800" t="str">
            <v>Long-term on-the-job training</v>
          </cell>
          <cell r="M800" t="str">
            <v>—</v>
          </cell>
        </row>
        <row r="801">
          <cell r="A801" t="str">
            <v>47-2171</v>
          </cell>
          <cell r="B801" t="str">
            <v xml:space="preserve">      Reinforcing iron and rebar workers</v>
          </cell>
          <cell r="C801" t="str">
            <v>Line item</v>
          </cell>
          <cell r="D801">
            <v>59280</v>
          </cell>
          <cell r="E801">
            <v>19.399999999999999</v>
          </cell>
          <cell r="F801">
            <v>20.3</v>
          </cell>
          <cell r="G801">
            <v>0.9</v>
          </cell>
          <cell r="H801">
            <v>4.5999999999999996</v>
          </cell>
          <cell r="I801">
            <v>1.5</v>
          </cell>
          <cell r="J801" t="str">
            <v>High school diploma or equivalent</v>
          </cell>
          <cell r="K801" t="str">
            <v>None</v>
          </cell>
          <cell r="L801" t="str">
            <v>Apprenticeship</v>
          </cell>
          <cell r="M801" t="str">
            <v>OOH Content</v>
          </cell>
        </row>
        <row r="802">
          <cell r="A802" t="str">
            <v>47-2181</v>
          </cell>
          <cell r="B802" t="str">
            <v xml:space="preserve">      Roofers</v>
          </cell>
          <cell r="C802" t="str">
            <v>Line item</v>
          </cell>
          <cell r="D802">
            <v>50970</v>
          </cell>
          <cell r="E802">
            <v>166.7</v>
          </cell>
          <cell r="F802">
            <v>176.5</v>
          </cell>
          <cell r="G802">
            <v>9.8000000000000007</v>
          </cell>
          <cell r="H802">
            <v>5.9</v>
          </cell>
          <cell r="I802">
            <v>12.7</v>
          </cell>
          <cell r="J802" t="str">
            <v>No formal educational credential</v>
          </cell>
          <cell r="K802" t="str">
            <v>None</v>
          </cell>
          <cell r="L802" t="str">
            <v>Moderate-term on-the-job training</v>
          </cell>
          <cell r="M802" t="str">
            <v>OOH Content</v>
          </cell>
        </row>
        <row r="803">
          <cell r="A803" t="str">
            <v>47-2211</v>
          </cell>
          <cell r="B803" t="str">
            <v xml:space="preserve">      Sheet metal workers</v>
          </cell>
          <cell r="C803" t="str">
            <v>Line item</v>
          </cell>
          <cell r="D803">
            <v>60850</v>
          </cell>
          <cell r="E803">
            <v>127</v>
          </cell>
          <cell r="F803">
            <v>130.1</v>
          </cell>
          <cell r="G803">
            <v>3.1</v>
          </cell>
          <cell r="H803">
            <v>2.4</v>
          </cell>
          <cell r="I803">
            <v>10.6</v>
          </cell>
          <cell r="J803" t="str">
            <v>High school diploma or equivalent</v>
          </cell>
          <cell r="K803" t="str">
            <v>None</v>
          </cell>
          <cell r="L803" t="str">
            <v>Apprenticeship</v>
          </cell>
          <cell r="M803" t="str">
            <v>OOH Content</v>
          </cell>
        </row>
        <row r="804">
          <cell r="A804" t="str">
            <v>47-2221</v>
          </cell>
          <cell r="B804" t="str">
            <v xml:space="preserve">      Structural iron and steel workers</v>
          </cell>
          <cell r="C804" t="str">
            <v>Line item</v>
          </cell>
          <cell r="D804">
            <v>62700</v>
          </cell>
          <cell r="E804">
            <v>65.7</v>
          </cell>
          <cell r="F804">
            <v>68.599999999999994</v>
          </cell>
          <cell r="G804">
            <v>2.9</v>
          </cell>
          <cell r="H804">
            <v>4.4000000000000004</v>
          </cell>
          <cell r="I804">
            <v>5.5</v>
          </cell>
          <cell r="J804" t="str">
            <v>High school diploma or equivalent</v>
          </cell>
          <cell r="K804" t="str">
            <v>None</v>
          </cell>
          <cell r="L804" t="str">
            <v>Apprenticeship</v>
          </cell>
          <cell r="M804" t="str">
            <v>OOH Content</v>
          </cell>
        </row>
        <row r="805">
          <cell r="A805" t="str">
            <v>47-2231</v>
          </cell>
          <cell r="B805" t="str">
            <v xml:space="preserve">      Solar photovoltaic installers</v>
          </cell>
          <cell r="C805" t="str">
            <v>Line item</v>
          </cell>
          <cell r="D805">
            <v>51860</v>
          </cell>
          <cell r="E805">
            <v>28.6</v>
          </cell>
          <cell r="F805">
            <v>40.6</v>
          </cell>
          <cell r="G805">
            <v>12</v>
          </cell>
          <cell r="H805">
            <v>42.1</v>
          </cell>
          <cell r="I805">
            <v>4.0999999999999996</v>
          </cell>
          <cell r="J805" t="str">
            <v>High school diploma or equivalent</v>
          </cell>
          <cell r="K805" t="str">
            <v>None</v>
          </cell>
          <cell r="L805" t="str">
            <v>Moderate-term on-the-job training</v>
          </cell>
          <cell r="M805" t="str">
            <v>OOH Content</v>
          </cell>
        </row>
        <row r="806">
          <cell r="A806" t="str">
            <v>47-3000</v>
          </cell>
          <cell r="B806" t="str">
            <v xml:space="preserve">    Helpers, construction trades</v>
          </cell>
          <cell r="C806" t="str">
            <v>Summary</v>
          </cell>
          <cell r="D806">
            <v>40430</v>
          </cell>
          <cell r="E806">
            <v>192.1</v>
          </cell>
          <cell r="F806">
            <v>195.5</v>
          </cell>
          <cell r="G806">
            <v>3.4</v>
          </cell>
          <cell r="H806">
            <v>1.8</v>
          </cell>
          <cell r="I806">
            <v>20</v>
          </cell>
          <cell r="J806" t="str">
            <v>—</v>
          </cell>
          <cell r="K806" t="str">
            <v>—</v>
          </cell>
          <cell r="L806" t="str">
            <v>—</v>
          </cell>
          <cell r="M806" t="str">
            <v>—</v>
          </cell>
        </row>
        <row r="807">
          <cell r="A807" t="str">
            <v>47-3011</v>
          </cell>
          <cell r="B807" t="str">
            <v xml:space="preserve">      Helpers--brickmasons, blockmasons, stonemasons, and tile and marble setters</v>
          </cell>
          <cell r="C807" t="str">
            <v>Line item</v>
          </cell>
          <cell r="D807">
            <v>46480</v>
          </cell>
          <cell r="E807">
            <v>16.100000000000001</v>
          </cell>
          <cell r="F807">
            <v>14.4</v>
          </cell>
          <cell r="G807">
            <v>-1.7</v>
          </cell>
          <cell r="H807">
            <v>-10.5</v>
          </cell>
          <cell r="I807">
            <v>1.4</v>
          </cell>
          <cell r="J807" t="str">
            <v>No formal educational credential</v>
          </cell>
          <cell r="K807" t="str">
            <v>None</v>
          </cell>
          <cell r="L807" t="str">
            <v>Short-term on-the-job training</v>
          </cell>
          <cell r="M807" t="str">
            <v>OOH Content</v>
          </cell>
        </row>
        <row r="808">
          <cell r="A808" t="str">
            <v>47-3012</v>
          </cell>
          <cell r="B808" t="str">
            <v xml:space="preserve">      Helpers--carpenters</v>
          </cell>
          <cell r="C808" t="str">
            <v>Line item</v>
          </cell>
          <cell r="D808">
            <v>41600</v>
          </cell>
          <cell r="E808">
            <v>25.2</v>
          </cell>
          <cell r="F808">
            <v>26.4</v>
          </cell>
          <cell r="G808">
            <v>1.1000000000000001</v>
          </cell>
          <cell r="H808">
            <v>4.5</v>
          </cell>
          <cell r="I808">
            <v>2.7</v>
          </cell>
          <cell r="J808" t="str">
            <v>No formal educational credential</v>
          </cell>
          <cell r="K808" t="str">
            <v>None</v>
          </cell>
          <cell r="L808" t="str">
            <v>Short-term on-the-job training</v>
          </cell>
          <cell r="M808" t="str">
            <v>OOH Content</v>
          </cell>
        </row>
        <row r="809">
          <cell r="A809" t="str">
            <v>47-3013</v>
          </cell>
          <cell r="B809" t="str">
            <v xml:space="preserve">      Helpers--electricians</v>
          </cell>
          <cell r="C809" t="str">
            <v>Line item</v>
          </cell>
          <cell r="D809">
            <v>39890</v>
          </cell>
          <cell r="E809">
            <v>66.599999999999994</v>
          </cell>
          <cell r="F809">
            <v>66.7</v>
          </cell>
          <cell r="G809">
            <v>0.1</v>
          </cell>
          <cell r="H809">
            <v>0.2</v>
          </cell>
          <cell r="I809">
            <v>6.8</v>
          </cell>
          <cell r="J809" t="str">
            <v>High school diploma or equivalent</v>
          </cell>
          <cell r="K809" t="str">
            <v>None</v>
          </cell>
          <cell r="L809" t="str">
            <v>Short-term on-the-job training</v>
          </cell>
          <cell r="M809" t="str">
            <v>OOH Content</v>
          </cell>
        </row>
        <row r="810">
          <cell r="A810" t="str">
            <v>47-3014</v>
          </cell>
          <cell r="B810" t="str">
            <v xml:space="preserve">      Helpers--painters, paperhangers, plasterers, and stucco masons</v>
          </cell>
          <cell r="C810" t="str">
            <v>Line item</v>
          </cell>
          <cell r="D810">
            <v>38140</v>
          </cell>
          <cell r="E810">
            <v>7.4</v>
          </cell>
          <cell r="F810">
            <v>7.6</v>
          </cell>
          <cell r="G810">
            <v>0.2</v>
          </cell>
          <cell r="H810">
            <v>2.2999999999999998</v>
          </cell>
          <cell r="I810">
            <v>0.8</v>
          </cell>
          <cell r="J810" t="str">
            <v>No formal educational credential</v>
          </cell>
          <cell r="K810" t="str">
            <v>None</v>
          </cell>
          <cell r="L810" t="str">
            <v>Short-term on-the-job training</v>
          </cell>
          <cell r="M810" t="str">
            <v>OOH Content</v>
          </cell>
        </row>
        <row r="811">
          <cell r="A811" t="str">
            <v>47-3015</v>
          </cell>
          <cell r="B811" t="str">
            <v xml:space="preserve">      Helpers--pipelayers, plumbers, pipefitters, and steamfitters</v>
          </cell>
          <cell r="C811" t="str">
            <v>Line item</v>
          </cell>
          <cell r="D811">
            <v>39270</v>
          </cell>
          <cell r="E811">
            <v>45.3</v>
          </cell>
          <cell r="F811">
            <v>47.5</v>
          </cell>
          <cell r="G811">
            <v>2.2000000000000002</v>
          </cell>
          <cell r="H811">
            <v>4.9000000000000004</v>
          </cell>
          <cell r="I811">
            <v>4.9000000000000004</v>
          </cell>
          <cell r="J811" t="str">
            <v>High school diploma or equivalent</v>
          </cell>
          <cell r="K811" t="str">
            <v>None</v>
          </cell>
          <cell r="L811" t="str">
            <v>Short-term on-the-job training</v>
          </cell>
          <cell r="M811" t="str">
            <v>OOH Content</v>
          </cell>
        </row>
        <row r="812">
          <cell r="A812" t="str">
            <v>47-3016</v>
          </cell>
          <cell r="B812" t="str">
            <v xml:space="preserve">      Helpers--roofers</v>
          </cell>
          <cell r="C812" t="str">
            <v>Line item</v>
          </cell>
          <cell r="D812">
            <v>40590</v>
          </cell>
          <cell r="E812">
            <v>5.2</v>
          </cell>
          <cell r="F812">
            <v>5.5</v>
          </cell>
          <cell r="G812">
            <v>0.3</v>
          </cell>
          <cell r="H812">
            <v>5.7</v>
          </cell>
          <cell r="I812">
            <v>0.6</v>
          </cell>
          <cell r="J812" t="str">
            <v>No formal educational credential</v>
          </cell>
          <cell r="K812" t="str">
            <v>None</v>
          </cell>
          <cell r="L812" t="str">
            <v>Short-term on-the-job training</v>
          </cell>
          <cell r="M812" t="str">
            <v>OOH Content</v>
          </cell>
        </row>
        <row r="813">
          <cell r="A813" t="str">
            <v>47-3019</v>
          </cell>
          <cell r="B813" t="str">
            <v xml:space="preserve">      Helpers, construction trades, all other</v>
          </cell>
          <cell r="C813" t="str">
            <v>Line item</v>
          </cell>
          <cell r="D813">
            <v>40760</v>
          </cell>
          <cell r="E813">
            <v>26.3</v>
          </cell>
          <cell r="F813">
            <v>27.4</v>
          </cell>
          <cell r="G813">
            <v>1.2</v>
          </cell>
          <cell r="H813">
            <v>4.4000000000000004</v>
          </cell>
          <cell r="I813">
            <v>2.8</v>
          </cell>
          <cell r="J813" t="str">
            <v>No formal educational credential</v>
          </cell>
          <cell r="K813" t="str">
            <v>None</v>
          </cell>
          <cell r="L813" t="str">
            <v>Short-term on-the-job training</v>
          </cell>
          <cell r="M813" t="str">
            <v>OOH Content</v>
          </cell>
        </row>
        <row r="814">
          <cell r="A814" t="str">
            <v>47-4000</v>
          </cell>
          <cell r="B814" t="str">
            <v xml:space="preserve">    Other construction and related workers</v>
          </cell>
          <cell r="C814" t="str">
            <v>Summary</v>
          </cell>
          <cell r="D814">
            <v>56520</v>
          </cell>
          <cell r="E814">
            <v>489</v>
          </cell>
          <cell r="F814">
            <v>499.4</v>
          </cell>
          <cell r="G814">
            <v>10.4</v>
          </cell>
          <cell r="H814">
            <v>2.1</v>
          </cell>
          <cell r="I814">
            <v>43.5</v>
          </cell>
          <cell r="J814" t="str">
            <v>—</v>
          </cell>
          <cell r="K814" t="str">
            <v>—</v>
          </cell>
          <cell r="L814" t="str">
            <v>—</v>
          </cell>
          <cell r="M814" t="str">
            <v>—</v>
          </cell>
        </row>
        <row r="815">
          <cell r="A815" t="str">
            <v>47-4011</v>
          </cell>
          <cell r="B815" t="str">
            <v xml:space="preserve">      Construction and building inspectors</v>
          </cell>
          <cell r="C815" t="str">
            <v>Line item</v>
          </cell>
          <cell r="D815">
            <v>72120</v>
          </cell>
          <cell r="E815">
            <v>147.6</v>
          </cell>
          <cell r="F815">
            <v>146.5</v>
          </cell>
          <cell r="G815">
            <v>-1.2</v>
          </cell>
          <cell r="H815">
            <v>-0.8</v>
          </cell>
          <cell r="I815">
            <v>14.8</v>
          </cell>
          <cell r="J815" t="str">
            <v>High school diploma or equivalent</v>
          </cell>
          <cell r="K815" t="str">
            <v>5 years or more</v>
          </cell>
          <cell r="L815" t="str">
            <v>Moderate-term on-the-job training</v>
          </cell>
          <cell r="M815" t="str">
            <v>OOH Content</v>
          </cell>
        </row>
        <row r="816">
          <cell r="A816" t="str">
            <v>47-4021</v>
          </cell>
          <cell r="B816" t="str">
            <v xml:space="preserve">      Elevator and escalator installers and repairers</v>
          </cell>
          <cell r="C816" t="str">
            <v>Line item</v>
          </cell>
          <cell r="D816">
            <v>106580</v>
          </cell>
          <cell r="E816">
            <v>24.2</v>
          </cell>
          <cell r="F816">
            <v>25.4</v>
          </cell>
          <cell r="G816">
            <v>1.2</v>
          </cell>
          <cell r="H816">
            <v>5</v>
          </cell>
          <cell r="I816">
            <v>2</v>
          </cell>
          <cell r="J816" t="str">
            <v>High school diploma or equivalent</v>
          </cell>
          <cell r="K816" t="str">
            <v>None</v>
          </cell>
          <cell r="L816" t="str">
            <v>Apprenticeship</v>
          </cell>
          <cell r="M816" t="str">
            <v>OOH Content</v>
          </cell>
        </row>
        <row r="817">
          <cell r="A817" t="str">
            <v>47-4031</v>
          </cell>
          <cell r="B817" t="str">
            <v xml:space="preserve">      Fence erectors</v>
          </cell>
          <cell r="C817" t="str">
            <v>Line item</v>
          </cell>
          <cell r="D817">
            <v>46940</v>
          </cell>
          <cell r="E817">
            <v>26.4</v>
          </cell>
          <cell r="F817">
            <v>27.6</v>
          </cell>
          <cell r="G817">
            <v>1.2</v>
          </cell>
          <cell r="H817">
            <v>4.5999999999999996</v>
          </cell>
          <cell r="I817">
            <v>2.2999999999999998</v>
          </cell>
          <cell r="J817" t="str">
            <v>No formal educational credential</v>
          </cell>
          <cell r="K817" t="str">
            <v>None</v>
          </cell>
          <cell r="L817" t="str">
            <v>Moderate-term on-the-job training</v>
          </cell>
          <cell r="M817" t="str">
            <v>—</v>
          </cell>
        </row>
        <row r="818">
          <cell r="A818" t="str">
            <v>47-4041</v>
          </cell>
          <cell r="B818" t="str">
            <v xml:space="preserve">      Hazardous materials removal workers</v>
          </cell>
          <cell r="C818" t="str">
            <v>Line item</v>
          </cell>
          <cell r="D818">
            <v>48490</v>
          </cell>
          <cell r="E818">
            <v>51.3</v>
          </cell>
          <cell r="F818">
            <v>51.8</v>
          </cell>
          <cell r="G818">
            <v>0.5</v>
          </cell>
          <cell r="H818">
            <v>1</v>
          </cell>
          <cell r="I818">
            <v>5</v>
          </cell>
          <cell r="J818" t="str">
            <v>High school diploma or equivalent</v>
          </cell>
          <cell r="K818" t="str">
            <v>None</v>
          </cell>
          <cell r="L818" t="str">
            <v>Moderate-term on-the-job training</v>
          </cell>
          <cell r="M818" t="str">
            <v>OOH Content</v>
          </cell>
        </row>
        <row r="819">
          <cell r="A819" t="str">
            <v>47-4051</v>
          </cell>
          <cell r="B819" t="str">
            <v xml:space="preserve">      Highway maintenance workers</v>
          </cell>
          <cell r="C819" t="str">
            <v>Line item</v>
          </cell>
          <cell r="D819">
            <v>49070</v>
          </cell>
          <cell r="E819">
            <v>159.1</v>
          </cell>
          <cell r="F819">
            <v>163.9</v>
          </cell>
          <cell r="G819">
            <v>4.8</v>
          </cell>
          <cell r="H819">
            <v>3</v>
          </cell>
          <cell r="I819">
            <v>12.3</v>
          </cell>
          <cell r="J819" t="str">
            <v>High school diploma or equivalent</v>
          </cell>
          <cell r="K819" t="str">
            <v>None</v>
          </cell>
          <cell r="L819" t="str">
            <v>Moderate-term on-the-job training</v>
          </cell>
          <cell r="M819" t="str">
            <v>—</v>
          </cell>
        </row>
        <row r="820">
          <cell r="A820" t="str">
            <v>47-4061</v>
          </cell>
          <cell r="B820" t="str">
            <v xml:space="preserve">      Rail-track laying and maintenance equipment operators</v>
          </cell>
          <cell r="C820" t="str">
            <v>Line item</v>
          </cell>
          <cell r="D820">
            <v>67370</v>
          </cell>
          <cell r="E820">
            <v>15</v>
          </cell>
          <cell r="F820">
            <v>15.3</v>
          </cell>
          <cell r="G820">
            <v>0.2</v>
          </cell>
          <cell r="H820">
            <v>1.6</v>
          </cell>
          <cell r="I820">
            <v>1.1000000000000001</v>
          </cell>
          <cell r="J820" t="str">
            <v>High school diploma or equivalent</v>
          </cell>
          <cell r="K820" t="str">
            <v>None</v>
          </cell>
          <cell r="L820" t="str">
            <v>Moderate-term on-the-job training</v>
          </cell>
          <cell r="M820" t="str">
            <v>—</v>
          </cell>
        </row>
        <row r="821">
          <cell r="A821" t="str">
            <v>47-4071</v>
          </cell>
          <cell r="B821" t="str">
            <v xml:space="preserve">      Septic tank servicers and sewer pipe cleaners</v>
          </cell>
          <cell r="C821" t="str">
            <v>Line item</v>
          </cell>
          <cell r="D821">
            <v>49140</v>
          </cell>
          <cell r="E821">
            <v>30.4</v>
          </cell>
          <cell r="F821">
            <v>32.700000000000003</v>
          </cell>
          <cell r="G821">
            <v>2.2999999999999998</v>
          </cell>
          <cell r="H821">
            <v>7.6</v>
          </cell>
          <cell r="I821">
            <v>2.9</v>
          </cell>
          <cell r="J821" t="str">
            <v>High school diploma or equivalent</v>
          </cell>
          <cell r="K821" t="str">
            <v>None</v>
          </cell>
          <cell r="L821" t="str">
            <v>Moderate-term on-the-job training</v>
          </cell>
          <cell r="M821" t="str">
            <v>—</v>
          </cell>
        </row>
        <row r="822">
          <cell r="A822" t="str">
            <v>47-4090</v>
          </cell>
          <cell r="B822" t="str">
            <v xml:space="preserve">      Miscellaneous construction and related workers</v>
          </cell>
          <cell r="C822" t="str">
            <v>Line item</v>
          </cell>
          <cell r="D822">
            <v>48120</v>
          </cell>
          <cell r="E822">
            <v>35</v>
          </cell>
          <cell r="F822">
            <v>36.200000000000003</v>
          </cell>
          <cell r="G822">
            <v>1.2</v>
          </cell>
          <cell r="H822">
            <v>3.5</v>
          </cell>
          <cell r="I822">
            <v>3.1</v>
          </cell>
          <cell r="J822" t="str">
            <v>High school diploma or equivalent</v>
          </cell>
          <cell r="K822" t="str">
            <v>None</v>
          </cell>
          <cell r="L822" t="str">
            <v>Moderate-term on-the-job training</v>
          </cell>
          <cell r="M822" t="str">
            <v>—</v>
          </cell>
        </row>
        <row r="823">
          <cell r="A823" t="str">
            <v>47-5000</v>
          </cell>
          <cell r="B823" t="str">
            <v xml:space="preserve">    Extraction workers</v>
          </cell>
          <cell r="C823" t="str">
            <v>Summary</v>
          </cell>
          <cell r="D823">
            <v>56020</v>
          </cell>
          <cell r="E823">
            <v>219.4</v>
          </cell>
          <cell r="F823">
            <v>218.9</v>
          </cell>
          <cell r="G823">
            <v>-0.6</v>
          </cell>
          <cell r="H823">
            <v>-0.3</v>
          </cell>
          <cell r="I823">
            <v>20.2</v>
          </cell>
          <cell r="J823" t="str">
            <v>—</v>
          </cell>
          <cell r="K823" t="str">
            <v>—</v>
          </cell>
          <cell r="L823" t="str">
            <v>—</v>
          </cell>
          <cell r="M823" t="str">
            <v>—</v>
          </cell>
        </row>
        <row r="824">
          <cell r="A824" t="str">
            <v>47-5010</v>
          </cell>
          <cell r="B824" t="str">
            <v xml:space="preserve">      Derrick, rotary drill, and service unit operators, oil and gas</v>
          </cell>
          <cell r="C824" t="str">
            <v>Summary</v>
          </cell>
          <cell r="D824">
            <v>59660</v>
          </cell>
          <cell r="E824">
            <v>69.900000000000006</v>
          </cell>
          <cell r="F824">
            <v>70.099999999999994</v>
          </cell>
          <cell r="G824">
            <v>0.2</v>
          </cell>
          <cell r="H824">
            <v>0.3</v>
          </cell>
          <cell r="I824">
            <v>6.3</v>
          </cell>
          <cell r="J824" t="str">
            <v>—</v>
          </cell>
          <cell r="K824" t="str">
            <v>—</v>
          </cell>
          <cell r="L824" t="str">
            <v>—</v>
          </cell>
          <cell r="M824" t="str">
            <v>—</v>
          </cell>
        </row>
        <row r="825">
          <cell r="A825" t="str">
            <v>47-5011</v>
          </cell>
          <cell r="B825" t="str">
            <v xml:space="preserve">        Derrick operators, oil and gas</v>
          </cell>
          <cell r="C825" t="str">
            <v>Line item</v>
          </cell>
          <cell r="D825">
            <v>62740</v>
          </cell>
          <cell r="E825">
            <v>11.3</v>
          </cell>
          <cell r="F825">
            <v>11.3</v>
          </cell>
          <cell r="G825">
            <v>0.1</v>
          </cell>
          <cell r="H825">
            <v>0.5</v>
          </cell>
          <cell r="I825">
            <v>1</v>
          </cell>
          <cell r="J825" t="str">
            <v>No formal educational credential</v>
          </cell>
          <cell r="K825" t="str">
            <v>Less than 5 years</v>
          </cell>
          <cell r="L825" t="str">
            <v>Short-term on-the-job training</v>
          </cell>
          <cell r="M825" t="str">
            <v>OOH Content</v>
          </cell>
        </row>
        <row r="826">
          <cell r="A826" t="str">
            <v>47-5012</v>
          </cell>
          <cell r="B826" t="str">
            <v xml:space="preserve">        Rotary drill operators, oil and gas</v>
          </cell>
          <cell r="C826" t="str">
            <v>Line item</v>
          </cell>
          <cell r="D826">
            <v>65010</v>
          </cell>
          <cell r="E826">
            <v>13.3</v>
          </cell>
          <cell r="F826">
            <v>13.4</v>
          </cell>
          <cell r="G826">
            <v>0</v>
          </cell>
          <cell r="H826">
            <v>0.2</v>
          </cell>
          <cell r="I826">
            <v>1.2</v>
          </cell>
          <cell r="J826" t="str">
            <v>No formal educational credential</v>
          </cell>
          <cell r="K826" t="str">
            <v>Less than 5 years</v>
          </cell>
          <cell r="L826" t="str">
            <v>Moderate-term on-the-job training</v>
          </cell>
          <cell r="M826" t="str">
            <v>OOH Content</v>
          </cell>
        </row>
        <row r="827">
          <cell r="A827" t="str">
            <v>47-5013</v>
          </cell>
          <cell r="B827" t="str">
            <v xml:space="preserve">        Service unit operators, oil and gas</v>
          </cell>
          <cell r="C827" t="str">
            <v>Line item</v>
          </cell>
          <cell r="D827">
            <v>57980</v>
          </cell>
          <cell r="E827">
            <v>45.2</v>
          </cell>
          <cell r="F827">
            <v>45.4</v>
          </cell>
          <cell r="G827">
            <v>0.2</v>
          </cell>
          <cell r="H827">
            <v>0.4</v>
          </cell>
          <cell r="I827">
            <v>4.0999999999999996</v>
          </cell>
          <cell r="J827" t="str">
            <v>No formal educational credential</v>
          </cell>
          <cell r="K827" t="str">
            <v>Less than 5 years</v>
          </cell>
          <cell r="L827" t="str">
            <v>Moderate-term on-the-job training</v>
          </cell>
          <cell r="M827" t="str">
            <v>OOH Content</v>
          </cell>
        </row>
        <row r="828">
          <cell r="A828" t="str">
            <v>47-5020</v>
          </cell>
          <cell r="B828" t="str">
            <v xml:space="preserve">      Surface mining machine operators and earth drillers</v>
          </cell>
          <cell r="C828" t="str">
            <v>Summary</v>
          </cell>
          <cell r="D828">
            <v>56020</v>
          </cell>
          <cell r="E828">
            <v>54</v>
          </cell>
          <cell r="F828">
            <v>54.4</v>
          </cell>
          <cell r="G828">
            <v>0.4</v>
          </cell>
          <cell r="H828">
            <v>0.7</v>
          </cell>
          <cell r="I828">
            <v>4.7</v>
          </cell>
          <cell r="J828" t="str">
            <v>—</v>
          </cell>
          <cell r="K828" t="str">
            <v>—</v>
          </cell>
          <cell r="L828" t="str">
            <v>—</v>
          </cell>
          <cell r="M828" t="str">
            <v>—</v>
          </cell>
        </row>
        <row r="829">
          <cell r="A829" t="str">
            <v>47-5022</v>
          </cell>
          <cell r="B829" t="str">
            <v xml:space="preserve">        Excavating and loading machine and dragline operators, surface mining</v>
          </cell>
          <cell r="C829" t="str">
            <v>Line item</v>
          </cell>
          <cell r="D829">
            <v>52550</v>
          </cell>
          <cell r="E829">
            <v>35.799999999999997</v>
          </cell>
          <cell r="F829">
            <v>35.6</v>
          </cell>
          <cell r="G829">
            <v>-0.1</v>
          </cell>
          <cell r="H829">
            <v>-0.4</v>
          </cell>
          <cell r="I829">
            <v>3.1</v>
          </cell>
          <cell r="J829" t="str">
            <v>High school diploma or equivalent</v>
          </cell>
          <cell r="K829" t="str">
            <v>Less than 5 years</v>
          </cell>
          <cell r="L829" t="str">
            <v>Moderate-term on-the-job training</v>
          </cell>
          <cell r="M829" t="str">
            <v>—</v>
          </cell>
        </row>
        <row r="830">
          <cell r="A830" t="str">
            <v>47-5023</v>
          </cell>
          <cell r="B830" t="str">
            <v xml:space="preserve">        Earth drillers, except oil and gas</v>
          </cell>
          <cell r="C830" t="str">
            <v>Line item</v>
          </cell>
          <cell r="D830">
            <v>59600</v>
          </cell>
          <cell r="E830">
            <v>18.3</v>
          </cell>
          <cell r="F830">
            <v>18.8</v>
          </cell>
          <cell r="G830">
            <v>0.5</v>
          </cell>
          <cell r="H830">
            <v>2.9</v>
          </cell>
          <cell r="I830">
            <v>1.7</v>
          </cell>
          <cell r="J830" t="str">
            <v>High school diploma or equivalent</v>
          </cell>
          <cell r="K830" t="str">
            <v>Less than 5 years</v>
          </cell>
          <cell r="L830" t="str">
            <v>Long-term on-the-job training</v>
          </cell>
          <cell r="M830" t="str">
            <v>—</v>
          </cell>
        </row>
        <row r="831">
          <cell r="A831" t="str">
            <v>47-5032</v>
          </cell>
          <cell r="B831" t="str">
            <v xml:space="preserve">      Explosives workers, ordnance handling experts, and blasters</v>
          </cell>
          <cell r="C831" t="str">
            <v>Line item</v>
          </cell>
          <cell r="D831">
            <v>59110</v>
          </cell>
          <cell r="E831">
            <v>5.8</v>
          </cell>
          <cell r="F831">
            <v>5.8</v>
          </cell>
          <cell r="G831">
            <v>-0.1</v>
          </cell>
          <cell r="H831">
            <v>-0.9</v>
          </cell>
          <cell r="I831">
            <v>0.5</v>
          </cell>
          <cell r="J831" t="str">
            <v>High school diploma or equivalent</v>
          </cell>
          <cell r="K831" t="str">
            <v>Less than 5 years</v>
          </cell>
          <cell r="L831" t="str">
            <v>Long-term on-the-job training</v>
          </cell>
          <cell r="M831" t="str">
            <v>—</v>
          </cell>
        </row>
        <row r="832">
          <cell r="A832" t="str">
            <v>47-5040</v>
          </cell>
          <cell r="B832" t="str">
            <v xml:space="preserve">      Underground mining machine operators</v>
          </cell>
          <cell r="C832" t="str">
            <v>Summary</v>
          </cell>
          <cell r="D832">
            <v>66770</v>
          </cell>
          <cell r="E832">
            <v>27.2</v>
          </cell>
          <cell r="F832">
            <v>24.9</v>
          </cell>
          <cell r="G832">
            <v>-2.2999999999999998</v>
          </cell>
          <cell r="H832">
            <v>-8.6</v>
          </cell>
          <cell r="I832">
            <v>2.6</v>
          </cell>
          <cell r="J832" t="str">
            <v>—</v>
          </cell>
          <cell r="K832" t="str">
            <v>—</v>
          </cell>
          <cell r="L832" t="str">
            <v>—</v>
          </cell>
          <cell r="M832" t="str">
            <v>—</v>
          </cell>
        </row>
        <row r="833">
          <cell r="A833" t="str">
            <v>47-5041</v>
          </cell>
          <cell r="B833" t="str">
            <v xml:space="preserve">        Continuous mining machine operators</v>
          </cell>
          <cell r="C833" t="str">
            <v>Line item</v>
          </cell>
          <cell r="D833">
            <v>63380</v>
          </cell>
          <cell r="E833">
            <v>14.9</v>
          </cell>
          <cell r="F833">
            <v>15</v>
          </cell>
          <cell r="G833">
            <v>0.1</v>
          </cell>
          <cell r="H833">
            <v>0.6</v>
          </cell>
          <cell r="I833">
            <v>1.6</v>
          </cell>
          <cell r="J833" t="str">
            <v>No formal educational credential</v>
          </cell>
          <cell r="K833" t="str">
            <v>None</v>
          </cell>
          <cell r="L833" t="str">
            <v>Moderate-term on-the-job training</v>
          </cell>
          <cell r="M833" t="str">
            <v>—</v>
          </cell>
        </row>
        <row r="834">
          <cell r="A834" t="str">
            <v>47-5043</v>
          </cell>
          <cell r="B834" t="str">
            <v xml:space="preserve">        Roof bolters, mining</v>
          </cell>
          <cell r="C834" t="str">
            <v>Line item</v>
          </cell>
          <cell r="D834">
            <v>76640</v>
          </cell>
          <cell r="E834">
            <v>2.2999999999999998</v>
          </cell>
          <cell r="F834">
            <v>1.5</v>
          </cell>
          <cell r="G834">
            <v>-0.8</v>
          </cell>
          <cell r="H834">
            <v>-34.200000000000003</v>
          </cell>
          <cell r="I834">
            <v>0.1</v>
          </cell>
          <cell r="J834" t="str">
            <v>High school diploma or equivalent</v>
          </cell>
          <cell r="K834" t="str">
            <v>None</v>
          </cell>
          <cell r="L834" t="str">
            <v>Moderate-term on-the-job training</v>
          </cell>
          <cell r="M834" t="str">
            <v>—</v>
          </cell>
        </row>
        <row r="835">
          <cell r="A835" t="str">
            <v>47-5044</v>
          </cell>
          <cell r="B835" t="str">
            <v xml:space="preserve">        Loading and moving machine operators, underground mining</v>
          </cell>
          <cell r="C835" t="str">
            <v>Line item</v>
          </cell>
          <cell r="D835">
            <v>68860</v>
          </cell>
          <cell r="E835">
            <v>6.4</v>
          </cell>
          <cell r="F835">
            <v>5</v>
          </cell>
          <cell r="G835">
            <v>-1.4</v>
          </cell>
          <cell r="H835">
            <v>-22.3</v>
          </cell>
          <cell r="I835">
            <v>0.5</v>
          </cell>
          <cell r="J835" t="str">
            <v>No formal educational credential</v>
          </cell>
          <cell r="K835" t="str">
            <v>None</v>
          </cell>
          <cell r="L835" t="str">
            <v>Short-term on-the-job training</v>
          </cell>
          <cell r="M835" t="str">
            <v>—</v>
          </cell>
        </row>
        <row r="836">
          <cell r="A836" t="str">
            <v>47-5049</v>
          </cell>
          <cell r="B836" t="str">
            <v xml:space="preserve">        Underground mining machine operators, all other</v>
          </cell>
          <cell r="C836" t="str">
            <v>Line item</v>
          </cell>
          <cell r="D836">
            <v>67220</v>
          </cell>
          <cell r="E836">
            <v>3.6</v>
          </cell>
          <cell r="F836">
            <v>3.4</v>
          </cell>
          <cell r="G836">
            <v>-0.2</v>
          </cell>
          <cell r="H836">
            <v>-6.1</v>
          </cell>
          <cell r="I836">
            <v>0.4</v>
          </cell>
          <cell r="J836" t="str">
            <v>No formal educational credential</v>
          </cell>
          <cell r="K836" t="str">
            <v>None</v>
          </cell>
          <cell r="L836" t="str">
            <v>Moderate-term on-the-job training</v>
          </cell>
          <cell r="M836" t="str">
            <v>—</v>
          </cell>
        </row>
        <row r="837">
          <cell r="A837" t="str">
            <v>47-5051</v>
          </cell>
          <cell r="B837" t="str">
            <v xml:space="preserve">      Rock splitters, quarry</v>
          </cell>
          <cell r="C837" t="str">
            <v>Line item</v>
          </cell>
          <cell r="D837">
            <v>47460</v>
          </cell>
          <cell r="E837">
            <v>3.2</v>
          </cell>
          <cell r="F837">
            <v>3.4</v>
          </cell>
          <cell r="G837">
            <v>0.1</v>
          </cell>
          <cell r="H837">
            <v>4.4000000000000004</v>
          </cell>
          <cell r="I837">
            <v>0.4</v>
          </cell>
          <cell r="J837" t="str">
            <v>No formal educational credential</v>
          </cell>
          <cell r="K837" t="str">
            <v>None</v>
          </cell>
          <cell r="L837" t="str">
            <v>Short-term on-the-job training</v>
          </cell>
          <cell r="M837" t="str">
            <v>—</v>
          </cell>
        </row>
        <row r="838">
          <cell r="A838" t="str">
            <v>47-5071</v>
          </cell>
          <cell r="B838" t="str">
            <v xml:space="preserve">      Roustabouts, oil and gas</v>
          </cell>
          <cell r="C838" t="str">
            <v>Line item</v>
          </cell>
          <cell r="D838">
            <v>47510</v>
          </cell>
          <cell r="E838">
            <v>46</v>
          </cell>
          <cell r="F838">
            <v>47.1</v>
          </cell>
          <cell r="G838">
            <v>1.1000000000000001</v>
          </cell>
          <cell r="H838">
            <v>2.5</v>
          </cell>
          <cell r="I838">
            <v>4.3</v>
          </cell>
          <cell r="J838" t="str">
            <v>No formal educational credential</v>
          </cell>
          <cell r="K838" t="str">
            <v>None</v>
          </cell>
          <cell r="L838" t="str">
            <v>Moderate-term on-the-job training</v>
          </cell>
          <cell r="M838" t="str">
            <v>OOH Content</v>
          </cell>
        </row>
        <row r="839">
          <cell r="A839" t="str">
            <v>47-5081</v>
          </cell>
          <cell r="B839" t="str">
            <v xml:space="preserve">      Helpers--extraction workers</v>
          </cell>
          <cell r="C839" t="str">
            <v>Line item</v>
          </cell>
          <cell r="D839">
            <v>48400</v>
          </cell>
          <cell r="E839">
            <v>7</v>
          </cell>
          <cell r="F839">
            <v>6.9</v>
          </cell>
          <cell r="G839">
            <v>-0.1</v>
          </cell>
          <cell r="H839">
            <v>-1.7</v>
          </cell>
          <cell r="I839">
            <v>0.7</v>
          </cell>
          <cell r="J839" t="str">
            <v>High school diploma or equivalent</v>
          </cell>
          <cell r="K839" t="str">
            <v>None</v>
          </cell>
          <cell r="L839" t="str">
            <v>Moderate-term on-the-job training</v>
          </cell>
          <cell r="M839" t="str">
            <v>—</v>
          </cell>
        </row>
        <row r="840">
          <cell r="A840" t="str">
            <v>47-5099</v>
          </cell>
          <cell r="B840" t="str">
            <v xml:space="preserve">      Extraction workers, all other</v>
          </cell>
          <cell r="C840" t="str">
            <v>Line item</v>
          </cell>
          <cell r="D840">
            <v>50110</v>
          </cell>
          <cell r="E840">
            <v>6.3</v>
          </cell>
          <cell r="F840">
            <v>6.4</v>
          </cell>
          <cell r="G840">
            <v>0.1</v>
          </cell>
          <cell r="H840">
            <v>1.4</v>
          </cell>
          <cell r="I840">
            <v>0.7</v>
          </cell>
          <cell r="J840" t="str">
            <v>High school diploma or equivalent</v>
          </cell>
          <cell r="K840" t="str">
            <v>None</v>
          </cell>
          <cell r="L840" t="str">
            <v>Moderate-term on-the-job training</v>
          </cell>
          <cell r="M840" t="str">
            <v>—</v>
          </cell>
        </row>
        <row r="841">
          <cell r="A841" t="str">
            <v>49-0000</v>
          </cell>
          <cell r="B841" t="str">
            <v xml:space="preserve">  Installation, maintenance, and repair occupations</v>
          </cell>
          <cell r="C841" t="str">
            <v>Summary</v>
          </cell>
          <cell r="D841">
            <v>58230</v>
          </cell>
          <cell r="E841">
            <v>6492.9</v>
          </cell>
          <cell r="F841">
            <v>6794.3</v>
          </cell>
          <cell r="G841">
            <v>301.39999999999998</v>
          </cell>
          <cell r="H841">
            <v>4.5999999999999996</v>
          </cell>
          <cell r="I841">
            <v>608.1</v>
          </cell>
          <cell r="J841" t="str">
            <v>—</v>
          </cell>
          <cell r="K841" t="str">
            <v>—</v>
          </cell>
          <cell r="L841" t="str">
            <v>—</v>
          </cell>
          <cell r="M841" t="str">
            <v>—</v>
          </cell>
        </row>
        <row r="842">
          <cell r="A842" t="str">
            <v>49-1000</v>
          </cell>
          <cell r="B842" t="str">
            <v xml:space="preserve">    Supervisors of installation, maintenance, and repair workers</v>
          </cell>
          <cell r="C842" t="str">
            <v>Summary</v>
          </cell>
          <cell r="D842">
            <v>78300</v>
          </cell>
          <cell r="E842">
            <v>617.5</v>
          </cell>
          <cell r="F842">
            <v>636.5</v>
          </cell>
          <cell r="G842">
            <v>19.100000000000001</v>
          </cell>
          <cell r="H842">
            <v>3.1</v>
          </cell>
          <cell r="I842">
            <v>52.4</v>
          </cell>
          <cell r="J842" t="str">
            <v>—</v>
          </cell>
          <cell r="K842" t="str">
            <v>—</v>
          </cell>
          <cell r="L842" t="str">
            <v>—</v>
          </cell>
          <cell r="M842" t="str">
            <v>—</v>
          </cell>
        </row>
        <row r="843">
          <cell r="A843" t="str">
            <v>49-1011</v>
          </cell>
          <cell r="B843" t="str">
            <v xml:space="preserve">      First-line supervisors of mechanics, installers, and repairers</v>
          </cell>
          <cell r="C843" t="str">
            <v>Line item</v>
          </cell>
          <cell r="D843">
            <v>78300</v>
          </cell>
          <cell r="E843">
            <v>617.5</v>
          </cell>
          <cell r="F843">
            <v>636.5</v>
          </cell>
          <cell r="G843">
            <v>19.100000000000001</v>
          </cell>
          <cell r="H843">
            <v>3.1</v>
          </cell>
          <cell r="I843">
            <v>52.4</v>
          </cell>
          <cell r="J843" t="str">
            <v>High school diploma or equivalent</v>
          </cell>
          <cell r="K843" t="str">
            <v>Less than 5 years</v>
          </cell>
          <cell r="L843" t="str">
            <v>None</v>
          </cell>
          <cell r="M843" t="str">
            <v>—</v>
          </cell>
        </row>
        <row r="844">
          <cell r="A844" t="str">
            <v>49-2000</v>
          </cell>
          <cell r="B844" t="str">
            <v xml:space="preserve">    Electrical and electronic equipment mechanics, installers, and repairers</v>
          </cell>
          <cell r="C844" t="str">
            <v>Summary</v>
          </cell>
          <cell r="D844">
            <v>60980</v>
          </cell>
          <cell r="E844">
            <v>498.5</v>
          </cell>
          <cell r="F844">
            <v>504.9</v>
          </cell>
          <cell r="G844">
            <v>6.4</v>
          </cell>
          <cell r="H844">
            <v>1.3</v>
          </cell>
          <cell r="I844">
            <v>45.4</v>
          </cell>
          <cell r="J844" t="str">
            <v>—</v>
          </cell>
          <cell r="K844" t="str">
            <v>—</v>
          </cell>
          <cell r="L844" t="str">
            <v>—</v>
          </cell>
          <cell r="M844" t="str">
            <v>—</v>
          </cell>
        </row>
        <row r="845">
          <cell r="A845" t="str">
            <v>49-2011</v>
          </cell>
          <cell r="B845" t="str">
            <v xml:space="preserve">      Computer, automated teller, and office machine repairers</v>
          </cell>
          <cell r="C845" t="str">
            <v>Line item</v>
          </cell>
          <cell r="D845">
            <v>46860</v>
          </cell>
          <cell r="E845">
            <v>79.099999999999994</v>
          </cell>
          <cell r="F845">
            <v>78.400000000000006</v>
          </cell>
          <cell r="G845">
            <v>-0.7</v>
          </cell>
          <cell r="H845">
            <v>-0.9</v>
          </cell>
          <cell r="I845">
            <v>7.6</v>
          </cell>
          <cell r="J845" t="str">
            <v>Some college, no degree</v>
          </cell>
          <cell r="K845" t="str">
            <v>None</v>
          </cell>
          <cell r="L845" t="str">
            <v>Short-term on-the-job training</v>
          </cell>
          <cell r="M845" t="str">
            <v>—</v>
          </cell>
        </row>
        <row r="846">
          <cell r="A846" t="str">
            <v>49-2020</v>
          </cell>
          <cell r="B846" t="str">
            <v xml:space="preserve">      Radio and telecommunications equipment installers and repairers</v>
          </cell>
          <cell r="C846" t="str">
            <v>Summary</v>
          </cell>
          <cell r="D846">
            <v>62710</v>
          </cell>
          <cell r="E846">
            <v>168.6</v>
          </cell>
          <cell r="F846">
            <v>163.1</v>
          </cell>
          <cell r="G846">
            <v>-5.5</v>
          </cell>
          <cell r="H846">
            <v>-3.3</v>
          </cell>
          <cell r="I846">
            <v>14.3</v>
          </cell>
          <cell r="J846" t="str">
            <v>—</v>
          </cell>
          <cell r="K846" t="str">
            <v>—</v>
          </cell>
          <cell r="L846" t="str">
            <v>—</v>
          </cell>
          <cell r="M846" t="str">
            <v>—</v>
          </cell>
        </row>
        <row r="847">
          <cell r="A847" t="str">
            <v>49-2021</v>
          </cell>
          <cell r="B847" t="str">
            <v xml:space="preserve">        Radio, cellular, and tower equipment installers and repairers</v>
          </cell>
          <cell r="C847" t="str">
            <v>Line item</v>
          </cell>
          <cell r="D847">
            <v>64190</v>
          </cell>
          <cell r="E847">
            <v>11.7</v>
          </cell>
          <cell r="F847">
            <v>12.7</v>
          </cell>
          <cell r="G847">
            <v>1</v>
          </cell>
          <cell r="H847">
            <v>8.6</v>
          </cell>
          <cell r="I847">
            <v>1.2</v>
          </cell>
          <cell r="J847" t="str">
            <v>Associate's degree</v>
          </cell>
          <cell r="K847" t="str">
            <v>None</v>
          </cell>
          <cell r="L847" t="str">
            <v>Moderate-term on-the-job training</v>
          </cell>
          <cell r="M847" t="str">
            <v>OOH Content</v>
          </cell>
        </row>
        <row r="848">
          <cell r="A848" t="str">
            <v>49-2022</v>
          </cell>
          <cell r="B848" t="str">
            <v xml:space="preserve">        Telecommunications equipment installers and repairers, except line installers</v>
          </cell>
          <cell r="C848" t="str">
            <v>Line item</v>
          </cell>
          <cell r="D848">
            <v>62630</v>
          </cell>
          <cell r="E848">
            <v>156.9</v>
          </cell>
          <cell r="F848">
            <v>150.4</v>
          </cell>
          <cell r="G848">
            <v>-6.6</v>
          </cell>
          <cell r="H848">
            <v>-4.2</v>
          </cell>
          <cell r="I848">
            <v>13.2</v>
          </cell>
          <cell r="J848" t="str">
            <v>Postsecondary nondegree award</v>
          </cell>
          <cell r="K848" t="str">
            <v>None</v>
          </cell>
          <cell r="L848" t="str">
            <v>Moderate-term on-the-job training</v>
          </cell>
          <cell r="M848" t="str">
            <v>OOH Content</v>
          </cell>
        </row>
        <row r="849">
          <cell r="A849" t="str">
            <v>49-2090</v>
          </cell>
          <cell r="B849" t="str">
            <v xml:space="preserve">      Miscellaneous electrical and electronic equipment mechanics, installers, and repairers</v>
          </cell>
          <cell r="C849" t="str">
            <v>Summary</v>
          </cell>
          <cell r="D849">
            <v>63120</v>
          </cell>
          <cell r="E849">
            <v>250.8</v>
          </cell>
          <cell r="F849">
            <v>263.5</v>
          </cell>
          <cell r="G849">
            <v>12.7</v>
          </cell>
          <cell r="H849">
            <v>5.0999999999999996</v>
          </cell>
          <cell r="I849">
            <v>23.4</v>
          </cell>
          <cell r="J849" t="str">
            <v>—</v>
          </cell>
          <cell r="K849" t="str">
            <v>—</v>
          </cell>
          <cell r="L849" t="str">
            <v>—</v>
          </cell>
          <cell r="M849" t="str">
            <v>—</v>
          </cell>
        </row>
        <row r="850">
          <cell r="A850" t="str">
            <v>49-2091</v>
          </cell>
          <cell r="B850" t="str">
            <v xml:space="preserve">        Avionics technicians</v>
          </cell>
          <cell r="C850" t="str">
            <v>Line item</v>
          </cell>
          <cell r="D850">
            <v>81390</v>
          </cell>
          <cell r="E850">
            <v>21.4</v>
          </cell>
          <cell r="F850">
            <v>23.1</v>
          </cell>
          <cell r="G850">
            <v>1.7</v>
          </cell>
          <cell r="H850">
            <v>8.1999999999999993</v>
          </cell>
          <cell r="I850">
            <v>1.8</v>
          </cell>
          <cell r="J850" t="str">
            <v>Postsecondary nondegree award</v>
          </cell>
          <cell r="K850" t="str">
            <v>None</v>
          </cell>
          <cell r="L850" t="str">
            <v>None</v>
          </cell>
          <cell r="M850" t="str">
            <v>OOH Content</v>
          </cell>
        </row>
        <row r="851">
          <cell r="A851" t="str">
            <v>49-2092</v>
          </cell>
          <cell r="B851" t="str">
            <v xml:space="preserve">        Electric motor, power tool, and related repairers</v>
          </cell>
          <cell r="C851" t="str">
            <v>Line item</v>
          </cell>
          <cell r="D851">
            <v>53990</v>
          </cell>
          <cell r="E851">
            <v>17.100000000000001</v>
          </cell>
          <cell r="F851">
            <v>17.7</v>
          </cell>
          <cell r="G851">
            <v>0.6</v>
          </cell>
          <cell r="H851">
            <v>3.4</v>
          </cell>
          <cell r="I851">
            <v>1.7</v>
          </cell>
          <cell r="J851" t="str">
            <v>High school diploma or equivalent</v>
          </cell>
          <cell r="K851" t="str">
            <v>Less than 5 years</v>
          </cell>
          <cell r="L851" t="str">
            <v>Moderate-term on-the-job training</v>
          </cell>
          <cell r="M851" t="str">
            <v>OOH Content</v>
          </cell>
        </row>
        <row r="852">
          <cell r="A852" t="str">
            <v>49-2093</v>
          </cell>
          <cell r="B852" t="str">
            <v xml:space="preserve">        Electrical and electronics installers and repairers, transportation equipment</v>
          </cell>
          <cell r="C852" t="str">
            <v>Line item</v>
          </cell>
          <cell r="D852">
            <v>82730</v>
          </cell>
          <cell r="E852">
            <v>7</v>
          </cell>
          <cell r="F852">
            <v>7.4</v>
          </cell>
          <cell r="G852">
            <v>0.4</v>
          </cell>
          <cell r="H852">
            <v>6.1</v>
          </cell>
          <cell r="I852">
            <v>0.6</v>
          </cell>
          <cell r="J852" t="str">
            <v>Postsecondary nondegree award</v>
          </cell>
          <cell r="K852" t="str">
            <v>None</v>
          </cell>
          <cell r="L852" t="str">
            <v>Long-term on-the-job training</v>
          </cell>
          <cell r="M852" t="str">
            <v>OOH Content</v>
          </cell>
        </row>
        <row r="853">
          <cell r="A853" t="str">
            <v>49-2094</v>
          </cell>
          <cell r="B853" t="str">
            <v xml:space="preserve">        Electrical and electronics repairers, commercial and industrial equipment</v>
          </cell>
          <cell r="C853" t="str">
            <v>Line item</v>
          </cell>
          <cell r="D853">
            <v>71300</v>
          </cell>
          <cell r="E853">
            <v>61.1</v>
          </cell>
          <cell r="F853">
            <v>60.7</v>
          </cell>
          <cell r="G853">
            <v>-0.5</v>
          </cell>
          <cell r="H853">
            <v>-0.8</v>
          </cell>
          <cell r="I853">
            <v>4.7</v>
          </cell>
          <cell r="J853" t="str">
            <v>Postsecondary nondegree award</v>
          </cell>
          <cell r="K853" t="str">
            <v>None</v>
          </cell>
          <cell r="L853" t="str">
            <v>Long-term on-the-job training</v>
          </cell>
          <cell r="M853" t="str">
            <v>OOH Content</v>
          </cell>
        </row>
        <row r="854">
          <cell r="A854" t="str">
            <v>49-2095</v>
          </cell>
          <cell r="B854" t="str">
            <v xml:space="preserve">        Electrical and electronics repairers, powerhouse, substation, and relay</v>
          </cell>
          <cell r="C854" t="str">
            <v>Line item</v>
          </cell>
          <cell r="D854">
            <v>100940</v>
          </cell>
          <cell r="E854">
            <v>23.4</v>
          </cell>
          <cell r="F854">
            <v>24.7</v>
          </cell>
          <cell r="G854">
            <v>1.3</v>
          </cell>
          <cell r="H854">
            <v>5.5</v>
          </cell>
          <cell r="I854">
            <v>2</v>
          </cell>
          <cell r="J854" t="str">
            <v>Postsecondary nondegree award</v>
          </cell>
          <cell r="K854" t="str">
            <v>Less than 5 years</v>
          </cell>
          <cell r="L854" t="str">
            <v>Moderate-term on-the-job training</v>
          </cell>
          <cell r="M854" t="str">
            <v>OOH Content</v>
          </cell>
        </row>
        <row r="855">
          <cell r="A855" t="str">
            <v>49-2096</v>
          </cell>
          <cell r="B855" t="str">
            <v xml:space="preserve">        Electronic equipment installers and repairers, motor vehicles</v>
          </cell>
          <cell r="C855" t="str">
            <v>Line item</v>
          </cell>
          <cell r="D855">
            <v>47940</v>
          </cell>
          <cell r="E855">
            <v>10.3</v>
          </cell>
          <cell r="F855">
            <v>8.9</v>
          </cell>
          <cell r="G855">
            <v>-1.4</v>
          </cell>
          <cell r="H855">
            <v>-13.6</v>
          </cell>
          <cell r="I855">
            <v>0.6</v>
          </cell>
          <cell r="J855" t="str">
            <v>High school diploma or equivalent</v>
          </cell>
          <cell r="K855" t="str">
            <v>None</v>
          </cell>
          <cell r="L855" t="str">
            <v>Moderate-term on-the-job training</v>
          </cell>
          <cell r="M855" t="str">
            <v>OOH Content</v>
          </cell>
        </row>
        <row r="856">
          <cell r="A856" t="str">
            <v>49-2097</v>
          </cell>
          <cell r="B856" t="str">
            <v xml:space="preserve">        Audiovisual equipment installers and repairers</v>
          </cell>
          <cell r="C856" t="str">
            <v>Line item</v>
          </cell>
          <cell r="D856">
            <v>50620</v>
          </cell>
          <cell r="E856">
            <v>24.6</v>
          </cell>
          <cell r="F856">
            <v>26.3</v>
          </cell>
          <cell r="G856">
            <v>1.6</v>
          </cell>
          <cell r="H856">
            <v>6.6</v>
          </cell>
          <cell r="I856">
            <v>2.6</v>
          </cell>
          <cell r="J856" t="str">
            <v>Postsecondary nondegree award</v>
          </cell>
          <cell r="K856" t="str">
            <v>None</v>
          </cell>
          <cell r="L856" t="str">
            <v>Short-term on-the-job training</v>
          </cell>
          <cell r="M856" t="str">
            <v>—</v>
          </cell>
        </row>
        <row r="857">
          <cell r="A857" t="str">
            <v>49-2098</v>
          </cell>
          <cell r="B857" t="str">
            <v xml:space="preserve">        Security and fire alarm systems installers</v>
          </cell>
          <cell r="C857" t="str">
            <v>Line item</v>
          </cell>
          <cell r="D857">
            <v>59300</v>
          </cell>
          <cell r="E857">
            <v>85.9</v>
          </cell>
          <cell r="F857">
            <v>94.9</v>
          </cell>
          <cell r="G857">
            <v>8.9</v>
          </cell>
          <cell r="H857">
            <v>10.4</v>
          </cell>
          <cell r="I857">
            <v>9.4</v>
          </cell>
          <cell r="J857" t="str">
            <v>High school diploma or equivalent</v>
          </cell>
          <cell r="K857" t="str">
            <v>None</v>
          </cell>
          <cell r="L857" t="str">
            <v>Moderate-term on-the-job training</v>
          </cell>
          <cell r="M857" t="str">
            <v>—</v>
          </cell>
        </row>
        <row r="858">
          <cell r="A858" t="str">
            <v>49-3000</v>
          </cell>
          <cell r="B858" t="str">
            <v xml:space="preserve">    Vehicle and mobile equipment mechanics, installers, and repairers</v>
          </cell>
          <cell r="C858" t="str">
            <v>Summary</v>
          </cell>
          <cell r="D858">
            <v>56220</v>
          </cell>
          <cell r="E858">
            <v>1927.6</v>
          </cell>
          <cell r="F858">
            <v>2005.5</v>
          </cell>
          <cell r="G858">
            <v>77.900000000000006</v>
          </cell>
          <cell r="H858">
            <v>4</v>
          </cell>
          <cell r="I858">
            <v>172.9</v>
          </cell>
          <cell r="J858" t="str">
            <v>—</v>
          </cell>
          <cell r="K858" t="str">
            <v>—</v>
          </cell>
          <cell r="L858" t="str">
            <v>—</v>
          </cell>
          <cell r="M858" t="str">
            <v>—</v>
          </cell>
        </row>
        <row r="859">
          <cell r="A859" t="str">
            <v>49-3011</v>
          </cell>
          <cell r="B859" t="str">
            <v xml:space="preserve">      Aircraft mechanics and service technicians</v>
          </cell>
          <cell r="C859" t="str">
            <v>Line item</v>
          </cell>
          <cell r="D859">
            <v>78680</v>
          </cell>
          <cell r="E859">
            <v>139.4</v>
          </cell>
          <cell r="F859">
            <v>145</v>
          </cell>
          <cell r="G859">
            <v>5.6</v>
          </cell>
          <cell r="H859">
            <v>4</v>
          </cell>
          <cell r="I859">
            <v>11.3</v>
          </cell>
          <cell r="J859" t="str">
            <v>Postsecondary nondegree award</v>
          </cell>
          <cell r="K859" t="str">
            <v>None</v>
          </cell>
          <cell r="L859" t="str">
            <v>None</v>
          </cell>
          <cell r="M859" t="str">
            <v>OOH Content</v>
          </cell>
        </row>
        <row r="860">
          <cell r="A860" t="str">
            <v>49-3020</v>
          </cell>
          <cell r="B860" t="str">
            <v xml:space="preserve">      Automotive technicians and repairers</v>
          </cell>
          <cell r="C860" t="str">
            <v>Summary</v>
          </cell>
          <cell r="D860">
            <v>49950</v>
          </cell>
          <cell r="E860">
            <v>998.6</v>
          </cell>
          <cell r="F860">
            <v>1035.7</v>
          </cell>
          <cell r="G860">
            <v>37.1</v>
          </cell>
          <cell r="H860">
            <v>3.7</v>
          </cell>
          <cell r="I860">
            <v>86</v>
          </cell>
          <cell r="J860" t="str">
            <v>—</v>
          </cell>
          <cell r="K860" t="str">
            <v>—</v>
          </cell>
          <cell r="L860" t="str">
            <v>—</v>
          </cell>
          <cell r="M860" t="str">
            <v>—</v>
          </cell>
        </row>
        <row r="861">
          <cell r="A861" t="str">
            <v>49-3021</v>
          </cell>
          <cell r="B861" t="str">
            <v xml:space="preserve">        Automotive body and related repairers</v>
          </cell>
          <cell r="C861" t="str">
            <v>Line item</v>
          </cell>
          <cell r="D861">
            <v>51680</v>
          </cell>
          <cell r="E861">
            <v>172.6</v>
          </cell>
          <cell r="F861">
            <v>175.4</v>
          </cell>
          <cell r="G861">
            <v>2.8</v>
          </cell>
          <cell r="H861">
            <v>1.6</v>
          </cell>
          <cell r="I861">
            <v>14.6</v>
          </cell>
          <cell r="J861" t="str">
            <v>High school diploma or equivalent</v>
          </cell>
          <cell r="K861" t="str">
            <v>None</v>
          </cell>
          <cell r="L861" t="str">
            <v>Long-term on-the-job training</v>
          </cell>
          <cell r="M861" t="str">
            <v>OOH Content</v>
          </cell>
        </row>
        <row r="862">
          <cell r="A862" t="str">
            <v>49-3022</v>
          </cell>
          <cell r="B862" t="str">
            <v xml:space="preserve">        Automotive glass installers and repairers</v>
          </cell>
          <cell r="C862" t="str">
            <v>Line item</v>
          </cell>
          <cell r="D862">
            <v>47260</v>
          </cell>
          <cell r="E862">
            <v>20.399999999999999</v>
          </cell>
          <cell r="F862">
            <v>21.1</v>
          </cell>
          <cell r="G862">
            <v>0.7</v>
          </cell>
          <cell r="H862">
            <v>3.6</v>
          </cell>
          <cell r="I862">
            <v>1.4</v>
          </cell>
          <cell r="J862" t="str">
            <v>High school diploma or equivalent</v>
          </cell>
          <cell r="K862" t="str">
            <v>None</v>
          </cell>
          <cell r="L862" t="str">
            <v>Moderate-term on-the-job training</v>
          </cell>
          <cell r="M862" t="str">
            <v>OOH Content</v>
          </cell>
        </row>
        <row r="863">
          <cell r="A863" t="str">
            <v>49-3023</v>
          </cell>
          <cell r="B863" t="str">
            <v xml:space="preserve">        Automotive service technicians and mechanics</v>
          </cell>
          <cell r="C863" t="str">
            <v>Line item</v>
          </cell>
          <cell r="D863">
            <v>49670</v>
          </cell>
          <cell r="E863">
            <v>805.6</v>
          </cell>
          <cell r="F863">
            <v>839.2</v>
          </cell>
          <cell r="G863">
            <v>33.6</v>
          </cell>
          <cell r="H863">
            <v>4.2</v>
          </cell>
          <cell r="I863">
            <v>70</v>
          </cell>
          <cell r="J863" t="str">
            <v>Postsecondary nondegree award</v>
          </cell>
          <cell r="K863" t="str">
            <v>None</v>
          </cell>
          <cell r="L863" t="str">
            <v>Short-term on-the-job training</v>
          </cell>
          <cell r="M863" t="str">
            <v>OOH Content</v>
          </cell>
        </row>
        <row r="864">
          <cell r="A864" t="str">
            <v>49-3031</v>
          </cell>
          <cell r="B864" t="str">
            <v xml:space="preserve">      Bus and truck mechanics and diesel engine specialists</v>
          </cell>
          <cell r="C864" t="str">
            <v>Line item</v>
          </cell>
          <cell r="D864">
            <v>60640</v>
          </cell>
          <cell r="E864">
            <v>319.89999999999998</v>
          </cell>
          <cell r="F864">
            <v>327.7</v>
          </cell>
          <cell r="G864">
            <v>7.8</v>
          </cell>
          <cell r="H864">
            <v>2.4</v>
          </cell>
          <cell r="I864">
            <v>26.5</v>
          </cell>
          <cell r="J864" t="str">
            <v>High school diploma or equivalent</v>
          </cell>
          <cell r="K864" t="str">
            <v>None</v>
          </cell>
          <cell r="L864" t="str">
            <v>Long-term on-the-job training</v>
          </cell>
          <cell r="M864" t="str">
            <v>OOH Content</v>
          </cell>
        </row>
        <row r="865">
          <cell r="A865" t="str">
            <v>49-3040</v>
          </cell>
          <cell r="B865" t="str">
            <v xml:space="preserve">      Heavy vehicle and mobile equipment service technicians and mechanics</v>
          </cell>
          <cell r="C865" t="str">
            <v>Summary</v>
          </cell>
          <cell r="D865">
            <v>62740</v>
          </cell>
          <cell r="E865">
            <v>245.6</v>
          </cell>
          <cell r="F865">
            <v>261.3</v>
          </cell>
          <cell r="G865">
            <v>15.7</v>
          </cell>
          <cell r="H865">
            <v>6.4</v>
          </cell>
          <cell r="I865">
            <v>21.7</v>
          </cell>
          <cell r="J865" t="str">
            <v>—</v>
          </cell>
          <cell r="K865" t="str">
            <v>—</v>
          </cell>
          <cell r="L865" t="str">
            <v>—</v>
          </cell>
          <cell r="M865" t="str">
            <v>—</v>
          </cell>
        </row>
        <row r="866">
          <cell r="A866" t="str">
            <v>49-3041</v>
          </cell>
          <cell r="B866" t="str">
            <v xml:space="preserve">        Farm equipment mechanics and service technicians</v>
          </cell>
          <cell r="C866" t="str">
            <v>Line item</v>
          </cell>
          <cell r="D866">
            <v>52080</v>
          </cell>
          <cell r="E866">
            <v>39</v>
          </cell>
          <cell r="F866">
            <v>43.3</v>
          </cell>
          <cell r="G866">
            <v>4.3</v>
          </cell>
          <cell r="H866">
            <v>11</v>
          </cell>
          <cell r="I866">
            <v>3.7</v>
          </cell>
          <cell r="J866" t="str">
            <v>High school diploma or equivalent</v>
          </cell>
          <cell r="K866" t="str">
            <v>None</v>
          </cell>
          <cell r="L866" t="str">
            <v>Long-term on-the-job training</v>
          </cell>
          <cell r="M866" t="str">
            <v>OOH Content</v>
          </cell>
        </row>
        <row r="867">
          <cell r="A867" t="str">
            <v>49-3042</v>
          </cell>
          <cell r="B867" t="str">
            <v xml:space="preserve">        Mobile heavy equipment mechanics, except engines</v>
          </cell>
          <cell r="C867" t="str">
            <v>Line item</v>
          </cell>
          <cell r="D867">
            <v>63980</v>
          </cell>
          <cell r="E867">
            <v>188.7</v>
          </cell>
          <cell r="F867">
            <v>199.6</v>
          </cell>
          <cell r="G867">
            <v>10.9</v>
          </cell>
          <cell r="H867">
            <v>5.8</v>
          </cell>
          <cell r="I867">
            <v>16.5</v>
          </cell>
          <cell r="J867" t="str">
            <v>High school diploma or equivalent</v>
          </cell>
          <cell r="K867" t="str">
            <v>None</v>
          </cell>
          <cell r="L867" t="str">
            <v>Long-term on-the-job training</v>
          </cell>
          <cell r="M867" t="str">
            <v>OOH Content</v>
          </cell>
        </row>
        <row r="868">
          <cell r="A868" t="str">
            <v>49-3043</v>
          </cell>
          <cell r="B868" t="str">
            <v xml:space="preserve">        Rail car repairers</v>
          </cell>
          <cell r="C868" t="str">
            <v>Line item</v>
          </cell>
          <cell r="D868">
            <v>65680</v>
          </cell>
          <cell r="E868">
            <v>17.899999999999999</v>
          </cell>
          <cell r="F868">
            <v>18.399999999999999</v>
          </cell>
          <cell r="G868">
            <v>0.5</v>
          </cell>
          <cell r="H868">
            <v>2.8</v>
          </cell>
          <cell r="I868">
            <v>1.5</v>
          </cell>
          <cell r="J868" t="str">
            <v>High school diploma or equivalent</v>
          </cell>
          <cell r="K868" t="str">
            <v>None</v>
          </cell>
          <cell r="L868" t="str">
            <v>Long-term on-the-job training</v>
          </cell>
          <cell r="M868" t="str">
            <v>OOH Content</v>
          </cell>
        </row>
        <row r="869">
          <cell r="A869" t="str">
            <v>49-3050</v>
          </cell>
          <cell r="B869" t="str">
            <v xml:space="preserve">      Small engine mechanics</v>
          </cell>
          <cell r="C869" t="str">
            <v>Summary</v>
          </cell>
          <cell r="D869">
            <v>48240</v>
          </cell>
          <cell r="E869">
            <v>78</v>
          </cell>
          <cell r="F869">
            <v>81.3</v>
          </cell>
          <cell r="G869">
            <v>3.3</v>
          </cell>
          <cell r="H869">
            <v>4.2</v>
          </cell>
          <cell r="I869">
            <v>7.6</v>
          </cell>
          <cell r="J869" t="str">
            <v>—</v>
          </cell>
          <cell r="K869" t="str">
            <v>—</v>
          </cell>
          <cell r="L869" t="str">
            <v>—</v>
          </cell>
          <cell r="M869" t="str">
            <v>—</v>
          </cell>
        </row>
        <row r="870">
          <cell r="A870" t="str">
            <v>49-3051</v>
          </cell>
          <cell r="B870" t="str">
            <v xml:space="preserve">        Motorboat mechanics and service technicians</v>
          </cell>
          <cell r="C870" t="str">
            <v>Line item</v>
          </cell>
          <cell r="D870">
            <v>54950</v>
          </cell>
          <cell r="E870">
            <v>26.2</v>
          </cell>
          <cell r="F870">
            <v>27.8</v>
          </cell>
          <cell r="G870">
            <v>1.6</v>
          </cell>
          <cell r="H870">
            <v>6</v>
          </cell>
          <cell r="I870">
            <v>2.6</v>
          </cell>
          <cell r="J870" t="str">
            <v>High school diploma or equivalent</v>
          </cell>
          <cell r="K870" t="str">
            <v>None</v>
          </cell>
          <cell r="L870" t="str">
            <v>Long-term on-the-job training</v>
          </cell>
          <cell r="M870" t="str">
            <v>OOH Content</v>
          </cell>
        </row>
        <row r="871">
          <cell r="A871" t="str">
            <v>49-3052</v>
          </cell>
          <cell r="B871" t="str">
            <v xml:space="preserve">        Motorcycle mechanics</v>
          </cell>
          <cell r="C871" t="str">
            <v>Line item</v>
          </cell>
          <cell r="D871">
            <v>47200</v>
          </cell>
          <cell r="E871">
            <v>14.9</v>
          </cell>
          <cell r="F871">
            <v>15.7</v>
          </cell>
          <cell r="G871">
            <v>0.8</v>
          </cell>
          <cell r="H871">
            <v>5.3</v>
          </cell>
          <cell r="I871">
            <v>1.5</v>
          </cell>
          <cell r="J871" t="str">
            <v>Postsecondary nondegree award</v>
          </cell>
          <cell r="K871" t="str">
            <v>None</v>
          </cell>
          <cell r="L871" t="str">
            <v>Short-term on-the-job training</v>
          </cell>
          <cell r="M871" t="str">
            <v>OOH Content</v>
          </cell>
        </row>
        <row r="872">
          <cell r="A872" t="str">
            <v>49-3053</v>
          </cell>
          <cell r="B872" t="str">
            <v xml:space="preserve">        Outdoor power equipment and other small engine mechanics</v>
          </cell>
          <cell r="C872" t="str">
            <v>Line item</v>
          </cell>
          <cell r="D872">
            <v>46560</v>
          </cell>
          <cell r="E872">
            <v>36.9</v>
          </cell>
          <cell r="F872">
            <v>37.799999999999997</v>
          </cell>
          <cell r="G872">
            <v>0.9</v>
          </cell>
          <cell r="H872">
            <v>2.5</v>
          </cell>
          <cell r="I872">
            <v>3.5</v>
          </cell>
          <cell r="J872" t="str">
            <v>High school diploma or equivalent</v>
          </cell>
          <cell r="K872" t="str">
            <v>None</v>
          </cell>
          <cell r="L872" t="str">
            <v>Moderate-term on-the-job training</v>
          </cell>
          <cell r="M872" t="str">
            <v>OOH Content</v>
          </cell>
        </row>
        <row r="873">
          <cell r="A873" t="str">
            <v>49-3090</v>
          </cell>
          <cell r="B873" t="str">
            <v xml:space="preserve">      Miscellaneous vehicle and mobile equipment mechanics, installers, and repairers</v>
          </cell>
          <cell r="C873" t="str">
            <v>Summary</v>
          </cell>
          <cell r="D873">
            <v>37960</v>
          </cell>
          <cell r="E873">
            <v>146.19999999999999</v>
          </cell>
          <cell r="F873">
            <v>154.6</v>
          </cell>
          <cell r="G873">
            <v>8.4</v>
          </cell>
          <cell r="H873">
            <v>5.8</v>
          </cell>
          <cell r="I873">
            <v>19.7</v>
          </cell>
          <cell r="J873" t="str">
            <v>—</v>
          </cell>
          <cell r="K873" t="str">
            <v>—</v>
          </cell>
          <cell r="L873" t="str">
            <v>—</v>
          </cell>
          <cell r="M873" t="str">
            <v>—</v>
          </cell>
        </row>
        <row r="874">
          <cell r="A874" t="str">
            <v>49-3091</v>
          </cell>
          <cell r="B874" t="str">
            <v xml:space="preserve">        Bicycle repairers</v>
          </cell>
          <cell r="C874" t="str">
            <v>Line item</v>
          </cell>
          <cell r="D874">
            <v>40360</v>
          </cell>
          <cell r="E874">
            <v>13.2</v>
          </cell>
          <cell r="F874">
            <v>12.9</v>
          </cell>
          <cell r="G874">
            <v>-0.3</v>
          </cell>
          <cell r="H874">
            <v>-2.2999999999999998</v>
          </cell>
          <cell r="I874">
            <v>1.6</v>
          </cell>
          <cell r="J874" t="str">
            <v>High school diploma or equivalent</v>
          </cell>
          <cell r="K874" t="str">
            <v>None</v>
          </cell>
          <cell r="L874" t="str">
            <v>Moderate-term on-the-job training</v>
          </cell>
          <cell r="M874" t="str">
            <v>—</v>
          </cell>
        </row>
        <row r="875">
          <cell r="A875" t="str">
            <v>49-3092</v>
          </cell>
          <cell r="B875" t="str">
            <v xml:space="preserve">        Recreational vehicle service technicians</v>
          </cell>
          <cell r="C875" t="str">
            <v>Line item</v>
          </cell>
          <cell r="D875">
            <v>50540</v>
          </cell>
          <cell r="E875">
            <v>19.5</v>
          </cell>
          <cell r="F875">
            <v>21.7</v>
          </cell>
          <cell r="G875">
            <v>2.2000000000000002</v>
          </cell>
          <cell r="H875">
            <v>11.5</v>
          </cell>
          <cell r="I875">
            <v>2.8</v>
          </cell>
          <cell r="J875" t="str">
            <v>High school diploma or equivalent</v>
          </cell>
          <cell r="K875" t="str">
            <v>None</v>
          </cell>
          <cell r="L875" t="str">
            <v>Long-term on-the-job training</v>
          </cell>
          <cell r="M875" t="str">
            <v>—</v>
          </cell>
        </row>
        <row r="876">
          <cell r="A876" t="str">
            <v>49-3093</v>
          </cell>
          <cell r="B876" t="str">
            <v xml:space="preserve">        Tire repairers and changers</v>
          </cell>
          <cell r="C876" t="str">
            <v>Line item</v>
          </cell>
          <cell r="D876">
            <v>37120</v>
          </cell>
          <cell r="E876">
            <v>113.4</v>
          </cell>
          <cell r="F876">
            <v>119.9</v>
          </cell>
          <cell r="G876">
            <v>6.5</v>
          </cell>
          <cell r="H876">
            <v>5.7</v>
          </cell>
          <cell r="I876">
            <v>15.3</v>
          </cell>
          <cell r="J876" t="str">
            <v>High school diploma or equivalent</v>
          </cell>
          <cell r="K876" t="str">
            <v>None</v>
          </cell>
          <cell r="L876" t="str">
            <v>Short-term on-the-job training</v>
          </cell>
          <cell r="M876" t="str">
            <v>—</v>
          </cell>
        </row>
        <row r="877">
          <cell r="A877" t="str">
            <v>49-9000</v>
          </cell>
          <cell r="B877" t="str">
            <v xml:space="preserve">    Other installation, maintenance, and repair occupations</v>
          </cell>
          <cell r="C877" t="str">
            <v>Summary</v>
          </cell>
          <cell r="D877">
            <v>54790</v>
          </cell>
          <cell r="E877">
            <v>3449.3</v>
          </cell>
          <cell r="F877">
            <v>3647.3</v>
          </cell>
          <cell r="G877">
            <v>198.1</v>
          </cell>
          <cell r="H877">
            <v>5.7</v>
          </cell>
          <cell r="I877">
            <v>337.4</v>
          </cell>
          <cell r="J877" t="str">
            <v>—</v>
          </cell>
          <cell r="K877" t="str">
            <v>—</v>
          </cell>
          <cell r="L877" t="str">
            <v>—</v>
          </cell>
          <cell r="M877" t="str">
            <v>—</v>
          </cell>
        </row>
        <row r="878">
          <cell r="A878" t="str">
            <v>49-9010</v>
          </cell>
          <cell r="B878" t="str">
            <v xml:space="preserve">      Control and valve installers and repairers</v>
          </cell>
          <cell r="C878" t="str">
            <v>Summary</v>
          </cell>
          <cell r="D878">
            <v>61600</v>
          </cell>
          <cell r="E878">
            <v>76.099999999999994</v>
          </cell>
          <cell r="F878">
            <v>80</v>
          </cell>
          <cell r="G878">
            <v>3.9</v>
          </cell>
          <cell r="H878">
            <v>5.0999999999999996</v>
          </cell>
          <cell r="I878">
            <v>6.6</v>
          </cell>
          <cell r="J878" t="str">
            <v>—</v>
          </cell>
          <cell r="K878" t="str">
            <v>—</v>
          </cell>
          <cell r="L878" t="str">
            <v>—</v>
          </cell>
          <cell r="M878" t="str">
            <v>—</v>
          </cell>
        </row>
        <row r="879">
          <cell r="A879" t="str">
            <v>49-9011</v>
          </cell>
          <cell r="B879" t="str">
            <v xml:space="preserve">        Mechanical door repairers</v>
          </cell>
          <cell r="C879" t="str">
            <v>Line item</v>
          </cell>
          <cell r="D879">
            <v>51050</v>
          </cell>
          <cell r="E879">
            <v>28.4</v>
          </cell>
          <cell r="F879">
            <v>31.7</v>
          </cell>
          <cell r="G879">
            <v>3.2</v>
          </cell>
          <cell r="H879">
            <v>11.4</v>
          </cell>
          <cell r="I879">
            <v>2.7</v>
          </cell>
          <cell r="J879" t="str">
            <v>High school diploma or equivalent</v>
          </cell>
          <cell r="K879" t="str">
            <v>None</v>
          </cell>
          <cell r="L879" t="str">
            <v>Moderate-term on-the-job training</v>
          </cell>
          <cell r="M879" t="str">
            <v>—</v>
          </cell>
        </row>
        <row r="880">
          <cell r="A880" t="str">
            <v>49-9012</v>
          </cell>
          <cell r="B880" t="str">
            <v xml:space="preserve">        Control and valve installers and repairers, except mechanical door</v>
          </cell>
          <cell r="C880" t="str">
            <v>Line item</v>
          </cell>
          <cell r="D880">
            <v>74690</v>
          </cell>
          <cell r="E880">
            <v>47.7</v>
          </cell>
          <cell r="F880">
            <v>48.3</v>
          </cell>
          <cell r="G880">
            <v>0.6</v>
          </cell>
          <cell r="H880">
            <v>1.3</v>
          </cell>
          <cell r="I880">
            <v>3.9</v>
          </cell>
          <cell r="J880" t="str">
            <v>High school diploma or equivalent</v>
          </cell>
          <cell r="K880" t="str">
            <v>None</v>
          </cell>
          <cell r="L880" t="str">
            <v>Moderate-term on-the-job training</v>
          </cell>
          <cell r="M880" t="str">
            <v>—</v>
          </cell>
        </row>
        <row r="881">
          <cell r="A881" t="str">
            <v>49-9021</v>
          </cell>
          <cell r="B881" t="str">
            <v xml:space="preserve">      Heating, air conditioning, and refrigeration mechanics and installers</v>
          </cell>
          <cell r="C881" t="str">
            <v>Line item</v>
          </cell>
          <cell r="D881">
            <v>59810</v>
          </cell>
          <cell r="E881">
            <v>425.2</v>
          </cell>
          <cell r="F881">
            <v>459.7</v>
          </cell>
          <cell r="G881">
            <v>34.5</v>
          </cell>
          <cell r="H881">
            <v>8.1</v>
          </cell>
          <cell r="I881">
            <v>40.1</v>
          </cell>
          <cell r="J881" t="str">
            <v>Postsecondary nondegree award</v>
          </cell>
          <cell r="K881" t="str">
            <v>None</v>
          </cell>
          <cell r="L881" t="str">
            <v>Long-term on-the-job training</v>
          </cell>
          <cell r="M881" t="str">
            <v>OOH Content</v>
          </cell>
        </row>
        <row r="882">
          <cell r="A882" t="str">
            <v>49-9031</v>
          </cell>
          <cell r="B882" t="str">
            <v xml:space="preserve">      Home appliance repairers</v>
          </cell>
          <cell r="C882" t="str">
            <v>Line item</v>
          </cell>
          <cell r="D882">
            <v>49410</v>
          </cell>
          <cell r="E882">
            <v>37.299999999999997</v>
          </cell>
          <cell r="F882">
            <v>38.299999999999997</v>
          </cell>
          <cell r="G882">
            <v>1</v>
          </cell>
          <cell r="H882">
            <v>2.6</v>
          </cell>
          <cell r="I882">
            <v>3.1</v>
          </cell>
          <cell r="J882" t="str">
            <v>High school diploma or equivalent</v>
          </cell>
          <cell r="K882" t="str">
            <v>None</v>
          </cell>
          <cell r="L882" t="str">
            <v>Moderate-term on-the-job training</v>
          </cell>
          <cell r="M882" t="str">
            <v>—</v>
          </cell>
        </row>
        <row r="883">
          <cell r="A883" t="str">
            <v>49-9040</v>
          </cell>
          <cell r="B883" t="str">
            <v xml:space="preserve">      Industrial machinery installation, repair, and maintenance workers</v>
          </cell>
          <cell r="C883" t="str">
            <v>Summary</v>
          </cell>
          <cell r="D883">
            <v>63500</v>
          </cell>
          <cell r="E883">
            <v>539.4</v>
          </cell>
          <cell r="F883">
            <v>608.4</v>
          </cell>
          <cell r="G883">
            <v>69</v>
          </cell>
          <cell r="H883">
            <v>12.8</v>
          </cell>
          <cell r="I883">
            <v>54.2</v>
          </cell>
          <cell r="J883" t="str">
            <v>—</v>
          </cell>
          <cell r="K883" t="str">
            <v>—</v>
          </cell>
          <cell r="L883" t="str">
            <v>—</v>
          </cell>
          <cell r="M883" t="str">
            <v>—</v>
          </cell>
        </row>
        <row r="884">
          <cell r="A884" t="str">
            <v>49-9041</v>
          </cell>
          <cell r="B884" t="str">
            <v xml:space="preserve">        Industrial machinery mechanics</v>
          </cell>
          <cell r="C884" t="str">
            <v>Line item</v>
          </cell>
          <cell r="D884">
            <v>63760</v>
          </cell>
          <cell r="E884">
            <v>439.6</v>
          </cell>
          <cell r="F884">
            <v>510.3</v>
          </cell>
          <cell r="G884">
            <v>70.7</v>
          </cell>
          <cell r="H884">
            <v>16.100000000000001</v>
          </cell>
          <cell r="I884">
            <v>45.7</v>
          </cell>
          <cell r="J884" t="str">
            <v>High school diploma or equivalent</v>
          </cell>
          <cell r="K884" t="str">
            <v>None</v>
          </cell>
          <cell r="L884" t="str">
            <v>Long-term on-the-job training</v>
          </cell>
          <cell r="M884" t="str">
            <v>OOH Content</v>
          </cell>
        </row>
        <row r="885">
          <cell r="A885" t="str">
            <v>49-9043</v>
          </cell>
          <cell r="B885" t="str">
            <v xml:space="preserve">        Maintenance workers, machinery</v>
          </cell>
          <cell r="C885" t="str">
            <v>Line item</v>
          </cell>
          <cell r="D885">
            <v>60500</v>
          </cell>
          <cell r="E885">
            <v>57.5</v>
          </cell>
          <cell r="F885">
            <v>55.9</v>
          </cell>
          <cell r="G885">
            <v>-1.6</v>
          </cell>
          <cell r="H885">
            <v>-2.8</v>
          </cell>
          <cell r="I885">
            <v>4.8</v>
          </cell>
          <cell r="J885" t="str">
            <v>High school diploma or equivalent</v>
          </cell>
          <cell r="K885" t="str">
            <v>None</v>
          </cell>
          <cell r="L885" t="str">
            <v>Long-term on-the-job training</v>
          </cell>
          <cell r="M885" t="str">
            <v>OOH Content</v>
          </cell>
        </row>
        <row r="886">
          <cell r="A886" t="str">
            <v>49-9044</v>
          </cell>
          <cell r="B886" t="str">
            <v xml:space="preserve">        Millwrights</v>
          </cell>
          <cell r="C886" t="str">
            <v>Line item</v>
          </cell>
          <cell r="D886">
            <v>65170</v>
          </cell>
          <cell r="E886">
            <v>41.3</v>
          </cell>
          <cell r="F886">
            <v>41.3</v>
          </cell>
          <cell r="G886">
            <v>0</v>
          </cell>
          <cell r="H886">
            <v>0</v>
          </cell>
          <cell r="I886">
            <v>3.6</v>
          </cell>
          <cell r="J886" t="str">
            <v>High school diploma or equivalent</v>
          </cell>
          <cell r="K886" t="str">
            <v>None</v>
          </cell>
          <cell r="L886" t="str">
            <v>Apprenticeship</v>
          </cell>
          <cell r="M886" t="str">
            <v>OOH Content</v>
          </cell>
        </row>
        <row r="887">
          <cell r="A887" t="str">
            <v>49-9045</v>
          </cell>
          <cell r="B887" t="str">
            <v xml:space="preserve">        Refractory materials repairers, except brickmasons</v>
          </cell>
          <cell r="C887" t="str">
            <v>Line item</v>
          </cell>
          <cell r="D887">
            <v>58540</v>
          </cell>
          <cell r="E887">
            <v>1.1000000000000001</v>
          </cell>
          <cell r="F887">
            <v>0.9</v>
          </cell>
          <cell r="G887">
            <v>-0.2</v>
          </cell>
          <cell r="H887">
            <v>-16.899999999999999</v>
          </cell>
          <cell r="I887">
            <v>0.1</v>
          </cell>
          <cell r="J887" t="str">
            <v>High school diploma or equivalent</v>
          </cell>
          <cell r="K887" t="str">
            <v>None</v>
          </cell>
          <cell r="L887" t="str">
            <v>Moderate-term on-the-job training</v>
          </cell>
          <cell r="M887" t="str">
            <v>—</v>
          </cell>
        </row>
        <row r="888">
          <cell r="A888" t="str">
            <v>49-9050</v>
          </cell>
          <cell r="B888" t="str">
            <v xml:space="preserve">      Line installers and repairers</v>
          </cell>
          <cell r="C888" t="str">
            <v>Summary</v>
          </cell>
          <cell r="D888">
            <v>81110</v>
          </cell>
          <cell r="E888">
            <v>227.3</v>
          </cell>
          <cell r="F888">
            <v>232.6</v>
          </cell>
          <cell r="G888">
            <v>5.4</v>
          </cell>
          <cell r="H888">
            <v>2.4</v>
          </cell>
          <cell r="I888">
            <v>19.600000000000001</v>
          </cell>
          <cell r="J888" t="str">
            <v>—</v>
          </cell>
          <cell r="K888" t="str">
            <v>—</v>
          </cell>
          <cell r="L888" t="str">
            <v>—</v>
          </cell>
          <cell r="M888" t="str">
            <v>—</v>
          </cell>
        </row>
        <row r="889">
          <cell r="A889" t="str">
            <v>49-9051</v>
          </cell>
          <cell r="B889" t="str">
            <v xml:space="preserve">        Electrical power-line installers and repairers</v>
          </cell>
          <cell r="C889" t="str">
            <v>Line item</v>
          </cell>
          <cell r="D889">
            <v>92560</v>
          </cell>
          <cell r="E889">
            <v>127.4</v>
          </cell>
          <cell r="F889">
            <v>135.80000000000001</v>
          </cell>
          <cell r="G889">
            <v>8.4</v>
          </cell>
          <cell r="H889">
            <v>6.6</v>
          </cell>
          <cell r="I889">
            <v>10.7</v>
          </cell>
          <cell r="J889" t="str">
            <v>High school diploma or equivalent</v>
          </cell>
          <cell r="K889" t="str">
            <v>None</v>
          </cell>
          <cell r="L889" t="str">
            <v>Long-term on-the-job training</v>
          </cell>
          <cell r="M889" t="str">
            <v>OOH Content</v>
          </cell>
        </row>
        <row r="890">
          <cell r="A890" t="str">
            <v>49-9052</v>
          </cell>
          <cell r="B890" t="str">
            <v xml:space="preserve">        Telecommunications line installers and repairers</v>
          </cell>
          <cell r="C890" t="str">
            <v>Line item</v>
          </cell>
          <cell r="D890">
            <v>70500</v>
          </cell>
          <cell r="E890">
            <v>99.9</v>
          </cell>
          <cell r="F890">
            <v>96.8</v>
          </cell>
          <cell r="G890">
            <v>-3.1</v>
          </cell>
          <cell r="H890">
            <v>-3.1</v>
          </cell>
          <cell r="I890">
            <v>8.9</v>
          </cell>
          <cell r="J890" t="str">
            <v>High school diploma or equivalent</v>
          </cell>
          <cell r="K890" t="str">
            <v>None</v>
          </cell>
          <cell r="L890" t="str">
            <v>Long-term on-the-job training</v>
          </cell>
          <cell r="M890" t="str">
            <v>OOH Content</v>
          </cell>
        </row>
        <row r="891">
          <cell r="A891" t="str">
            <v>49-9060</v>
          </cell>
          <cell r="B891" t="str">
            <v xml:space="preserve">      Precision instrument and equipment repairers</v>
          </cell>
          <cell r="C891" t="str">
            <v>Summary</v>
          </cell>
          <cell r="D891">
            <v>61430</v>
          </cell>
          <cell r="E891">
            <v>88.7</v>
          </cell>
          <cell r="F891">
            <v>97.5</v>
          </cell>
          <cell r="G891">
            <v>8.6999999999999993</v>
          </cell>
          <cell r="H891">
            <v>9.8000000000000007</v>
          </cell>
          <cell r="I891">
            <v>9.1</v>
          </cell>
          <cell r="J891" t="str">
            <v>—</v>
          </cell>
          <cell r="K891" t="str">
            <v>—</v>
          </cell>
          <cell r="L891" t="str">
            <v>—</v>
          </cell>
          <cell r="M891" t="str">
            <v>—</v>
          </cell>
        </row>
        <row r="892">
          <cell r="A892" t="str">
            <v>49-9061</v>
          </cell>
          <cell r="B892" t="str">
            <v xml:space="preserve">        Camera and photographic equipment repairers</v>
          </cell>
          <cell r="C892" t="str">
            <v>Line item</v>
          </cell>
          <cell r="D892">
            <v>49300</v>
          </cell>
          <cell r="E892">
            <v>2.2999999999999998</v>
          </cell>
          <cell r="F892">
            <v>1.9</v>
          </cell>
          <cell r="G892">
            <v>-0.3</v>
          </cell>
          <cell r="H892">
            <v>-15.1</v>
          </cell>
          <cell r="I892">
            <v>0.2</v>
          </cell>
          <cell r="J892" t="str">
            <v>High school diploma or equivalent</v>
          </cell>
          <cell r="K892" t="str">
            <v>None</v>
          </cell>
          <cell r="L892" t="str">
            <v>Long-term on-the-job training</v>
          </cell>
          <cell r="M892" t="str">
            <v>—</v>
          </cell>
        </row>
        <row r="893">
          <cell r="A893" t="str">
            <v>49-9062</v>
          </cell>
          <cell r="B893" t="str">
            <v xml:space="preserve">        Medical equipment repairers</v>
          </cell>
          <cell r="C893" t="str">
            <v>Line item</v>
          </cell>
          <cell r="D893">
            <v>62630</v>
          </cell>
          <cell r="E893">
            <v>68</v>
          </cell>
          <cell r="F893">
            <v>76.8</v>
          </cell>
          <cell r="G893">
            <v>8.8000000000000007</v>
          </cell>
          <cell r="H893">
            <v>12.9</v>
          </cell>
          <cell r="I893">
            <v>7.3</v>
          </cell>
          <cell r="J893" t="str">
            <v>Associate's degree</v>
          </cell>
          <cell r="K893" t="str">
            <v>None</v>
          </cell>
          <cell r="L893" t="str">
            <v>Moderate-term on-the-job training</v>
          </cell>
          <cell r="M893" t="str">
            <v>OOH Content</v>
          </cell>
        </row>
        <row r="894">
          <cell r="A894" t="str">
            <v>49-9063</v>
          </cell>
          <cell r="B894" t="str">
            <v xml:space="preserve">        Musical instrument repairers and tuners</v>
          </cell>
          <cell r="C894" t="str">
            <v>Line item</v>
          </cell>
          <cell r="D894">
            <v>45320</v>
          </cell>
          <cell r="E894">
            <v>6.2</v>
          </cell>
          <cell r="F894">
            <v>6.3</v>
          </cell>
          <cell r="G894">
            <v>0.1</v>
          </cell>
          <cell r="H894">
            <v>1.4</v>
          </cell>
          <cell r="I894">
            <v>0.6</v>
          </cell>
          <cell r="J894" t="str">
            <v>High school diploma or equivalent</v>
          </cell>
          <cell r="K894" t="str">
            <v>None</v>
          </cell>
          <cell r="L894" t="str">
            <v>Apprenticeship</v>
          </cell>
          <cell r="M894" t="str">
            <v>—</v>
          </cell>
        </row>
        <row r="895">
          <cell r="A895" t="str">
            <v>49-9064</v>
          </cell>
          <cell r="B895" t="str">
            <v xml:space="preserve">        Watch and clock repairers</v>
          </cell>
          <cell r="C895" t="str">
            <v>Line item</v>
          </cell>
          <cell r="D895">
            <v>60690</v>
          </cell>
          <cell r="E895">
            <v>1.4</v>
          </cell>
          <cell r="F895">
            <v>1.4</v>
          </cell>
          <cell r="G895">
            <v>0</v>
          </cell>
          <cell r="H895">
            <v>-1.1000000000000001</v>
          </cell>
          <cell r="I895">
            <v>0.1</v>
          </cell>
          <cell r="J895" t="str">
            <v>High school diploma or equivalent</v>
          </cell>
          <cell r="K895" t="str">
            <v>None</v>
          </cell>
          <cell r="L895" t="str">
            <v>Long-term on-the-job training</v>
          </cell>
          <cell r="M895" t="str">
            <v>—</v>
          </cell>
        </row>
        <row r="896">
          <cell r="A896" t="str">
            <v>49-9069</v>
          </cell>
          <cell r="B896" t="str">
            <v xml:space="preserve">        Precision instrument and equipment repairers, all other</v>
          </cell>
          <cell r="C896" t="str">
            <v>Line item</v>
          </cell>
          <cell r="D896">
            <v>67080</v>
          </cell>
          <cell r="E896">
            <v>10.8</v>
          </cell>
          <cell r="F896">
            <v>11</v>
          </cell>
          <cell r="G896">
            <v>0.2</v>
          </cell>
          <cell r="H896">
            <v>2</v>
          </cell>
          <cell r="I896">
            <v>1</v>
          </cell>
          <cell r="J896" t="str">
            <v>High school diploma or equivalent</v>
          </cell>
          <cell r="K896" t="str">
            <v>None</v>
          </cell>
          <cell r="L896" t="str">
            <v>Long-term on-the-job training</v>
          </cell>
          <cell r="M896" t="str">
            <v>—</v>
          </cell>
        </row>
        <row r="897">
          <cell r="A897" t="str">
            <v>49-9071</v>
          </cell>
          <cell r="B897" t="str">
            <v xml:space="preserve">      Maintenance and repair workers, general</v>
          </cell>
          <cell r="C897" t="str">
            <v>Line item</v>
          </cell>
          <cell r="D897">
            <v>48620</v>
          </cell>
          <cell r="E897">
            <v>1629.7</v>
          </cell>
          <cell r="F897">
            <v>1692.1</v>
          </cell>
          <cell r="G897">
            <v>62.4</v>
          </cell>
          <cell r="H897">
            <v>3.8</v>
          </cell>
          <cell r="I897">
            <v>159.80000000000001</v>
          </cell>
          <cell r="J897" t="str">
            <v>High school diploma or equivalent</v>
          </cell>
          <cell r="K897" t="str">
            <v>None</v>
          </cell>
          <cell r="L897" t="str">
            <v>Moderate-term on-the-job training</v>
          </cell>
          <cell r="M897" t="str">
            <v>OOH Content</v>
          </cell>
        </row>
        <row r="898">
          <cell r="A898" t="str">
            <v>49-9081</v>
          </cell>
          <cell r="B898" t="str">
            <v xml:space="preserve">      Wind turbine service technicians</v>
          </cell>
          <cell r="C898" t="str">
            <v>Line item</v>
          </cell>
          <cell r="D898">
            <v>62580</v>
          </cell>
          <cell r="E898">
            <v>13.6</v>
          </cell>
          <cell r="F898">
            <v>20.5</v>
          </cell>
          <cell r="G898">
            <v>6.8</v>
          </cell>
          <cell r="H898">
            <v>49.9</v>
          </cell>
          <cell r="I898">
            <v>2.2999999999999998</v>
          </cell>
          <cell r="J898" t="str">
            <v>Postsecondary nondegree award</v>
          </cell>
          <cell r="K898" t="str">
            <v>None</v>
          </cell>
          <cell r="L898" t="str">
            <v>Long-term on-the-job training</v>
          </cell>
          <cell r="M898" t="str">
            <v>OOH Content</v>
          </cell>
        </row>
        <row r="899">
          <cell r="A899" t="str">
            <v>49-9090</v>
          </cell>
          <cell r="B899" t="str">
            <v xml:space="preserve">      Miscellaneous installation, maintenance, and repair workers</v>
          </cell>
          <cell r="C899" t="str">
            <v>Summary</v>
          </cell>
          <cell r="D899">
            <v>46970</v>
          </cell>
          <cell r="E899">
            <v>411.8</v>
          </cell>
          <cell r="F899">
            <v>418.4</v>
          </cell>
          <cell r="G899">
            <v>6.6</v>
          </cell>
          <cell r="H899">
            <v>1.6</v>
          </cell>
          <cell r="I899">
            <v>42.6</v>
          </cell>
          <cell r="J899" t="str">
            <v>—</v>
          </cell>
          <cell r="K899" t="str">
            <v>—</v>
          </cell>
          <cell r="L899" t="str">
            <v>—</v>
          </cell>
          <cell r="M899" t="str">
            <v>—</v>
          </cell>
        </row>
        <row r="900">
          <cell r="A900" t="str">
            <v>49-9091</v>
          </cell>
          <cell r="B900" t="str">
            <v xml:space="preserve">        Coin, vending, and amusement machine servicers and repairers</v>
          </cell>
          <cell r="C900" t="str">
            <v>Line item</v>
          </cell>
          <cell r="D900">
            <v>47350</v>
          </cell>
          <cell r="E900">
            <v>32.5</v>
          </cell>
          <cell r="F900">
            <v>31.6</v>
          </cell>
          <cell r="G900">
            <v>-0.9</v>
          </cell>
          <cell r="H900">
            <v>-2.9</v>
          </cell>
          <cell r="I900">
            <v>3.5</v>
          </cell>
          <cell r="J900" t="str">
            <v>High school diploma or equivalent</v>
          </cell>
          <cell r="K900" t="str">
            <v>None</v>
          </cell>
          <cell r="L900" t="str">
            <v>Short-term on-the-job training</v>
          </cell>
          <cell r="M900" t="str">
            <v>—</v>
          </cell>
        </row>
        <row r="901">
          <cell r="A901" t="str">
            <v>49-9092</v>
          </cell>
          <cell r="B901" t="str">
            <v xml:space="preserve">        Commercial divers</v>
          </cell>
          <cell r="C901" t="str">
            <v>Line item</v>
          </cell>
          <cell r="D901">
            <v>61130</v>
          </cell>
          <cell r="E901">
            <v>4.2</v>
          </cell>
          <cell r="F901">
            <v>4.5</v>
          </cell>
          <cell r="G901">
            <v>0.4</v>
          </cell>
          <cell r="H901">
            <v>8.5</v>
          </cell>
          <cell r="I901">
            <v>0.4</v>
          </cell>
          <cell r="J901" t="str">
            <v>Postsecondary nondegree award</v>
          </cell>
          <cell r="K901" t="str">
            <v>None</v>
          </cell>
          <cell r="L901" t="str">
            <v>Moderate-term on-the-job training</v>
          </cell>
          <cell r="M901" t="str">
            <v>—</v>
          </cell>
        </row>
        <row r="902">
          <cell r="A902" t="str">
            <v>49-9094</v>
          </cell>
          <cell r="B902" t="str">
            <v xml:space="preserve">        Locksmiths and safe repairers</v>
          </cell>
          <cell r="C902" t="str">
            <v>Line item</v>
          </cell>
          <cell r="D902">
            <v>50490</v>
          </cell>
          <cell r="E902">
            <v>18.8</v>
          </cell>
          <cell r="F902">
            <v>17.2</v>
          </cell>
          <cell r="G902">
            <v>-1.6</v>
          </cell>
          <cell r="H902">
            <v>-8.3000000000000007</v>
          </cell>
          <cell r="I902">
            <v>1.7</v>
          </cell>
          <cell r="J902" t="str">
            <v>High school diploma or equivalent</v>
          </cell>
          <cell r="K902" t="str">
            <v>None</v>
          </cell>
          <cell r="L902" t="str">
            <v>Long-term on-the-job training</v>
          </cell>
          <cell r="M902" t="str">
            <v>—</v>
          </cell>
        </row>
        <row r="903">
          <cell r="A903" t="str">
            <v>49-9095</v>
          </cell>
          <cell r="B903" t="str">
            <v xml:space="preserve">        Manufactured building and mobile home installers</v>
          </cell>
          <cell r="C903" t="str">
            <v>Line item</v>
          </cell>
          <cell r="D903">
            <v>41080</v>
          </cell>
          <cell r="E903">
            <v>3.1</v>
          </cell>
          <cell r="F903">
            <v>3.3</v>
          </cell>
          <cell r="G903">
            <v>0.2</v>
          </cell>
          <cell r="H903">
            <v>5.9</v>
          </cell>
          <cell r="I903">
            <v>0.3</v>
          </cell>
          <cell r="J903" t="str">
            <v>High school diploma or equivalent</v>
          </cell>
          <cell r="K903" t="str">
            <v>None</v>
          </cell>
          <cell r="L903" t="str">
            <v>Short-term on-the-job training</v>
          </cell>
          <cell r="M903" t="str">
            <v>—</v>
          </cell>
        </row>
        <row r="904">
          <cell r="A904" t="str">
            <v>49-9096</v>
          </cell>
          <cell r="B904" t="str">
            <v xml:space="preserve">        Riggers</v>
          </cell>
          <cell r="C904" t="str">
            <v>Line item</v>
          </cell>
          <cell r="D904">
            <v>62060</v>
          </cell>
          <cell r="E904">
            <v>24.6</v>
          </cell>
          <cell r="F904">
            <v>25.4</v>
          </cell>
          <cell r="G904">
            <v>0.8</v>
          </cell>
          <cell r="H904">
            <v>3.2</v>
          </cell>
          <cell r="I904">
            <v>2.5</v>
          </cell>
          <cell r="J904" t="str">
            <v>High school diploma or equivalent</v>
          </cell>
          <cell r="K904" t="str">
            <v>None</v>
          </cell>
          <cell r="L904" t="str">
            <v>Moderate-term on-the-job training</v>
          </cell>
          <cell r="M904" t="str">
            <v>—</v>
          </cell>
        </row>
        <row r="905">
          <cell r="A905" t="str">
            <v>49-9097</v>
          </cell>
          <cell r="B905" t="str">
            <v xml:space="preserve">        Signal and track switch repairers</v>
          </cell>
          <cell r="C905" t="str">
            <v>Line item</v>
          </cell>
          <cell r="D905">
            <v>83600</v>
          </cell>
          <cell r="E905">
            <v>8.6999999999999993</v>
          </cell>
          <cell r="F905">
            <v>8.8000000000000007</v>
          </cell>
          <cell r="G905">
            <v>0.1</v>
          </cell>
          <cell r="H905">
            <v>1.7</v>
          </cell>
          <cell r="I905">
            <v>0.8</v>
          </cell>
          <cell r="J905" t="str">
            <v>High school diploma or equivalent</v>
          </cell>
          <cell r="K905" t="str">
            <v>None</v>
          </cell>
          <cell r="L905" t="str">
            <v>Moderate-term on-the-job training</v>
          </cell>
          <cell r="M905" t="str">
            <v>—</v>
          </cell>
        </row>
        <row r="906">
          <cell r="A906" t="str">
            <v>49-9098</v>
          </cell>
          <cell r="B906" t="str">
            <v xml:space="preserve">        Helpers--installation, maintenance, and repair workers</v>
          </cell>
          <cell r="C906" t="str">
            <v>Line item</v>
          </cell>
          <cell r="D906">
            <v>38860</v>
          </cell>
          <cell r="E906">
            <v>98.7</v>
          </cell>
          <cell r="F906">
            <v>101</v>
          </cell>
          <cell r="G906">
            <v>2.2000000000000002</v>
          </cell>
          <cell r="H906">
            <v>2.2999999999999998</v>
          </cell>
          <cell r="I906">
            <v>11.8</v>
          </cell>
          <cell r="J906" t="str">
            <v>High school diploma or equivalent</v>
          </cell>
          <cell r="K906" t="str">
            <v>None</v>
          </cell>
          <cell r="L906" t="str">
            <v>Short-term on-the-job training</v>
          </cell>
          <cell r="M906" t="str">
            <v>—</v>
          </cell>
        </row>
        <row r="907">
          <cell r="A907" t="str">
            <v>49-9099</v>
          </cell>
          <cell r="B907" t="str">
            <v xml:space="preserve">        Installation, maintenance, and repair workers, all other</v>
          </cell>
          <cell r="C907" t="str">
            <v>Line item</v>
          </cell>
          <cell r="D907">
            <v>48640</v>
          </cell>
          <cell r="E907">
            <v>221.2</v>
          </cell>
          <cell r="F907">
            <v>226.5</v>
          </cell>
          <cell r="G907">
            <v>5.4</v>
          </cell>
          <cell r="H907">
            <v>2.4</v>
          </cell>
          <cell r="I907">
            <v>21.5</v>
          </cell>
          <cell r="J907" t="str">
            <v>High school diploma or equivalent</v>
          </cell>
          <cell r="K907" t="str">
            <v>None</v>
          </cell>
          <cell r="L907" t="str">
            <v>Moderate-term on-the-job training</v>
          </cell>
          <cell r="M907" t="str">
            <v>—</v>
          </cell>
        </row>
        <row r="908">
          <cell r="A908" t="str">
            <v>51-0000</v>
          </cell>
          <cell r="B908" t="str">
            <v xml:space="preserve">  Production occupations</v>
          </cell>
          <cell r="C908" t="str">
            <v>Summary</v>
          </cell>
          <cell r="D908">
            <v>45960</v>
          </cell>
          <cell r="E908">
            <v>9001.2000000000007</v>
          </cell>
          <cell r="F908">
            <v>8901.6</v>
          </cell>
          <cell r="G908">
            <v>-99.6</v>
          </cell>
          <cell r="H908">
            <v>-1.1000000000000001</v>
          </cell>
          <cell r="I908">
            <v>963.4</v>
          </cell>
          <cell r="J908" t="str">
            <v>—</v>
          </cell>
          <cell r="K908" t="str">
            <v>—</v>
          </cell>
          <cell r="L908" t="str">
            <v>—</v>
          </cell>
          <cell r="M908" t="str">
            <v>—</v>
          </cell>
        </row>
        <row r="909">
          <cell r="A909" t="str">
            <v>51-1000</v>
          </cell>
          <cell r="B909" t="str">
            <v xml:space="preserve">    Supervisors of production workers</v>
          </cell>
          <cell r="C909" t="str">
            <v>Summary</v>
          </cell>
          <cell r="D909">
            <v>71190</v>
          </cell>
          <cell r="E909">
            <v>698.6</v>
          </cell>
          <cell r="F909">
            <v>706.9</v>
          </cell>
          <cell r="G909">
            <v>8.3000000000000007</v>
          </cell>
          <cell r="H909">
            <v>1.2</v>
          </cell>
          <cell r="I909">
            <v>67.7</v>
          </cell>
          <cell r="J909" t="str">
            <v>—</v>
          </cell>
          <cell r="K909" t="str">
            <v>—</v>
          </cell>
          <cell r="L909" t="str">
            <v>—</v>
          </cell>
          <cell r="M909" t="str">
            <v>—</v>
          </cell>
        </row>
        <row r="910">
          <cell r="A910" t="str">
            <v>51-1011</v>
          </cell>
          <cell r="B910" t="str">
            <v xml:space="preserve">      First-line supervisors of production and operating workers</v>
          </cell>
          <cell r="C910" t="str">
            <v>Line item</v>
          </cell>
          <cell r="D910">
            <v>71190</v>
          </cell>
          <cell r="E910">
            <v>698.6</v>
          </cell>
          <cell r="F910">
            <v>706.9</v>
          </cell>
          <cell r="G910">
            <v>8.3000000000000007</v>
          </cell>
          <cell r="H910">
            <v>1.2</v>
          </cell>
          <cell r="I910">
            <v>67.7</v>
          </cell>
          <cell r="J910" t="str">
            <v>High school diploma or equivalent</v>
          </cell>
          <cell r="K910" t="str">
            <v>Less than 5 years</v>
          </cell>
          <cell r="L910" t="str">
            <v>None</v>
          </cell>
          <cell r="M910" t="str">
            <v>—</v>
          </cell>
        </row>
        <row r="911">
          <cell r="A911" t="str">
            <v>51-2000</v>
          </cell>
          <cell r="B911" t="str">
            <v xml:space="preserve">    Assemblers and fabricators</v>
          </cell>
          <cell r="C911" t="str">
            <v>Summary</v>
          </cell>
          <cell r="D911">
            <v>43570</v>
          </cell>
          <cell r="E911">
            <v>1885.4</v>
          </cell>
          <cell r="F911">
            <v>1874.2</v>
          </cell>
          <cell r="G911">
            <v>-11.2</v>
          </cell>
          <cell r="H911">
            <v>-0.6</v>
          </cell>
          <cell r="I911">
            <v>198.8</v>
          </cell>
          <cell r="J911" t="str">
            <v>—</v>
          </cell>
          <cell r="K911" t="str">
            <v>—</v>
          </cell>
          <cell r="L911" t="str">
            <v>—</v>
          </cell>
          <cell r="M911" t="str">
            <v>—</v>
          </cell>
        </row>
        <row r="912">
          <cell r="A912" t="str">
            <v>51-2011</v>
          </cell>
          <cell r="B912" t="str">
            <v xml:space="preserve">      Aircraft structure, surfaces, rigging, and systems assemblers</v>
          </cell>
          <cell r="C912" t="str">
            <v>Line item</v>
          </cell>
          <cell r="D912">
            <v>61680</v>
          </cell>
          <cell r="E912">
            <v>33.6</v>
          </cell>
          <cell r="F912">
            <v>28.7</v>
          </cell>
          <cell r="G912">
            <v>-4.9000000000000004</v>
          </cell>
          <cell r="H912">
            <v>-14.5</v>
          </cell>
          <cell r="I912">
            <v>2.8</v>
          </cell>
          <cell r="J912" t="str">
            <v>High school diploma or equivalent</v>
          </cell>
          <cell r="K912" t="str">
            <v>None</v>
          </cell>
          <cell r="L912" t="str">
            <v>Moderate-term on-the-job training</v>
          </cell>
          <cell r="M912" t="str">
            <v>OOH Content</v>
          </cell>
        </row>
        <row r="913">
          <cell r="A913" t="str">
            <v>51-2020</v>
          </cell>
          <cell r="B913" t="str">
            <v xml:space="preserve">      Electrical, electronics, and electromechanical assemblers</v>
          </cell>
          <cell r="C913" t="str">
            <v>Summary</v>
          </cell>
          <cell r="D913">
            <v>44210</v>
          </cell>
          <cell r="E913">
            <v>273.60000000000002</v>
          </cell>
          <cell r="F913">
            <v>284.7</v>
          </cell>
          <cell r="G913">
            <v>11.1</v>
          </cell>
          <cell r="H913">
            <v>4.0999999999999996</v>
          </cell>
          <cell r="I913">
            <v>30.7</v>
          </cell>
          <cell r="J913" t="str">
            <v>—</v>
          </cell>
          <cell r="K913" t="str">
            <v>—</v>
          </cell>
          <cell r="L913" t="str">
            <v>—</v>
          </cell>
          <cell r="M913" t="str">
            <v>—</v>
          </cell>
        </row>
        <row r="914">
          <cell r="A914" t="str">
            <v>51-2021</v>
          </cell>
          <cell r="B914" t="str">
            <v xml:space="preserve">        Coil winders, tapers, and finishers</v>
          </cell>
          <cell r="C914" t="str">
            <v>Line item</v>
          </cell>
          <cell r="D914">
            <v>47260</v>
          </cell>
          <cell r="E914">
            <v>12.2</v>
          </cell>
          <cell r="F914">
            <v>11.5</v>
          </cell>
          <cell r="G914">
            <v>-0.8</v>
          </cell>
          <cell r="H914">
            <v>-6.3</v>
          </cell>
          <cell r="I914">
            <v>1.2</v>
          </cell>
          <cell r="J914" t="str">
            <v>High school diploma or equivalent</v>
          </cell>
          <cell r="K914" t="str">
            <v>None</v>
          </cell>
          <cell r="L914" t="str">
            <v>Moderate-term on-the-job training</v>
          </cell>
          <cell r="M914" t="str">
            <v>OOH Content</v>
          </cell>
        </row>
        <row r="915">
          <cell r="A915" t="str">
            <v>51-2028</v>
          </cell>
          <cell r="B915" t="str">
            <v xml:space="preserve">        Electrical, electronic, and electromechanical assemblers, except coil winders, tapers, and finishers</v>
          </cell>
          <cell r="C915" t="str">
            <v>Line item</v>
          </cell>
          <cell r="D915">
            <v>44040</v>
          </cell>
          <cell r="E915">
            <v>261.39999999999998</v>
          </cell>
          <cell r="F915">
            <v>273.3</v>
          </cell>
          <cell r="G915">
            <v>11.9</v>
          </cell>
          <cell r="H915">
            <v>4.5999999999999996</v>
          </cell>
          <cell r="I915">
            <v>29.6</v>
          </cell>
          <cell r="J915" t="str">
            <v>High school diploma or equivalent</v>
          </cell>
          <cell r="K915" t="str">
            <v>None</v>
          </cell>
          <cell r="L915" t="str">
            <v>Moderate-term on-the-job training</v>
          </cell>
          <cell r="M915" t="str">
            <v>OOH Content</v>
          </cell>
        </row>
        <row r="916">
          <cell r="A916" t="str">
            <v>51-2031</v>
          </cell>
          <cell r="B916" t="str">
            <v xml:space="preserve">      Engine and other machine assemblers</v>
          </cell>
          <cell r="C916" t="str">
            <v>Line item</v>
          </cell>
          <cell r="D916">
            <v>52540</v>
          </cell>
          <cell r="E916">
            <v>38.4</v>
          </cell>
          <cell r="F916">
            <v>30.3</v>
          </cell>
          <cell r="G916">
            <v>-8.1</v>
          </cell>
          <cell r="H916">
            <v>-21.1</v>
          </cell>
          <cell r="I916">
            <v>2.8</v>
          </cell>
          <cell r="J916" t="str">
            <v>High school diploma or equivalent</v>
          </cell>
          <cell r="K916" t="str">
            <v>None</v>
          </cell>
          <cell r="L916" t="str">
            <v>Moderate-term on-the-job training</v>
          </cell>
          <cell r="M916" t="str">
            <v>OOH Content</v>
          </cell>
        </row>
        <row r="917">
          <cell r="A917" t="str">
            <v>51-2041</v>
          </cell>
          <cell r="B917" t="str">
            <v xml:space="preserve">      Structural metal fabricators and fitters</v>
          </cell>
          <cell r="C917" t="str">
            <v>Line item</v>
          </cell>
          <cell r="D917">
            <v>49900</v>
          </cell>
          <cell r="E917">
            <v>53.8</v>
          </cell>
          <cell r="F917">
            <v>45</v>
          </cell>
          <cell r="G917">
            <v>-8.8000000000000007</v>
          </cell>
          <cell r="H917">
            <v>-16.3</v>
          </cell>
          <cell r="I917">
            <v>4.0999999999999996</v>
          </cell>
          <cell r="J917" t="str">
            <v>High school diploma or equivalent</v>
          </cell>
          <cell r="K917" t="str">
            <v>None</v>
          </cell>
          <cell r="L917" t="str">
            <v>Moderate-term on-the-job training</v>
          </cell>
          <cell r="M917" t="str">
            <v>OOH Content</v>
          </cell>
        </row>
        <row r="918">
          <cell r="A918" t="str">
            <v>51-2051</v>
          </cell>
          <cell r="B918" t="str">
            <v xml:space="preserve">      Fiberglass laminators and fabricators</v>
          </cell>
          <cell r="C918" t="str">
            <v>Line item</v>
          </cell>
          <cell r="D918">
            <v>45760</v>
          </cell>
          <cell r="E918">
            <v>18.600000000000001</v>
          </cell>
          <cell r="F918">
            <v>19.399999999999999</v>
          </cell>
          <cell r="G918">
            <v>0.8</v>
          </cell>
          <cell r="H918">
            <v>4.2</v>
          </cell>
          <cell r="I918">
            <v>2.1</v>
          </cell>
          <cell r="J918" t="str">
            <v>High school diploma or equivalent</v>
          </cell>
          <cell r="K918" t="str">
            <v>None</v>
          </cell>
          <cell r="L918" t="str">
            <v>Moderate-term on-the-job training</v>
          </cell>
          <cell r="M918" t="str">
            <v>OOH Content</v>
          </cell>
        </row>
        <row r="919">
          <cell r="A919" t="str">
            <v>51-2061</v>
          </cell>
          <cell r="B919" t="str">
            <v xml:space="preserve">      Timing device assemblers and adjusters</v>
          </cell>
          <cell r="C919" t="str">
            <v>Line item</v>
          </cell>
          <cell r="D919">
            <v>40790</v>
          </cell>
          <cell r="E919">
            <v>0.2</v>
          </cell>
          <cell r="F919">
            <v>0.2</v>
          </cell>
          <cell r="G919">
            <v>0</v>
          </cell>
          <cell r="H919">
            <v>-17.5</v>
          </cell>
          <cell r="I919">
            <v>0</v>
          </cell>
          <cell r="J919" t="str">
            <v>High school diploma or equivalent</v>
          </cell>
          <cell r="K919" t="str">
            <v>None</v>
          </cell>
          <cell r="L919" t="str">
            <v>Moderate-term on-the-job training</v>
          </cell>
          <cell r="M919" t="str">
            <v>OOH Content</v>
          </cell>
        </row>
        <row r="920">
          <cell r="A920" t="str">
            <v>51-2090</v>
          </cell>
          <cell r="B920" t="str">
            <v xml:space="preserve">      Miscellaneous assemblers and fabricators</v>
          </cell>
          <cell r="C920" t="str">
            <v>Line item</v>
          </cell>
          <cell r="D920">
            <v>42210</v>
          </cell>
          <cell r="E920">
            <v>1467.1</v>
          </cell>
          <cell r="F920">
            <v>1465.9</v>
          </cell>
          <cell r="G920">
            <v>-1.3</v>
          </cell>
          <cell r="H920">
            <v>-0.1</v>
          </cell>
          <cell r="I920">
            <v>156.30000000000001</v>
          </cell>
          <cell r="J920" t="str">
            <v>High school diploma or equivalent</v>
          </cell>
          <cell r="K920" t="str">
            <v>None</v>
          </cell>
          <cell r="L920" t="str">
            <v>Moderate-term on-the-job training</v>
          </cell>
          <cell r="M920" t="str">
            <v>OOH Content</v>
          </cell>
        </row>
        <row r="921">
          <cell r="A921" t="str">
            <v>51-3000</v>
          </cell>
          <cell r="B921" t="str">
            <v xml:space="preserve">    Food processing workers</v>
          </cell>
          <cell r="C921" t="str">
            <v>Summary</v>
          </cell>
          <cell r="D921">
            <v>38200</v>
          </cell>
          <cell r="E921">
            <v>891.3</v>
          </cell>
          <cell r="F921">
            <v>931.6</v>
          </cell>
          <cell r="G921">
            <v>40.4</v>
          </cell>
          <cell r="H921">
            <v>4.5</v>
          </cell>
          <cell r="I921">
            <v>121</v>
          </cell>
          <cell r="J921" t="str">
            <v>—</v>
          </cell>
          <cell r="K921" t="str">
            <v>—</v>
          </cell>
          <cell r="L921" t="str">
            <v>—</v>
          </cell>
          <cell r="M921" t="str">
            <v>—</v>
          </cell>
        </row>
        <row r="922">
          <cell r="A922" t="str">
            <v>51-3011</v>
          </cell>
          <cell r="B922" t="str">
            <v xml:space="preserve">      Bakers</v>
          </cell>
          <cell r="C922" t="str">
            <v>Line item</v>
          </cell>
          <cell r="D922">
            <v>36650</v>
          </cell>
          <cell r="E922">
            <v>249.1</v>
          </cell>
          <cell r="F922">
            <v>263.2</v>
          </cell>
          <cell r="G922">
            <v>14</v>
          </cell>
          <cell r="H922">
            <v>5.6</v>
          </cell>
          <cell r="I922">
            <v>39.9</v>
          </cell>
          <cell r="J922" t="str">
            <v>No formal educational credential</v>
          </cell>
          <cell r="K922" t="str">
            <v>None</v>
          </cell>
          <cell r="L922" t="str">
            <v>Moderate-term on-the-job training</v>
          </cell>
          <cell r="M922" t="str">
            <v>OOH Content</v>
          </cell>
        </row>
        <row r="923">
          <cell r="A923" t="str">
            <v>51-3020</v>
          </cell>
          <cell r="B923" t="str">
            <v xml:space="preserve">      Butchers and other meat, poultry, and fish processing workers</v>
          </cell>
          <cell r="C923" t="str">
            <v>Summary</v>
          </cell>
          <cell r="D923">
            <v>38500</v>
          </cell>
          <cell r="E923">
            <v>359.5</v>
          </cell>
          <cell r="F923">
            <v>370.5</v>
          </cell>
          <cell r="G923">
            <v>11</v>
          </cell>
          <cell r="H923">
            <v>3.1</v>
          </cell>
          <cell r="I923">
            <v>43.6</v>
          </cell>
          <cell r="J923" t="str">
            <v>—</v>
          </cell>
          <cell r="K923" t="str">
            <v>—</v>
          </cell>
          <cell r="L923" t="str">
            <v>—</v>
          </cell>
          <cell r="M923" t="str">
            <v>—</v>
          </cell>
        </row>
        <row r="924">
          <cell r="A924" t="str">
            <v>51-3021</v>
          </cell>
          <cell r="B924" t="str">
            <v xml:space="preserve">        Butchers and meat cutters</v>
          </cell>
          <cell r="C924" t="str">
            <v>Line item</v>
          </cell>
          <cell r="D924">
            <v>38960</v>
          </cell>
          <cell r="E924">
            <v>143.1</v>
          </cell>
          <cell r="F924">
            <v>144.5</v>
          </cell>
          <cell r="G924">
            <v>1.4</v>
          </cell>
          <cell r="H924">
            <v>1</v>
          </cell>
          <cell r="I924">
            <v>16.899999999999999</v>
          </cell>
          <cell r="J924" t="str">
            <v>No formal educational credential</v>
          </cell>
          <cell r="K924" t="str">
            <v>None</v>
          </cell>
          <cell r="L924" t="str">
            <v>Long-term on-the-job training</v>
          </cell>
          <cell r="M924" t="str">
            <v>OOH Content</v>
          </cell>
        </row>
        <row r="925">
          <cell r="A925" t="str">
            <v>51-3022</v>
          </cell>
          <cell r="B925" t="str">
            <v xml:space="preserve">        Meat, poultry, and fish cutters and trimmers</v>
          </cell>
          <cell r="C925" t="str">
            <v>Line item</v>
          </cell>
          <cell r="D925">
            <v>37700</v>
          </cell>
          <cell r="E925">
            <v>146.80000000000001</v>
          </cell>
          <cell r="F925">
            <v>154.9</v>
          </cell>
          <cell r="G925">
            <v>8.1</v>
          </cell>
          <cell r="H925">
            <v>5.5</v>
          </cell>
          <cell r="I925">
            <v>18.399999999999999</v>
          </cell>
          <cell r="J925" t="str">
            <v>No formal educational credential</v>
          </cell>
          <cell r="K925" t="str">
            <v>None</v>
          </cell>
          <cell r="L925" t="str">
            <v>Short-term on-the-job training</v>
          </cell>
          <cell r="M925" t="str">
            <v>—</v>
          </cell>
        </row>
        <row r="926">
          <cell r="A926" t="str">
            <v>51-3023</v>
          </cell>
          <cell r="B926" t="str">
            <v xml:space="preserve">        Slaughterers and meat packers</v>
          </cell>
          <cell r="C926" t="str">
            <v>Line item</v>
          </cell>
          <cell r="D926">
            <v>39790</v>
          </cell>
          <cell r="E926">
            <v>69.599999999999994</v>
          </cell>
          <cell r="F926">
            <v>71.2</v>
          </cell>
          <cell r="G926">
            <v>1.5</v>
          </cell>
          <cell r="H926">
            <v>2.2000000000000002</v>
          </cell>
          <cell r="I926">
            <v>8.4</v>
          </cell>
          <cell r="J926" t="str">
            <v>No formal educational credential</v>
          </cell>
          <cell r="K926" t="str">
            <v>None</v>
          </cell>
          <cell r="L926" t="str">
            <v>Short-term on-the-job training</v>
          </cell>
          <cell r="M926" t="str">
            <v>—</v>
          </cell>
        </row>
        <row r="927">
          <cell r="A927" t="str">
            <v>51-3090</v>
          </cell>
          <cell r="B927" t="str">
            <v xml:space="preserve">      Miscellaneous food processing workers</v>
          </cell>
          <cell r="C927" t="str">
            <v>Summary</v>
          </cell>
          <cell r="D927">
            <v>40050</v>
          </cell>
          <cell r="E927">
            <v>282.60000000000002</v>
          </cell>
          <cell r="F927">
            <v>297.89999999999998</v>
          </cell>
          <cell r="G927">
            <v>15.3</v>
          </cell>
          <cell r="H927">
            <v>5.4</v>
          </cell>
          <cell r="I927">
            <v>37.5</v>
          </cell>
          <cell r="J927" t="str">
            <v>—</v>
          </cell>
          <cell r="K927" t="str">
            <v>—</v>
          </cell>
          <cell r="L927" t="str">
            <v>—</v>
          </cell>
          <cell r="M927" t="str">
            <v>—</v>
          </cell>
        </row>
        <row r="928">
          <cell r="A928" t="str">
            <v>51-3091</v>
          </cell>
          <cell r="B928" t="str">
            <v xml:space="preserve">        Food and tobacco roasting, baking, and drying machine operators and tenders</v>
          </cell>
          <cell r="C928" t="str">
            <v>Line item</v>
          </cell>
          <cell r="D928">
            <v>42730</v>
          </cell>
          <cell r="E928">
            <v>20.7</v>
          </cell>
          <cell r="F928">
            <v>20.8</v>
          </cell>
          <cell r="G928">
            <v>0.1</v>
          </cell>
          <cell r="H928">
            <v>0.6</v>
          </cell>
          <cell r="I928">
            <v>2.4</v>
          </cell>
          <cell r="J928" t="str">
            <v>No formal educational credential</v>
          </cell>
          <cell r="K928" t="str">
            <v>None</v>
          </cell>
          <cell r="L928" t="str">
            <v>Moderate-term on-the-job training</v>
          </cell>
          <cell r="M928" t="str">
            <v>OOH Content</v>
          </cell>
        </row>
        <row r="929">
          <cell r="A929" t="str">
            <v>51-3092</v>
          </cell>
          <cell r="B929" t="str">
            <v xml:space="preserve">        Food batchmakers</v>
          </cell>
          <cell r="C929" t="str">
            <v>Line item</v>
          </cell>
          <cell r="D929">
            <v>40790</v>
          </cell>
          <cell r="E929">
            <v>173.5</v>
          </cell>
          <cell r="F929">
            <v>185.4</v>
          </cell>
          <cell r="G929">
            <v>11.9</v>
          </cell>
          <cell r="H929">
            <v>6.9</v>
          </cell>
          <cell r="I929">
            <v>24.2</v>
          </cell>
          <cell r="J929" t="str">
            <v>High school diploma or equivalent</v>
          </cell>
          <cell r="K929" t="str">
            <v>None</v>
          </cell>
          <cell r="L929" t="str">
            <v>Moderate-term on-the-job training</v>
          </cell>
          <cell r="M929" t="str">
            <v>OOH Content</v>
          </cell>
        </row>
        <row r="930">
          <cell r="A930" t="str">
            <v>51-3093</v>
          </cell>
          <cell r="B930" t="str">
            <v xml:space="preserve">        Food cooking machine operators and tenders</v>
          </cell>
          <cell r="C930" t="str">
            <v>Line item</v>
          </cell>
          <cell r="D930">
            <v>40550</v>
          </cell>
          <cell r="E930">
            <v>29.7</v>
          </cell>
          <cell r="F930">
            <v>29.9</v>
          </cell>
          <cell r="G930">
            <v>0.2</v>
          </cell>
          <cell r="H930">
            <v>0.6</v>
          </cell>
          <cell r="I930">
            <v>4.4000000000000004</v>
          </cell>
          <cell r="J930" t="str">
            <v>High school diploma or equivalent</v>
          </cell>
          <cell r="K930" t="str">
            <v>None</v>
          </cell>
          <cell r="L930" t="str">
            <v>Moderate-term on-the-job training</v>
          </cell>
          <cell r="M930" t="str">
            <v>OOH Content</v>
          </cell>
        </row>
        <row r="931">
          <cell r="A931" t="str">
            <v>51-3099</v>
          </cell>
          <cell r="B931" t="str">
            <v xml:space="preserve">        Food processing workers, all other</v>
          </cell>
          <cell r="C931" t="str">
            <v>Line item</v>
          </cell>
          <cell r="D931">
            <v>38420</v>
          </cell>
          <cell r="E931">
            <v>58.7</v>
          </cell>
          <cell r="F931">
            <v>61.8</v>
          </cell>
          <cell r="G931">
            <v>3.1</v>
          </cell>
          <cell r="H931">
            <v>5.3</v>
          </cell>
          <cell r="I931">
            <v>6.5</v>
          </cell>
          <cell r="J931" t="str">
            <v>No formal educational credential</v>
          </cell>
          <cell r="K931" t="str">
            <v>None</v>
          </cell>
          <cell r="L931" t="str">
            <v>Moderate-term on-the-job training</v>
          </cell>
          <cell r="M931" t="str">
            <v>OOH Content</v>
          </cell>
        </row>
        <row r="932">
          <cell r="A932" t="str">
            <v>51-4000</v>
          </cell>
          <cell r="B932" t="str">
            <v xml:space="preserve">    Metal workers and plastic workers</v>
          </cell>
          <cell r="C932" t="str">
            <v>Summary</v>
          </cell>
          <cell r="D932">
            <v>48660</v>
          </cell>
          <cell r="E932">
            <v>1639.4</v>
          </cell>
          <cell r="F932">
            <v>1581.5</v>
          </cell>
          <cell r="G932">
            <v>-57.9</v>
          </cell>
          <cell r="H932">
            <v>-3.5</v>
          </cell>
          <cell r="I932">
            <v>153.80000000000001</v>
          </cell>
          <cell r="J932" t="str">
            <v>—</v>
          </cell>
          <cell r="K932" t="str">
            <v>—</v>
          </cell>
          <cell r="L932" t="str">
            <v>—</v>
          </cell>
          <cell r="M932" t="str">
            <v>—</v>
          </cell>
        </row>
        <row r="933">
          <cell r="A933" t="str">
            <v>51-4020</v>
          </cell>
          <cell r="B933" t="str">
            <v xml:space="preserve">      Forming machine setters, operators, and tenders, metal and plastic</v>
          </cell>
          <cell r="C933" t="str">
            <v>Summary</v>
          </cell>
          <cell r="D933">
            <v>47460</v>
          </cell>
          <cell r="E933">
            <v>97.3</v>
          </cell>
          <cell r="F933">
            <v>94.5</v>
          </cell>
          <cell r="G933">
            <v>-2.7</v>
          </cell>
          <cell r="H933">
            <v>-2.8</v>
          </cell>
          <cell r="I933">
            <v>9</v>
          </cell>
          <cell r="J933" t="str">
            <v>—</v>
          </cell>
          <cell r="K933" t="str">
            <v>—</v>
          </cell>
          <cell r="L933" t="str">
            <v>—</v>
          </cell>
          <cell r="M933" t="str">
            <v>—</v>
          </cell>
        </row>
        <row r="934">
          <cell r="A934" t="str">
            <v>51-4021</v>
          </cell>
          <cell r="B934" t="str">
            <v xml:space="preserve">        Extruding and drawing machine setters, operators, and tenders, metal and plastic</v>
          </cell>
          <cell r="C934" t="str">
            <v>Line item</v>
          </cell>
          <cell r="D934">
            <v>46980</v>
          </cell>
          <cell r="E934">
            <v>66</v>
          </cell>
          <cell r="F934">
            <v>66.8</v>
          </cell>
          <cell r="G934">
            <v>0.8</v>
          </cell>
          <cell r="H934">
            <v>1.2</v>
          </cell>
          <cell r="I934">
            <v>6.5</v>
          </cell>
          <cell r="J934" t="str">
            <v>High school diploma or equivalent</v>
          </cell>
          <cell r="K934" t="str">
            <v>None</v>
          </cell>
          <cell r="L934" t="str">
            <v>Moderate-term on-the-job training</v>
          </cell>
          <cell r="M934" t="str">
            <v>OOH Content</v>
          </cell>
        </row>
        <row r="935">
          <cell r="A935" t="str">
            <v>51-4022</v>
          </cell>
          <cell r="B935" t="str">
            <v xml:space="preserve">        Forging machine setters, operators, and tenders, metal and plastic</v>
          </cell>
          <cell r="C935" t="str">
            <v>Line item</v>
          </cell>
          <cell r="D935">
            <v>49240</v>
          </cell>
          <cell r="E935">
            <v>8.8000000000000007</v>
          </cell>
          <cell r="F935">
            <v>7.2</v>
          </cell>
          <cell r="G935">
            <v>-1.7</v>
          </cell>
          <cell r="H935">
            <v>-18.899999999999999</v>
          </cell>
          <cell r="I935">
            <v>0.6</v>
          </cell>
          <cell r="J935" t="str">
            <v>High school diploma or equivalent</v>
          </cell>
          <cell r="K935" t="str">
            <v>None</v>
          </cell>
          <cell r="L935" t="str">
            <v>Moderate-term on-the-job training</v>
          </cell>
          <cell r="M935" t="str">
            <v>OOH Content</v>
          </cell>
        </row>
        <row r="936">
          <cell r="A936" t="str">
            <v>51-4023</v>
          </cell>
          <cell r="B936" t="str">
            <v xml:space="preserve">        Rolling machine setters, operators, and tenders, metal and plastic</v>
          </cell>
          <cell r="C936" t="str">
            <v>Line item</v>
          </cell>
          <cell r="D936">
            <v>48630</v>
          </cell>
          <cell r="E936">
            <v>22.5</v>
          </cell>
          <cell r="F936">
            <v>20.6</v>
          </cell>
          <cell r="G936">
            <v>-1.9</v>
          </cell>
          <cell r="H936">
            <v>-8.3000000000000007</v>
          </cell>
          <cell r="I936">
            <v>1.9</v>
          </cell>
          <cell r="J936" t="str">
            <v>High school diploma or equivalent</v>
          </cell>
          <cell r="K936" t="str">
            <v>None</v>
          </cell>
          <cell r="L936" t="str">
            <v>Moderate-term on-the-job training</v>
          </cell>
          <cell r="M936" t="str">
            <v>OOH Content</v>
          </cell>
        </row>
        <row r="937">
          <cell r="A937" t="str">
            <v>51-4030</v>
          </cell>
          <cell r="B937" t="str">
            <v xml:space="preserve">      Machine tool cutting setters, operators, and tenders, metal and plastic</v>
          </cell>
          <cell r="C937" t="str">
            <v>Summary</v>
          </cell>
          <cell r="D937">
            <v>45870</v>
          </cell>
          <cell r="E937">
            <v>282.89999999999998</v>
          </cell>
          <cell r="F937">
            <v>247.7</v>
          </cell>
          <cell r="G937">
            <v>-35.200000000000003</v>
          </cell>
          <cell r="H937">
            <v>-12.4</v>
          </cell>
          <cell r="I937">
            <v>22.9</v>
          </cell>
          <cell r="J937" t="str">
            <v>—</v>
          </cell>
          <cell r="K937" t="str">
            <v>—</v>
          </cell>
          <cell r="L937" t="str">
            <v>—</v>
          </cell>
          <cell r="M937" t="str">
            <v>—</v>
          </cell>
        </row>
        <row r="938">
          <cell r="A938" t="str">
            <v>51-4031</v>
          </cell>
          <cell r="B938" t="str">
            <v xml:space="preserve">        Cutting, punching, and press machine setters, operators, and tenders, metal and plastic</v>
          </cell>
          <cell r="C938" t="str">
            <v>Line item</v>
          </cell>
          <cell r="D938">
            <v>45590</v>
          </cell>
          <cell r="E938">
            <v>174.7</v>
          </cell>
          <cell r="F938">
            <v>153.6</v>
          </cell>
          <cell r="G938">
            <v>-21.1</v>
          </cell>
          <cell r="H938">
            <v>-12.1</v>
          </cell>
          <cell r="I938">
            <v>14.4</v>
          </cell>
          <cell r="J938" t="str">
            <v>High school diploma or equivalent</v>
          </cell>
          <cell r="K938" t="str">
            <v>None</v>
          </cell>
          <cell r="L938" t="str">
            <v>Moderate-term on-the-job training</v>
          </cell>
          <cell r="M938" t="str">
            <v>OOH Content</v>
          </cell>
        </row>
        <row r="939">
          <cell r="A939" t="str">
            <v>51-4032</v>
          </cell>
          <cell r="B939" t="str">
            <v xml:space="preserve">        Drilling and boring machine tool setters, operators, and tenders, metal and plastic</v>
          </cell>
          <cell r="C939" t="str">
            <v>Line item</v>
          </cell>
          <cell r="D939">
            <v>46630</v>
          </cell>
          <cell r="E939">
            <v>5.3</v>
          </cell>
          <cell r="F939">
            <v>4.3</v>
          </cell>
          <cell r="G939">
            <v>-1</v>
          </cell>
          <cell r="H939">
            <v>-19.600000000000001</v>
          </cell>
          <cell r="I939">
            <v>0.4</v>
          </cell>
          <cell r="J939" t="str">
            <v>High school diploma or equivalent</v>
          </cell>
          <cell r="K939" t="str">
            <v>None</v>
          </cell>
          <cell r="L939" t="str">
            <v>Moderate-term on-the-job training</v>
          </cell>
          <cell r="M939" t="str">
            <v>OOH Content</v>
          </cell>
        </row>
        <row r="940">
          <cell r="A940" t="str">
            <v>51-4033</v>
          </cell>
          <cell r="B940" t="str">
            <v xml:space="preserve">        Grinding, lapping, polishing, and buffing machine tool setters, operators, and tenders, metal and plastic</v>
          </cell>
          <cell r="C940" t="str">
            <v>Line item</v>
          </cell>
          <cell r="D940">
            <v>45190</v>
          </cell>
          <cell r="E940">
            <v>70.099999999999994</v>
          </cell>
          <cell r="F940">
            <v>61.7</v>
          </cell>
          <cell r="G940">
            <v>-8.4</v>
          </cell>
          <cell r="H940">
            <v>-12</v>
          </cell>
          <cell r="I940">
            <v>5.5</v>
          </cell>
          <cell r="J940" t="str">
            <v>High school diploma or equivalent</v>
          </cell>
          <cell r="K940" t="str">
            <v>None</v>
          </cell>
          <cell r="L940" t="str">
            <v>Moderate-term on-the-job training</v>
          </cell>
          <cell r="M940" t="str">
            <v>OOH Content</v>
          </cell>
        </row>
        <row r="941">
          <cell r="A941" t="str">
            <v>51-4034</v>
          </cell>
          <cell r="B941" t="str">
            <v xml:space="preserve">        Lathe and turning machine tool setters, operators, and tenders, metal and plastic</v>
          </cell>
          <cell r="C941" t="str">
            <v>Line item</v>
          </cell>
          <cell r="D941">
            <v>48620</v>
          </cell>
          <cell r="E941">
            <v>18.899999999999999</v>
          </cell>
          <cell r="F941">
            <v>16.399999999999999</v>
          </cell>
          <cell r="G941">
            <v>-2.6</v>
          </cell>
          <cell r="H941">
            <v>-13.6</v>
          </cell>
          <cell r="I941">
            <v>1.5</v>
          </cell>
          <cell r="J941" t="str">
            <v>High school diploma or equivalent</v>
          </cell>
          <cell r="K941" t="str">
            <v>None</v>
          </cell>
          <cell r="L941" t="str">
            <v>Moderate-term on-the-job training</v>
          </cell>
          <cell r="M941" t="str">
            <v>OOH Content</v>
          </cell>
        </row>
        <row r="942">
          <cell r="A942" t="str">
            <v>51-4035</v>
          </cell>
          <cell r="B942" t="str">
            <v xml:space="preserve">        Milling and planing machine setters, operators, and tenders, metal and plastic</v>
          </cell>
          <cell r="C942" t="str">
            <v>Line item</v>
          </cell>
          <cell r="D942">
            <v>48310</v>
          </cell>
          <cell r="E942">
            <v>13.8</v>
          </cell>
          <cell r="F942">
            <v>11.8</v>
          </cell>
          <cell r="G942">
            <v>-2</v>
          </cell>
          <cell r="H942">
            <v>-14.4</v>
          </cell>
          <cell r="I942">
            <v>1.1000000000000001</v>
          </cell>
          <cell r="J942" t="str">
            <v>High school diploma or equivalent</v>
          </cell>
          <cell r="K942" t="str">
            <v>None</v>
          </cell>
          <cell r="L942" t="str">
            <v>Moderate-term on-the-job training</v>
          </cell>
          <cell r="M942" t="str">
            <v>OOH Content</v>
          </cell>
        </row>
        <row r="943">
          <cell r="A943" t="str">
            <v>51-4041</v>
          </cell>
          <cell r="B943" t="str">
            <v xml:space="preserve">      Machinists</v>
          </cell>
          <cell r="C943" t="str">
            <v>Line item</v>
          </cell>
          <cell r="D943">
            <v>56150</v>
          </cell>
          <cell r="E943">
            <v>299.5</v>
          </cell>
          <cell r="F943">
            <v>299.60000000000002</v>
          </cell>
          <cell r="G943">
            <v>0</v>
          </cell>
          <cell r="H943">
            <v>0</v>
          </cell>
          <cell r="I943">
            <v>29.5</v>
          </cell>
          <cell r="J943" t="str">
            <v>High school diploma or equivalent</v>
          </cell>
          <cell r="K943" t="str">
            <v>None</v>
          </cell>
          <cell r="L943" t="str">
            <v>Long-term on-the-job training</v>
          </cell>
          <cell r="M943" t="str">
            <v>OOH Content</v>
          </cell>
        </row>
        <row r="944">
          <cell r="A944" t="str">
            <v>51-4050</v>
          </cell>
          <cell r="B944" t="str">
            <v xml:space="preserve">      Metal furnace operators, tenders, pourers, and casters</v>
          </cell>
          <cell r="C944" t="str">
            <v>Summary</v>
          </cell>
          <cell r="D944">
            <v>54100</v>
          </cell>
          <cell r="E944">
            <v>26.7</v>
          </cell>
          <cell r="F944">
            <v>26</v>
          </cell>
          <cell r="G944">
            <v>-0.8</v>
          </cell>
          <cell r="H944">
            <v>-2.8</v>
          </cell>
          <cell r="I944">
            <v>2.6</v>
          </cell>
          <cell r="J944" t="str">
            <v>—</v>
          </cell>
          <cell r="K944" t="str">
            <v>—</v>
          </cell>
          <cell r="L944" t="str">
            <v>—</v>
          </cell>
          <cell r="M944" t="str">
            <v>—</v>
          </cell>
        </row>
        <row r="945">
          <cell r="A945" t="str">
            <v>51-4051</v>
          </cell>
          <cell r="B945" t="str">
            <v xml:space="preserve">        Metal-refining furnace operators and tenders</v>
          </cell>
          <cell r="C945" t="str">
            <v>Line item</v>
          </cell>
          <cell r="D945">
            <v>55770</v>
          </cell>
          <cell r="E945">
            <v>20.8</v>
          </cell>
          <cell r="F945">
            <v>20.3</v>
          </cell>
          <cell r="G945">
            <v>-0.5</v>
          </cell>
          <cell r="H945">
            <v>-2.2999999999999998</v>
          </cell>
          <cell r="I945">
            <v>2</v>
          </cell>
          <cell r="J945" t="str">
            <v>High school diploma or equivalent</v>
          </cell>
          <cell r="K945" t="str">
            <v>None</v>
          </cell>
          <cell r="L945" t="str">
            <v>Moderate-term on-the-job training</v>
          </cell>
          <cell r="M945" t="str">
            <v>OOH Content</v>
          </cell>
        </row>
        <row r="946">
          <cell r="A946" t="str">
            <v>51-4052</v>
          </cell>
          <cell r="B946" t="str">
            <v xml:space="preserve">        Pourers and casters, metal</v>
          </cell>
          <cell r="C946" t="str">
            <v>Line item</v>
          </cell>
          <cell r="D946">
            <v>48940</v>
          </cell>
          <cell r="E946">
            <v>5.9</v>
          </cell>
          <cell r="F946">
            <v>5.7</v>
          </cell>
          <cell r="G946">
            <v>-0.3</v>
          </cell>
          <cell r="H946">
            <v>-4.7</v>
          </cell>
          <cell r="I946">
            <v>0.6</v>
          </cell>
          <cell r="J946" t="str">
            <v>High school diploma or equivalent</v>
          </cell>
          <cell r="K946" t="str">
            <v>None</v>
          </cell>
          <cell r="L946" t="str">
            <v>Moderate-term on-the-job training</v>
          </cell>
          <cell r="M946" t="str">
            <v>OOH Content</v>
          </cell>
        </row>
        <row r="947">
          <cell r="A947" t="str">
            <v>51-4060</v>
          </cell>
          <cell r="B947" t="str">
            <v xml:space="preserve">      Model makers and patternmakers, metal and plastic</v>
          </cell>
          <cell r="C947" t="str">
            <v>Summary</v>
          </cell>
          <cell r="D947">
            <v>59530</v>
          </cell>
          <cell r="E947">
            <v>4.8</v>
          </cell>
          <cell r="F947">
            <v>3.8</v>
          </cell>
          <cell r="G947">
            <v>-1</v>
          </cell>
          <cell r="H947">
            <v>-20.3</v>
          </cell>
          <cell r="I947">
            <v>0.4</v>
          </cell>
          <cell r="J947" t="str">
            <v>—</v>
          </cell>
          <cell r="K947" t="str">
            <v>—</v>
          </cell>
          <cell r="L947" t="str">
            <v>—</v>
          </cell>
          <cell r="M947" t="str">
            <v>—</v>
          </cell>
        </row>
        <row r="948">
          <cell r="A948" t="str">
            <v>51-4061</v>
          </cell>
          <cell r="B948" t="str">
            <v xml:space="preserve">        Model makers, metal and plastic</v>
          </cell>
          <cell r="C948" t="str">
            <v>Line item</v>
          </cell>
          <cell r="D948">
            <v>62700</v>
          </cell>
          <cell r="E948">
            <v>3.2</v>
          </cell>
          <cell r="F948">
            <v>2.6</v>
          </cell>
          <cell r="G948">
            <v>-0.6</v>
          </cell>
          <cell r="H948">
            <v>-18.2</v>
          </cell>
          <cell r="I948">
            <v>0.3</v>
          </cell>
          <cell r="J948" t="str">
            <v>High school diploma or equivalent</v>
          </cell>
          <cell r="K948" t="str">
            <v>None</v>
          </cell>
          <cell r="L948" t="str">
            <v>Moderate-term on-the-job training</v>
          </cell>
          <cell r="M948" t="str">
            <v>OOH Content</v>
          </cell>
        </row>
        <row r="949">
          <cell r="A949" t="str">
            <v>51-4062</v>
          </cell>
          <cell r="B949" t="str">
            <v xml:space="preserve">        Patternmakers, metal and plastic</v>
          </cell>
          <cell r="C949" t="str">
            <v>Line item</v>
          </cell>
          <cell r="D949">
            <v>54540</v>
          </cell>
          <cell r="E949">
            <v>1.6</v>
          </cell>
          <cell r="F949">
            <v>1.2</v>
          </cell>
          <cell r="G949">
            <v>-0.4</v>
          </cell>
          <cell r="H949">
            <v>-24.4</v>
          </cell>
          <cell r="I949">
            <v>0.1</v>
          </cell>
          <cell r="J949" t="str">
            <v>High school diploma or equivalent</v>
          </cell>
          <cell r="K949" t="str">
            <v>None</v>
          </cell>
          <cell r="L949" t="str">
            <v>Moderate-term on-the-job training</v>
          </cell>
          <cell r="M949" t="str">
            <v>OOH Content</v>
          </cell>
        </row>
        <row r="950">
          <cell r="A950" t="str">
            <v>51-4070</v>
          </cell>
          <cell r="B950" t="str">
            <v xml:space="preserve">      Molders and molding machine setters, operators, and tenders, metal and plastic</v>
          </cell>
          <cell r="C950" t="str">
            <v>Summary</v>
          </cell>
          <cell r="D950">
            <v>41890</v>
          </cell>
          <cell r="E950">
            <v>167.3</v>
          </cell>
          <cell r="F950">
            <v>158.19999999999999</v>
          </cell>
          <cell r="G950">
            <v>-9.1</v>
          </cell>
          <cell r="H950">
            <v>-5.5</v>
          </cell>
          <cell r="I950">
            <v>16.8</v>
          </cell>
          <cell r="J950" t="str">
            <v>—</v>
          </cell>
          <cell r="K950" t="str">
            <v>—</v>
          </cell>
          <cell r="L950" t="str">
            <v>—</v>
          </cell>
          <cell r="M950" t="str">
            <v>—</v>
          </cell>
        </row>
        <row r="951">
          <cell r="A951" t="str">
            <v>51-4071</v>
          </cell>
          <cell r="B951" t="str">
            <v xml:space="preserve">        Foundry mold and coremakers</v>
          </cell>
          <cell r="C951" t="str">
            <v>Line item</v>
          </cell>
          <cell r="D951">
            <v>45700</v>
          </cell>
          <cell r="E951">
            <v>12.7</v>
          </cell>
          <cell r="F951">
            <v>9.4</v>
          </cell>
          <cell r="G951">
            <v>-3.3</v>
          </cell>
          <cell r="H951">
            <v>-25.9</v>
          </cell>
          <cell r="I951">
            <v>0.9</v>
          </cell>
          <cell r="J951" t="str">
            <v>High school diploma or equivalent</v>
          </cell>
          <cell r="K951" t="str">
            <v>None</v>
          </cell>
          <cell r="L951" t="str">
            <v>Moderate-term on-the-job training</v>
          </cell>
          <cell r="M951" t="str">
            <v>OOH Content</v>
          </cell>
        </row>
        <row r="952">
          <cell r="A952" t="str">
            <v>51-4072</v>
          </cell>
          <cell r="B952" t="str">
            <v xml:space="preserve">        Molding, coremaking, and casting machine setters, operators, and tenders, metal and plastic</v>
          </cell>
          <cell r="C952" t="str">
            <v>Line item</v>
          </cell>
          <cell r="D952">
            <v>41230</v>
          </cell>
          <cell r="E952">
            <v>154.6</v>
          </cell>
          <cell r="F952">
            <v>148.80000000000001</v>
          </cell>
          <cell r="G952">
            <v>-5.8</v>
          </cell>
          <cell r="H952">
            <v>-3.8</v>
          </cell>
          <cell r="I952">
            <v>15.9</v>
          </cell>
          <cell r="J952" t="str">
            <v>High school diploma or equivalent</v>
          </cell>
          <cell r="K952" t="str">
            <v>None</v>
          </cell>
          <cell r="L952" t="str">
            <v>Moderate-term on-the-job training</v>
          </cell>
          <cell r="M952" t="str">
            <v>OOH Content</v>
          </cell>
        </row>
        <row r="953">
          <cell r="A953" t="str">
            <v>51-4081</v>
          </cell>
          <cell r="B953" t="str">
            <v xml:space="preserve">      Multiple machine tool setters, operators, and tenders, metal and plastic</v>
          </cell>
          <cell r="C953" t="str">
            <v>Line item</v>
          </cell>
          <cell r="D953">
            <v>46060</v>
          </cell>
          <cell r="E953">
            <v>131</v>
          </cell>
          <cell r="F953">
            <v>130.30000000000001</v>
          </cell>
          <cell r="G953">
            <v>-0.7</v>
          </cell>
          <cell r="H953">
            <v>-0.5</v>
          </cell>
          <cell r="I953">
            <v>12.8</v>
          </cell>
          <cell r="J953" t="str">
            <v>High school diploma or equivalent</v>
          </cell>
          <cell r="K953" t="str">
            <v>None</v>
          </cell>
          <cell r="L953" t="str">
            <v>Moderate-term on-the-job training</v>
          </cell>
          <cell r="M953" t="str">
            <v>OOH Content</v>
          </cell>
        </row>
        <row r="954">
          <cell r="A954" t="str">
            <v>51-4111</v>
          </cell>
          <cell r="B954" t="str">
            <v xml:space="preserve">      Tool and die makers</v>
          </cell>
          <cell r="C954" t="str">
            <v>Line item</v>
          </cell>
          <cell r="D954">
            <v>63180</v>
          </cell>
          <cell r="E954">
            <v>55.2</v>
          </cell>
          <cell r="F954">
            <v>49.3</v>
          </cell>
          <cell r="G954">
            <v>-6</v>
          </cell>
          <cell r="H954">
            <v>-10.8</v>
          </cell>
          <cell r="I954">
            <v>4.7</v>
          </cell>
          <cell r="J954" t="str">
            <v>Postsecondary nondegree award</v>
          </cell>
          <cell r="K954" t="str">
            <v>None</v>
          </cell>
          <cell r="L954" t="str">
            <v>Long-term on-the-job training</v>
          </cell>
          <cell r="M954" t="str">
            <v>OOH Content</v>
          </cell>
        </row>
        <row r="955">
          <cell r="A955" t="str">
            <v>51-4120</v>
          </cell>
          <cell r="B955" t="str">
            <v xml:space="preserve">      Welding, soldering, and brazing workers</v>
          </cell>
          <cell r="C955" t="str">
            <v>Summary</v>
          </cell>
          <cell r="D955">
            <v>50560</v>
          </cell>
          <cell r="E955">
            <v>496.2</v>
          </cell>
          <cell r="F955">
            <v>502.5</v>
          </cell>
          <cell r="G955">
            <v>6.4</v>
          </cell>
          <cell r="H955">
            <v>1.3</v>
          </cell>
          <cell r="I955">
            <v>48.8</v>
          </cell>
          <cell r="J955" t="str">
            <v>—</v>
          </cell>
          <cell r="K955" t="str">
            <v>—</v>
          </cell>
          <cell r="L955" t="str">
            <v>—</v>
          </cell>
          <cell r="M955" t="str">
            <v>—</v>
          </cell>
        </row>
        <row r="956">
          <cell r="A956" t="str">
            <v>51-4121</v>
          </cell>
          <cell r="B956" t="str">
            <v xml:space="preserve">        Welders, cutters, solderers, and brazers</v>
          </cell>
          <cell r="C956" t="str">
            <v>Line item</v>
          </cell>
          <cell r="D956">
            <v>51000</v>
          </cell>
          <cell r="E956">
            <v>457.3</v>
          </cell>
          <cell r="F956">
            <v>467.2</v>
          </cell>
          <cell r="G956">
            <v>9.9</v>
          </cell>
          <cell r="H956">
            <v>2.2000000000000002</v>
          </cell>
          <cell r="I956">
            <v>45.6</v>
          </cell>
          <cell r="J956" t="str">
            <v>High school diploma or equivalent</v>
          </cell>
          <cell r="K956" t="str">
            <v>None</v>
          </cell>
          <cell r="L956" t="str">
            <v>Moderate-term on-the-job training</v>
          </cell>
          <cell r="M956" t="str">
            <v>OOH Content</v>
          </cell>
        </row>
        <row r="957">
          <cell r="A957" t="str">
            <v>51-4122</v>
          </cell>
          <cell r="B957" t="str">
            <v xml:space="preserve">        Welding, soldering, and brazing machine setters, operators, and tenders</v>
          </cell>
          <cell r="C957" t="str">
            <v>Line item</v>
          </cell>
          <cell r="D957">
            <v>47060</v>
          </cell>
          <cell r="E957">
            <v>38.9</v>
          </cell>
          <cell r="F957">
            <v>35.4</v>
          </cell>
          <cell r="G957">
            <v>-3.5</v>
          </cell>
          <cell r="H957">
            <v>-9</v>
          </cell>
          <cell r="I957">
            <v>3.2</v>
          </cell>
          <cell r="J957" t="str">
            <v>High school diploma or equivalent</v>
          </cell>
          <cell r="K957" t="str">
            <v>None</v>
          </cell>
          <cell r="L957" t="str">
            <v>Moderate-term on-the-job training</v>
          </cell>
          <cell r="M957" t="str">
            <v>OOH Content</v>
          </cell>
        </row>
        <row r="958">
          <cell r="A958" t="str">
            <v>51-4190</v>
          </cell>
          <cell r="B958" t="str">
            <v xml:space="preserve">      Miscellaneous metal workers and plastic workers</v>
          </cell>
          <cell r="C958" t="str">
            <v>Summary</v>
          </cell>
          <cell r="D958">
            <v>45050</v>
          </cell>
          <cell r="E958">
            <v>78.400000000000006</v>
          </cell>
          <cell r="F958">
            <v>69.5</v>
          </cell>
          <cell r="G958">
            <v>-8.9</v>
          </cell>
          <cell r="H958">
            <v>-11.4</v>
          </cell>
          <cell r="I958">
            <v>6.4</v>
          </cell>
          <cell r="J958" t="str">
            <v>—</v>
          </cell>
          <cell r="K958" t="str">
            <v>—</v>
          </cell>
          <cell r="L958" t="str">
            <v>—</v>
          </cell>
          <cell r="M958" t="str">
            <v>—</v>
          </cell>
        </row>
        <row r="959">
          <cell r="A959" t="str">
            <v>51-4191</v>
          </cell>
          <cell r="B959" t="str">
            <v xml:space="preserve">        Heat treating equipment setters, operators, and tenders, metal and plastic</v>
          </cell>
          <cell r="C959" t="str">
            <v>Line item</v>
          </cell>
          <cell r="D959">
            <v>47450</v>
          </cell>
          <cell r="E959">
            <v>14.8</v>
          </cell>
          <cell r="F959">
            <v>12.9</v>
          </cell>
          <cell r="G959">
            <v>-1.9</v>
          </cell>
          <cell r="H959">
            <v>-12.8</v>
          </cell>
          <cell r="I959">
            <v>1.2</v>
          </cell>
          <cell r="J959" t="str">
            <v>High school diploma or equivalent</v>
          </cell>
          <cell r="K959" t="str">
            <v>None</v>
          </cell>
          <cell r="L959" t="str">
            <v>Moderate-term on-the-job training</v>
          </cell>
          <cell r="M959" t="str">
            <v>OOH Content</v>
          </cell>
        </row>
        <row r="960">
          <cell r="A960" t="str">
            <v>51-4192</v>
          </cell>
          <cell r="B960" t="str">
            <v xml:space="preserve">        Layout workers, metal and plastic</v>
          </cell>
          <cell r="C960" t="str">
            <v>Line item</v>
          </cell>
          <cell r="D960">
            <v>61870</v>
          </cell>
          <cell r="E960">
            <v>5.7</v>
          </cell>
          <cell r="F960">
            <v>5.4</v>
          </cell>
          <cell r="G960">
            <v>-0.3</v>
          </cell>
          <cell r="H960">
            <v>-5.4</v>
          </cell>
          <cell r="I960">
            <v>0.5</v>
          </cell>
          <cell r="J960" t="str">
            <v>High school diploma or equivalent</v>
          </cell>
          <cell r="K960" t="str">
            <v>None</v>
          </cell>
          <cell r="L960" t="str">
            <v>Moderate-term on-the-job training</v>
          </cell>
          <cell r="M960" t="str">
            <v>—</v>
          </cell>
        </row>
        <row r="961">
          <cell r="A961" t="str">
            <v>51-4193</v>
          </cell>
          <cell r="B961" t="str">
            <v xml:space="preserve">        Plating machine setters, operators, and tenders, metal and plastic</v>
          </cell>
          <cell r="C961" t="str">
            <v>Line item</v>
          </cell>
          <cell r="D961">
            <v>41600</v>
          </cell>
          <cell r="E961">
            <v>31.7</v>
          </cell>
          <cell r="F961">
            <v>27.4</v>
          </cell>
          <cell r="G961">
            <v>-4.3</v>
          </cell>
          <cell r="H961">
            <v>-13.6</v>
          </cell>
          <cell r="I961">
            <v>2.5</v>
          </cell>
          <cell r="J961" t="str">
            <v>High school diploma or equivalent</v>
          </cell>
          <cell r="K961" t="str">
            <v>None</v>
          </cell>
          <cell r="L961" t="str">
            <v>Moderate-term on-the-job training</v>
          </cell>
          <cell r="M961" t="str">
            <v>OOH Content</v>
          </cell>
        </row>
        <row r="962">
          <cell r="A962" t="str">
            <v>51-4194</v>
          </cell>
          <cell r="B962" t="str">
            <v xml:space="preserve">        Tool grinders, filers, and sharpeners</v>
          </cell>
          <cell r="C962" t="str">
            <v>Line item</v>
          </cell>
          <cell r="D962">
            <v>48970</v>
          </cell>
          <cell r="E962">
            <v>5.8</v>
          </cell>
          <cell r="F962">
            <v>5.4</v>
          </cell>
          <cell r="G962">
            <v>-0.5</v>
          </cell>
          <cell r="H962">
            <v>-7.8</v>
          </cell>
          <cell r="I962">
            <v>0.5</v>
          </cell>
          <cell r="J962" t="str">
            <v>High school diploma or equivalent</v>
          </cell>
          <cell r="K962" t="str">
            <v>None</v>
          </cell>
          <cell r="L962" t="str">
            <v>Moderate-term on-the-job training</v>
          </cell>
          <cell r="M962" t="str">
            <v>—</v>
          </cell>
        </row>
        <row r="963">
          <cell r="A963" t="str">
            <v>51-4199</v>
          </cell>
          <cell r="B963" t="str">
            <v xml:space="preserve">        Metal workers and plastic workers, all other</v>
          </cell>
          <cell r="C963" t="str">
            <v>Line item</v>
          </cell>
          <cell r="D963">
            <v>42750</v>
          </cell>
          <cell r="E963">
            <v>20.399999999999999</v>
          </cell>
          <cell r="F963">
            <v>18.5</v>
          </cell>
          <cell r="G963">
            <v>-1.9</v>
          </cell>
          <cell r="H963">
            <v>-9.5</v>
          </cell>
          <cell r="I963">
            <v>1.7</v>
          </cell>
          <cell r="J963" t="str">
            <v>High school diploma or equivalent</v>
          </cell>
          <cell r="K963" t="str">
            <v>None</v>
          </cell>
          <cell r="L963" t="str">
            <v>Moderate-term on-the-job training</v>
          </cell>
          <cell r="M963" t="str">
            <v>—</v>
          </cell>
        </row>
        <row r="964">
          <cell r="A964" t="str">
            <v>51-5100</v>
          </cell>
          <cell r="B964" t="str">
            <v xml:space="preserve">    Printing workers</v>
          </cell>
          <cell r="C964" t="str">
            <v>Summary</v>
          </cell>
          <cell r="D964">
            <v>44830</v>
          </cell>
          <cell r="E964">
            <v>212.1</v>
          </cell>
          <cell r="F964">
            <v>190.4</v>
          </cell>
          <cell r="G964">
            <v>-21.8</v>
          </cell>
          <cell r="H964">
            <v>-10.3</v>
          </cell>
          <cell r="I964">
            <v>19.3</v>
          </cell>
          <cell r="J964" t="str">
            <v>—</v>
          </cell>
          <cell r="K964" t="str">
            <v>—</v>
          </cell>
          <cell r="L964" t="str">
            <v>—</v>
          </cell>
          <cell r="M964" t="str">
            <v>—</v>
          </cell>
        </row>
        <row r="965">
          <cell r="A965" t="str">
            <v>51-5111</v>
          </cell>
          <cell r="B965" t="str">
            <v xml:space="preserve">      Prepress technicians and workers</v>
          </cell>
          <cell r="C965" t="str">
            <v>Line item</v>
          </cell>
          <cell r="D965">
            <v>47300</v>
          </cell>
          <cell r="E965">
            <v>26.2</v>
          </cell>
          <cell r="F965">
            <v>22.3</v>
          </cell>
          <cell r="G965">
            <v>-3.8</v>
          </cell>
          <cell r="H965">
            <v>-14.6</v>
          </cell>
          <cell r="I965">
            <v>2.8</v>
          </cell>
          <cell r="J965" t="str">
            <v>Postsecondary nondegree award</v>
          </cell>
          <cell r="K965" t="str">
            <v>None</v>
          </cell>
          <cell r="L965" t="str">
            <v>None</v>
          </cell>
          <cell r="M965" t="str">
            <v>—</v>
          </cell>
        </row>
        <row r="966">
          <cell r="A966" t="str">
            <v>51-5112</v>
          </cell>
          <cell r="B966" t="str">
            <v xml:space="preserve">      Printing press operators</v>
          </cell>
          <cell r="C966" t="str">
            <v>Line item</v>
          </cell>
          <cell r="D966">
            <v>45160</v>
          </cell>
          <cell r="E966">
            <v>150.19999999999999</v>
          </cell>
          <cell r="F966">
            <v>138</v>
          </cell>
          <cell r="G966">
            <v>-12.2</v>
          </cell>
          <cell r="H966">
            <v>-8.1</v>
          </cell>
          <cell r="I966">
            <v>13.7</v>
          </cell>
          <cell r="J966" t="str">
            <v>High school diploma or equivalent</v>
          </cell>
          <cell r="K966" t="str">
            <v>None</v>
          </cell>
          <cell r="L966" t="str">
            <v>Moderate-term on-the-job training</v>
          </cell>
          <cell r="M966" t="str">
            <v>—</v>
          </cell>
        </row>
        <row r="967">
          <cell r="A967" t="str">
            <v>51-5113</v>
          </cell>
          <cell r="B967" t="str">
            <v xml:space="preserve">      Print binding and finishing workers</v>
          </cell>
          <cell r="C967" t="str">
            <v>Line item</v>
          </cell>
          <cell r="D967">
            <v>39820</v>
          </cell>
          <cell r="E967">
            <v>35.799999999999997</v>
          </cell>
          <cell r="F967">
            <v>30</v>
          </cell>
          <cell r="G967">
            <v>-5.8</v>
          </cell>
          <cell r="H967">
            <v>-16.100000000000001</v>
          </cell>
          <cell r="I967">
            <v>2.8</v>
          </cell>
          <cell r="J967" t="str">
            <v>High school diploma or equivalent</v>
          </cell>
          <cell r="K967" t="str">
            <v>None</v>
          </cell>
          <cell r="L967" t="str">
            <v>Moderate-term on-the-job training</v>
          </cell>
          <cell r="M967" t="str">
            <v>—</v>
          </cell>
        </row>
        <row r="968">
          <cell r="A968" t="str">
            <v>51-6000</v>
          </cell>
          <cell r="B968" t="str">
            <v xml:space="preserve">    Textile, apparel, and furnishings workers</v>
          </cell>
          <cell r="C968" t="str">
            <v>Summary</v>
          </cell>
          <cell r="D968">
            <v>35580</v>
          </cell>
          <cell r="E968">
            <v>520.70000000000005</v>
          </cell>
          <cell r="F968">
            <v>504.2</v>
          </cell>
          <cell r="G968">
            <v>-16.5</v>
          </cell>
          <cell r="H968">
            <v>-3.2</v>
          </cell>
          <cell r="I968">
            <v>66.8</v>
          </cell>
          <cell r="J968" t="str">
            <v>—</v>
          </cell>
          <cell r="K968" t="str">
            <v>—</v>
          </cell>
          <cell r="L968" t="str">
            <v>—</v>
          </cell>
          <cell r="M968" t="str">
            <v>—</v>
          </cell>
        </row>
        <row r="969">
          <cell r="A969" t="str">
            <v>51-6011</v>
          </cell>
          <cell r="B969" t="str">
            <v xml:space="preserve">      Laundry and dry-cleaning workers</v>
          </cell>
          <cell r="C969" t="str">
            <v>Line item</v>
          </cell>
          <cell r="D969">
            <v>33800</v>
          </cell>
          <cell r="E969">
            <v>202.6</v>
          </cell>
          <cell r="F969">
            <v>213.5</v>
          </cell>
          <cell r="G969">
            <v>10.9</v>
          </cell>
          <cell r="H969">
            <v>5.4</v>
          </cell>
          <cell r="I969">
            <v>31.9</v>
          </cell>
          <cell r="J969" t="str">
            <v>No formal educational credential</v>
          </cell>
          <cell r="K969" t="str">
            <v>None</v>
          </cell>
          <cell r="L969" t="str">
            <v>Short-term on-the-job training</v>
          </cell>
          <cell r="M969" t="str">
            <v>—</v>
          </cell>
        </row>
        <row r="970">
          <cell r="A970" t="str">
            <v>51-6021</v>
          </cell>
          <cell r="B970" t="str">
            <v xml:space="preserve">      Pressers, textile, garment, and related materials</v>
          </cell>
          <cell r="C970" t="str">
            <v>Line item</v>
          </cell>
          <cell r="D970">
            <v>33880</v>
          </cell>
          <cell r="E970">
            <v>28.4</v>
          </cell>
          <cell r="F970">
            <v>24.6</v>
          </cell>
          <cell r="G970">
            <v>-3.8</v>
          </cell>
          <cell r="H970">
            <v>-13.5</v>
          </cell>
          <cell r="I970">
            <v>2.8</v>
          </cell>
          <cell r="J970" t="str">
            <v>No formal educational credential</v>
          </cell>
          <cell r="K970" t="str">
            <v>None</v>
          </cell>
          <cell r="L970" t="str">
            <v>Short-term on-the-job training</v>
          </cell>
          <cell r="M970" t="str">
            <v>—</v>
          </cell>
        </row>
        <row r="971">
          <cell r="A971" t="str">
            <v>51-6031</v>
          </cell>
          <cell r="B971" t="str">
            <v xml:space="preserve">      Sewing machine operators</v>
          </cell>
          <cell r="C971" t="str">
            <v>Line item</v>
          </cell>
          <cell r="D971">
            <v>36000</v>
          </cell>
          <cell r="E971">
            <v>124</v>
          </cell>
          <cell r="F971">
            <v>110.7</v>
          </cell>
          <cell r="G971">
            <v>-13.3</v>
          </cell>
          <cell r="H971">
            <v>-10.8</v>
          </cell>
          <cell r="I971">
            <v>13</v>
          </cell>
          <cell r="J971" t="str">
            <v>No formal educational credential</v>
          </cell>
          <cell r="K971" t="str">
            <v>None</v>
          </cell>
          <cell r="L971" t="str">
            <v>Short-term on-the-job training</v>
          </cell>
          <cell r="M971" t="str">
            <v>—</v>
          </cell>
        </row>
        <row r="972">
          <cell r="A972" t="str">
            <v>51-6040</v>
          </cell>
          <cell r="B972" t="str">
            <v xml:space="preserve">      Shoe and leather workers</v>
          </cell>
          <cell r="C972" t="str">
            <v>Summary</v>
          </cell>
          <cell r="D972">
            <v>36460</v>
          </cell>
          <cell r="E972">
            <v>13.6</v>
          </cell>
          <cell r="F972">
            <v>13.1</v>
          </cell>
          <cell r="G972">
            <v>-0.5</v>
          </cell>
          <cell r="H972">
            <v>-3.8</v>
          </cell>
          <cell r="I972">
            <v>1.3</v>
          </cell>
          <cell r="J972" t="str">
            <v>—</v>
          </cell>
          <cell r="K972" t="str">
            <v>—</v>
          </cell>
          <cell r="L972" t="str">
            <v>—</v>
          </cell>
          <cell r="M972" t="str">
            <v>—</v>
          </cell>
        </row>
        <row r="973">
          <cell r="A973" t="str">
            <v>51-6041</v>
          </cell>
          <cell r="B973" t="str">
            <v xml:space="preserve">        Shoe and leather workers and repairers</v>
          </cell>
          <cell r="C973" t="str">
            <v>Line item</v>
          </cell>
          <cell r="D973">
            <v>35950</v>
          </cell>
          <cell r="E973">
            <v>9.5</v>
          </cell>
          <cell r="F973">
            <v>9.1</v>
          </cell>
          <cell r="G973">
            <v>-0.4</v>
          </cell>
          <cell r="H973">
            <v>-3.8</v>
          </cell>
          <cell r="I973">
            <v>0.9</v>
          </cell>
          <cell r="J973" t="str">
            <v>High school diploma or equivalent</v>
          </cell>
          <cell r="K973" t="str">
            <v>None</v>
          </cell>
          <cell r="L973" t="str">
            <v>Moderate-term on-the-job training</v>
          </cell>
          <cell r="M973" t="str">
            <v>—</v>
          </cell>
        </row>
        <row r="974">
          <cell r="A974" t="str">
            <v>51-6042</v>
          </cell>
          <cell r="B974" t="str">
            <v xml:space="preserve">        Shoe machine operators and tenders</v>
          </cell>
          <cell r="C974" t="str">
            <v>Line item</v>
          </cell>
          <cell r="D974">
            <v>38160</v>
          </cell>
          <cell r="E974">
            <v>4.0999999999999996</v>
          </cell>
          <cell r="F974">
            <v>3.9</v>
          </cell>
          <cell r="G974">
            <v>-0.2</v>
          </cell>
          <cell r="H974">
            <v>-3.7</v>
          </cell>
          <cell r="I974">
            <v>0.4</v>
          </cell>
          <cell r="J974" t="str">
            <v>High school diploma or equivalent</v>
          </cell>
          <cell r="K974" t="str">
            <v>None</v>
          </cell>
          <cell r="L974" t="str">
            <v>Short-term on-the-job training</v>
          </cell>
          <cell r="M974" t="str">
            <v>—</v>
          </cell>
        </row>
        <row r="975">
          <cell r="A975" t="str">
            <v>51-6050</v>
          </cell>
          <cell r="B975" t="str">
            <v xml:space="preserve">      Tailors, dressmakers, and sewers</v>
          </cell>
          <cell r="C975" t="str">
            <v>Summary</v>
          </cell>
          <cell r="D975">
            <v>39590</v>
          </cell>
          <cell r="E975">
            <v>44.2</v>
          </cell>
          <cell r="F975">
            <v>42.1</v>
          </cell>
          <cell r="G975">
            <v>-2.1</v>
          </cell>
          <cell r="H975">
            <v>-4.8</v>
          </cell>
          <cell r="I975">
            <v>5.6</v>
          </cell>
          <cell r="J975" t="str">
            <v>—</v>
          </cell>
          <cell r="K975" t="str">
            <v>—</v>
          </cell>
          <cell r="L975" t="str">
            <v>—</v>
          </cell>
          <cell r="M975" t="str">
            <v>—</v>
          </cell>
        </row>
        <row r="976">
          <cell r="A976" t="str">
            <v>51-6051</v>
          </cell>
          <cell r="B976" t="str">
            <v xml:space="preserve">        Sewers, hand</v>
          </cell>
          <cell r="C976" t="str">
            <v>Line item</v>
          </cell>
          <cell r="D976">
            <v>33760</v>
          </cell>
          <cell r="E976">
            <v>5.4</v>
          </cell>
          <cell r="F976">
            <v>5</v>
          </cell>
          <cell r="G976">
            <v>-0.4</v>
          </cell>
          <cell r="H976">
            <v>-7</v>
          </cell>
          <cell r="I976">
            <v>0.7</v>
          </cell>
          <cell r="J976" t="str">
            <v>No formal educational credential</v>
          </cell>
          <cell r="K976" t="str">
            <v>None</v>
          </cell>
          <cell r="L976" t="str">
            <v>Moderate-term on-the-job training</v>
          </cell>
          <cell r="M976" t="str">
            <v>—</v>
          </cell>
        </row>
        <row r="977">
          <cell r="A977" t="str">
            <v>51-6052</v>
          </cell>
          <cell r="B977" t="str">
            <v xml:space="preserve">        Tailors, dressmakers, and custom sewers</v>
          </cell>
          <cell r="C977" t="str">
            <v>Line item</v>
          </cell>
          <cell r="D977">
            <v>40860</v>
          </cell>
          <cell r="E977">
            <v>38.799999999999997</v>
          </cell>
          <cell r="F977">
            <v>37.1</v>
          </cell>
          <cell r="G977">
            <v>-1.7</v>
          </cell>
          <cell r="H977">
            <v>-4.5</v>
          </cell>
          <cell r="I977">
            <v>5</v>
          </cell>
          <cell r="J977" t="str">
            <v>No formal educational credential</v>
          </cell>
          <cell r="K977" t="str">
            <v>None</v>
          </cell>
          <cell r="L977" t="str">
            <v>Moderate-term on-the-job training</v>
          </cell>
          <cell r="M977" t="str">
            <v>—</v>
          </cell>
        </row>
        <row r="978">
          <cell r="A978" t="str">
            <v>51-6060</v>
          </cell>
          <cell r="B978" t="str">
            <v xml:space="preserve">      Textile machine setters, operators, and tenders</v>
          </cell>
          <cell r="C978" t="str">
            <v>Summary</v>
          </cell>
          <cell r="D978">
            <v>37800</v>
          </cell>
          <cell r="E978">
            <v>52.5</v>
          </cell>
          <cell r="F978">
            <v>47.1</v>
          </cell>
          <cell r="G978">
            <v>-5.4</v>
          </cell>
          <cell r="H978">
            <v>-10.199999999999999</v>
          </cell>
          <cell r="I978">
            <v>5.9</v>
          </cell>
          <cell r="J978" t="str">
            <v>—</v>
          </cell>
          <cell r="K978" t="str">
            <v>—</v>
          </cell>
          <cell r="L978" t="str">
            <v>—</v>
          </cell>
          <cell r="M978" t="str">
            <v>—</v>
          </cell>
        </row>
        <row r="979">
          <cell r="A979" t="str">
            <v>51-6061</v>
          </cell>
          <cell r="B979" t="str">
            <v xml:space="preserve">        Textile bleaching and dyeing machine operators and tenders</v>
          </cell>
          <cell r="C979" t="str">
            <v>Line item</v>
          </cell>
          <cell r="D979">
            <v>37320</v>
          </cell>
          <cell r="E979">
            <v>6.2</v>
          </cell>
          <cell r="F979">
            <v>5.5</v>
          </cell>
          <cell r="G979">
            <v>-0.6</v>
          </cell>
          <cell r="H979">
            <v>-10.1</v>
          </cell>
          <cell r="I979">
            <v>0.7</v>
          </cell>
          <cell r="J979" t="str">
            <v>High school diploma or equivalent</v>
          </cell>
          <cell r="K979" t="str">
            <v>None</v>
          </cell>
          <cell r="L979" t="str">
            <v>Short-term on-the-job training</v>
          </cell>
          <cell r="M979" t="str">
            <v>—</v>
          </cell>
        </row>
        <row r="980">
          <cell r="A980" t="str">
            <v>51-6062</v>
          </cell>
          <cell r="B980" t="str">
            <v xml:space="preserve">        Textile cutting machine setters, operators, and tenders</v>
          </cell>
          <cell r="C980" t="str">
            <v>Line item</v>
          </cell>
          <cell r="D980">
            <v>37940</v>
          </cell>
          <cell r="E980">
            <v>9.3000000000000007</v>
          </cell>
          <cell r="F980">
            <v>8.1999999999999993</v>
          </cell>
          <cell r="G980">
            <v>-1.1000000000000001</v>
          </cell>
          <cell r="H980">
            <v>-11.7</v>
          </cell>
          <cell r="I980">
            <v>1</v>
          </cell>
          <cell r="J980" t="str">
            <v>High school diploma or equivalent</v>
          </cell>
          <cell r="K980" t="str">
            <v>None</v>
          </cell>
          <cell r="L980" t="str">
            <v>Moderate-term on-the-job training</v>
          </cell>
          <cell r="M980" t="str">
            <v>—</v>
          </cell>
        </row>
        <row r="981">
          <cell r="A981" t="str">
            <v>51-6063</v>
          </cell>
          <cell r="B981" t="str">
            <v xml:space="preserve">        Textile knitting and weaving machine setters, operators, and tenders</v>
          </cell>
          <cell r="C981" t="str">
            <v>Line item</v>
          </cell>
          <cell r="D981">
            <v>38260</v>
          </cell>
          <cell r="E981">
            <v>15.3</v>
          </cell>
          <cell r="F981">
            <v>13.6</v>
          </cell>
          <cell r="G981">
            <v>-1.7</v>
          </cell>
          <cell r="H981">
            <v>-11.2</v>
          </cell>
          <cell r="I981">
            <v>1.7</v>
          </cell>
          <cell r="J981" t="str">
            <v>High school diploma or equivalent</v>
          </cell>
          <cell r="K981" t="str">
            <v>None</v>
          </cell>
          <cell r="L981" t="str">
            <v>Short-term on-the-job training</v>
          </cell>
          <cell r="M981" t="str">
            <v>—</v>
          </cell>
        </row>
        <row r="982">
          <cell r="A982" t="str">
            <v>51-6064</v>
          </cell>
          <cell r="B982" t="str">
            <v xml:space="preserve">        Textile winding, twisting, and drawing out machine setters, operators, and tenders</v>
          </cell>
          <cell r="C982" t="str">
            <v>Line item</v>
          </cell>
          <cell r="D982">
            <v>37660</v>
          </cell>
          <cell r="E982">
            <v>21.7</v>
          </cell>
          <cell r="F982">
            <v>19.8</v>
          </cell>
          <cell r="G982">
            <v>-1.9</v>
          </cell>
          <cell r="H982">
            <v>-9</v>
          </cell>
          <cell r="I982">
            <v>2.5</v>
          </cell>
          <cell r="J982" t="str">
            <v>High school diploma or equivalent</v>
          </cell>
          <cell r="K982" t="str">
            <v>None</v>
          </cell>
          <cell r="L982" t="str">
            <v>Moderate-term on-the-job training</v>
          </cell>
          <cell r="M982" t="str">
            <v>—</v>
          </cell>
        </row>
        <row r="983">
          <cell r="A983" t="str">
            <v>51-6090</v>
          </cell>
          <cell r="B983" t="str">
            <v xml:space="preserve">      Miscellaneous textile, apparel, and furnishings workers</v>
          </cell>
          <cell r="C983" t="str">
            <v>Summary</v>
          </cell>
          <cell r="D983">
            <v>43670</v>
          </cell>
          <cell r="E983">
            <v>55.4</v>
          </cell>
          <cell r="F983">
            <v>53.1</v>
          </cell>
          <cell r="G983">
            <v>-2.2000000000000002</v>
          </cell>
          <cell r="H983">
            <v>-4</v>
          </cell>
          <cell r="I983">
            <v>6.3</v>
          </cell>
          <cell r="J983" t="str">
            <v>—</v>
          </cell>
          <cell r="K983" t="str">
            <v>—</v>
          </cell>
          <cell r="L983" t="str">
            <v>—</v>
          </cell>
          <cell r="M983" t="str">
            <v>—</v>
          </cell>
        </row>
        <row r="984">
          <cell r="A984" t="str">
            <v>51-6091</v>
          </cell>
          <cell r="B984" t="str">
            <v xml:space="preserve">        Extruding and forming machine setters, operators, and tenders, synthetic and glass fibers</v>
          </cell>
          <cell r="C984" t="str">
            <v>Line item</v>
          </cell>
          <cell r="D984">
            <v>44980</v>
          </cell>
          <cell r="E984">
            <v>15.2</v>
          </cell>
          <cell r="F984">
            <v>15</v>
          </cell>
          <cell r="G984">
            <v>-0.2</v>
          </cell>
          <cell r="H984">
            <v>-1.1000000000000001</v>
          </cell>
          <cell r="I984">
            <v>2</v>
          </cell>
          <cell r="J984" t="str">
            <v>High school diploma or equivalent</v>
          </cell>
          <cell r="K984" t="str">
            <v>None</v>
          </cell>
          <cell r="L984" t="str">
            <v>Moderate-term on-the-job training</v>
          </cell>
          <cell r="M984" t="str">
            <v>—</v>
          </cell>
        </row>
        <row r="985">
          <cell r="A985" t="str">
            <v>51-6092</v>
          </cell>
          <cell r="B985" t="str">
            <v xml:space="preserve">        Fabric and apparel patternmakers</v>
          </cell>
          <cell r="C985" t="str">
            <v>Line item</v>
          </cell>
          <cell r="D985">
            <v>67670</v>
          </cell>
          <cell r="E985">
            <v>2.8</v>
          </cell>
          <cell r="F985">
            <v>2.5</v>
          </cell>
          <cell r="G985">
            <v>-0.3</v>
          </cell>
          <cell r="H985">
            <v>-10.199999999999999</v>
          </cell>
          <cell r="I985">
            <v>0.3</v>
          </cell>
          <cell r="J985" t="str">
            <v>High school diploma or equivalent</v>
          </cell>
          <cell r="K985" t="str">
            <v>None</v>
          </cell>
          <cell r="L985" t="str">
            <v>Moderate-term on-the-job training</v>
          </cell>
          <cell r="M985" t="str">
            <v>—</v>
          </cell>
        </row>
        <row r="986">
          <cell r="A986" t="str">
            <v>51-6093</v>
          </cell>
          <cell r="B986" t="str">
            <v xml:space="preserve">        Upholsterers</v>
          </cell>
          <cell r="C986" t="str">
            <v>Line item</v>
          </cell>
          <cell r="D986">
            <v>46190</v>
          </cell>
          <cell r="E986">
            <v>22.7</v>
          </cell>
          <cell r="F986">
            <v>22.3</v>
          </cell>
          <cell r="G986">
            <v>-0.4</v>
          </cell>
          <cell r="H986">
            <v>-1.8</v>
          </cell>
          <cell r="I986">
            <v>2.2000000000000002</v>
          </cell>
          <cell r="J986" t="str">
            <v>High school diploma or equivalent</v>
          </cell>
          <cell r="K986" t="str">
            <v>None</v>
          </cell>
          <cell r="L986" t="str">
            <v>Moderate-term on-the-job training</v>
          </cell>
          <cell r="M986" t="str">
            <v>—</v>
          </cell>
        </row>
        <row r="987">
          <cell r="A987" t="str">
            <v>51-6099</v>
          </cell>
          <cell r="B987" t="str">
            <v xml:space="preserve">        Textile, apparel, and furnishings workers, all other</v>
          </cell>
          <cell r="C987" t="str">
            <v>Line item</v>
          </cell>
          <cell r="D987">
            <v>37010</v>
          </cell>
          <cell r="E987">
            <v>14.7</v>
          </cell>
          <cell r="F987">
            <v>13.3</v>
          </cell>
          <cell r="G987">
            <v>-1.4</v>
          </cell>
          <cell r="H987">
            <v>-9.4</v>
          </cell>
          <cell r="I987">
            <v>1.7</v>
          </cell>
          <cell r="J987" t="str">
            <v>High school diploma or equivalent</v>
          </cell>
          <cell r="K987" t="str">
            <v>None</v>
          </cell>
          <cell r="L987" t="str">
            <v>Short-term on-the-job training</v>
          </cell>
          <cell r="M987" t="str">
            <v>—</v>
          </cell>
        </row>
        <row r="988">
          <cell r="A988" t="str">
            <v>51-7000</v>
          </cell>
          <cell r="B988" t="str">
            <v xml:space="preserve">    Woodworkers</v>
          </cell>
          <cell r="C988" t="str">
            <v>Summary</v>
          </cell>
          <cell r="D988">
            <v>43640</v>
          </cell>
          <cell r="E988">
            <v>233.5</v>
          </cell>
          <cell r="F988">
            <v>229.3</v>
          </cell>
          <cell r="G988">
            <v>-4.3</v>
          </cell>
          <cell r="H988">
            <v>-1.8</v>
          </cell>
          <cell r="I988">
            <v>23.3</v>
          </cell>
          <cell r="J988" t="str">
            <v>—</v>
          </cell>
          <cell r="K988" t="str">
            <v>—</v>
          </cell>
          <cell r="L988" t="str">
            <v>—</v>
          </cell>
          <cell r="M988" t="str">
            <v>—</v>
          </cell>
        </row>
        <row r="989">
          <cell r="A989" t="str">
            <v>51-7011</v>
          </cell>
          <cell r="B989" t="str">
            <v xml:space="preserve">      Cabinetmakers and bench carpenters</v>
          </cell>
          <cell r="C989" t="str">
            <v>Line item</v>
          </cell>
          <cell r="D989">
            <v>46020</v>
          </cell>
          <cell r="E989">
            <v>86</v>
          </cell>
          <cell r="F989">
            <v>84.7</v>
          </cell>
          <cell r="G989">
            <v>-1.4</v>
          </cell>
          <cell r="H989">
            <v>-1.6</v>
          </cell>
          <cell r="I989">
            <v>8.1</v>
          </cell>
          <cell r="J989" t="str">
            <v>High school diploma or equivalent</v>
          </cell>
          <cell r="K989" t="str">
            <v>None</v>
          </cell>
          <cell r="L989" t="str">
            <v>Moderate-term on-the-job training</v>
          </cell>
          <cell r="M989" t="str">
            <v>OOH Content</v>
          </cell>
        </row>
        <row r="990">
          <cell r="A990" t="str">
            <v>51-7021</v>
          </cell>
          <cell r="B990" t="str">
            <v xml:space="preserve">      Furniture finishers</v>
          </cell>
          <cell r="C990" t="str">
            <v>Line item</v>
          </cell>
          <cell r="D990">
            <v>42530</v>
          </cell>
          <cell r="E990">
            <v>20.5</v>
          </cell>
          <cell r="F990">
            <v>19.8</v>
          </cell>
          <cell r="G990">
            <v>-0.7</v>
          </cell>
          <cell r="H990">
            <v>-3.3</v>
          </cell>
          <cell r="I990">
            <v>2</v>
          </cell>
          <cell r="J990" t="str">
            <v>High school diploma or equivalent</v>
          </cell>
          <cell r="K990" t="str">
            <v>None</v>
          </cell>
          <cell r="L990" t="str">
            <v>Short-term on-the-job training</v>
          </cell>
          <cell r="M990" t="str">
            <v>OOH Content</v>
          </cell>
        </row>
        <row r="991">
          <cell r="A991" t="str">
            <v>51-7030</v>
          </cell>
          <cell r="B991" t="str">
            <v xml:space="preserve">      Model makers and patternmakers, wood</v>
          </cell>
          <cell r="C991" t="str">
            <v>Summary</v>
          </cell>
          <cell r="D991">
            <v>51920</v>
          </cell>
          <cell r="E991">
            <v>1.4</v>
          </cell>
          <cell r="F991">
            <v>1.3</v>
          </cell>
          <cell r="G991">
            <v>-0.1</v>
          </cell>
          <cell r="H991">
            <v>-4.5999999999999996</v>
          </cell>
          <cell r="I991">
            <v>0.1</v>
          </cell>
          <cell r="J991" t="str">
            <v>—</v>
          </cell>
          <cell r="K991" t="str">
            <v>—</v>
          </cell>
          <cell r="L991" t="str">
            <v>—</v>
          </cell>
          <cell r="M991" t="str">
            <v>—</v>
          </cell>
        </row>
        <row r="992">
          <cell r="A992" t="str">
            <v>51-7031</v>
          </cell>
          <cell r="B992" t="str">
            <v xml:space="preserve">        Model makers, wood</v>
          </cell>
          <cell r="C992" t="str">
            <v>Line item</v>
          </cell>
          <cell r="D992">
            <v>51850</v>
          </cell>
          <cell r="E992">
            <v>0.9</v>
          </cell>
          <cell r="F992">
            <v>0.9</v>
          </cell>
          <cell r="G992">
            <v>0</v>
          </cell>
          <cell r="H992">
            <v>-4.5</v>
          </cell>
          <cell r="I992">
            <v>0.1</v>
          </cell>
          <cell r="J992" t="str">
            <v>High school diploma or equivalent</v>
          </cell>
          <cell r="K992" t="str">
            <v>None</v>
          </cell>
          <cell r="L992" t="str">
            <v>Moderate-term on-the-job training</v>
          </cell>
          <cell r="M992" t="str">
            <v>—</v>
          </cell>
        </row>
        <row r="993">
          <cell r="A993" t="str">
            <v>51-7032</v>
          </cell>
          <cell r="B993" t="str">
            <v xml:space="preserve">        Patternmakers, wood</v>
          </cell>
          <cell r="C993" t="str">
            <v>Line item</v>
          </cell>
          <cell r="D993">
            <v>52520</v>
          </cell>
          <cell r="E993">
            <v>0.5</v>
          </cell>
          <cell r="F993">
            <v>0.4</v>
          </cell>
          <cell r="G993">
            <v>0</v>
          </cell>
          <cell r="H993">
            <v>-5</v>
          </cell>
          <cell r="I993">
            <v>0</v>
          </cell>
          <cell r="J993" t="str">
            <v>High school diploma or equivalent</v>
          </cell>
          <cell r="K993" t="str">
            <v>None</v>
          </cell>
          <cell r="L993" t="str">
            <v>Moderate-term on-the-job training</v>
          </cell>
          <cell r="M993" t="str">
            <v>—</v>
          </cell>
        </row>
        <row r="994">
          <cell r="A994" t="str">
            <v>51-7040</v>
          </cell>
          <cell r="B994" t="str">
            <v xml:space="preserve">      Woodworking machine setters, operators, and tenders</v>
          </cell>
          <cell r="C994" t="str">
            <v>Summary</v>
          </cell>
          <cell r="D994">
            <v>40300</v>
          </cell>
          <cell r="E994">
            <v>108</v>
          </cell>
          <cell r="F994">
            <v>106.6</v>
          </cell>
          <cell r="G994">
            <v>-1.4</v>
          </cell>
          <cell r="H994">
            <v>-1.3</v>
          </cell>
          <cell r="I994">
            <v>11.2</v>
          </cell>
          <cell r="J994" t="str">
            <v>—</v>
          </cell>
          <cell r="K994" t="str">
            <v>—</v>
          </cell>
          <cell r="L994" t="str">
            <v>—</v>
          </cell>
          <cell r="M994" t="str">
            <v>—</v>
          </cell>
        </row>
        <row r="995">
          <cell r="A995" t="str">
            <v>51-7041</v>
          </cell>
          <cell r="B995" t="str">
            <v xml:space="preserve">        Sawing machine setters, operators, and tenders, wood</v>
          </cell>
          <cell r="C995" t="str">
            <v>Line item</v>
          </cell>
          <cell r="D995">
            <v>39950</v>
          </cell>
          <cell r="E995">
            <v>45</v>
          </cell>
          <cell r="F995">
            <v>44.7</v>
          </cell>
          <cell r="G995">
            <v>-0.3</v>
          </cell>
          <cell r="H995">
            <v>-0.6</v>
          </cell>
          <cell r="I995">
            <v>4.8</v>
          </cell>
          <cell r="J995" t="str">
            <v>High school diploma or equivalent</v>
          </cell>
          <cell r="K995" t="str">
            <v>None</v>
          </cell>
          <cell r="L995" t="str">
            <v>Moderate-term on-the-job training</v>
          </cell>
          <cell r="M995" t="str">
            <v>OOH Content</v>
          </cell>
        </row>
        <row r="996">
          <cell r="A996" t="str">
            <v>51-7042</v>
          </cell>
          <cell r="B996" t="str">
            <v xml:space="preserve">        Woodworking machine setters, operators, and tenders, except sawing</v>
          </cell>
          <cell r="C996" t="str">
            <v>Line item</v>
          </cell>
          <cell r="D996">
            <v>40440</v>
          </cell>
          <cell r="E996">
            <v>63.1</v>
          </cell>
          <cell r="F996">
            <v>61.9</v>
          </cell>
          <cell r="G996">
            <v>-1.1000000000000001</v>
          </cell>
          <cell r="H996">
            <v>-1.8</v>
          </cell>
          <cell r="I996">
            <v>6.4</v>
          </cell>
          <cell r="J996" t="str">
            <v>High school diploma or equivalent</v>
          </cell>
          <cell r="K996" t="str">
            <v>None</v>
          </cell>
          <cell r="L996" t="str">
            <v>Moderate-term on-the-job training</v>
          </cell>
          <cell r="M996" t="str">
            <v>OOH Content</v>
          </cell>
        </row>
        <row r="997">
          <cell r="A997" t="str">
            <v>51-7099</v>
          </cell>
          <cell r="B997" t="str">
            <v xml:space="preserve">      Woodworkers, all other</v>
          </cell>
          <cell r="C997" t="str">
            <v>Line item</v>
          </cell>
          <cell r="D997">
            <v>41220</v>
          </cell>
          <cell r="E997">
            <v>17.600000000000001</v>
          </cell>
          <cell r="F997">
            <v>16.8</v>
          </cell>
          <cell r="G997">
            <v>-0.8</v>
          </cell>
          <cell r="H997">
            <v>-4.4000000000000004</v>
          </cell>
          <cell r="I997">
            <v>1.8</v>
          </cell>
          <cell r="J997" t="str">
            <v>High school diploma or equivalent</v>
          </cell>
          <cell r="K997" t="str">
            <v>None</v>
          </cell>
          <cell r="L997" t="str">
            <v>Moderate-term on-the-job training</v>
          </cell>
          <cell r="M997" t="str">
            <v>—</v>
          </cell>
        </row>
        <row r="998">
          <cell r="A998" t="str">
            <v>51-8000</v>
          </cell>
          <cell r="B998" t="str">
            <v xml:space="preserve">    Plant and system operators</v>
          </cell>
          <cell r="C998" t="str">
            <v>Summary</v>
          </cell>
          <cell r="D998">
            <v>70740</v>
          </cell>
          <cell r="E998">
            <v>297.89999999999998</v>
          </cell>
          <cell r="F998">
            <v>282</v>
          </cell>
          <cell r="G998">
            <v>-15.9</v>
          </cell>
          <cell r="H998">
            <v>-5.3</v>
          </cell>
          <cell r="I998">
            <v>25.8</v>
          </cell>
          <cell r="J998" t="str">
            <v>—</v>
          </cell>
          <cell r="K998" t="str">
            <v>—</v>
          </cell>
          <cell r="L998" t="str">
            <v>—</v>
          </cell>
          <cell r="M998" t="str">
            <v>—</v>
          </cell>
        </row>
        <row r="999">
          <cell r="A999" t="str">
            <v>51-8010</v>
          </cell>
          <cell r="B999" t="str">
            <v xml:space="preserve">      Power plant operators, distributors, and dispatchers</v>
          </cell>
          <cell r="C999" t="str">
            <v>Summary</v>
          </cell>
          <cell r="D999">
            <v>103600</v>
          </cell>
          <cell r="E999">
            <v>46.6</v>
          </cell>
          <cell r="F999">
            <v>41.9</v>
          </cell>
          <cell r="G999">
            <v>-4.7</v>
          </cell>
          <cell r="H999">
            <v>-10.1</v>
          </cell>
          <cell r="I999">
            <v>3.8</v>
          </cell>
          <cell r="J999" t="str">
            <v>—</v>
          </cell>
          <cell r="K999" t="str">
            <v>—</v>
          </cell>
          <cell r="L999" t="str">
            <v>—</v>
          </cell>
          <cell r="M999" t="str">
            <v>—</v>
          </cell>
        </row>
        <row r="1000">
          <cell r="A1000" t="str">
            <v>51-8011</v>
          </cell>
          <cell r="B1000" t="str">
            <v xml:space="preserve">        Nuclear power reactor operators</v>
          </cell>
          <cell r="C1000" t="str">
            <v>Line item</v>
          </cell>
          <cell r="D1000">
            <v>122610</v>
          </cell>
          <cell r="E1000">
            <v>5.7</v>
          </cell>
          <cell r="F1000">
            <v>4.9000000000000004</v>
          </cell>
          <cell r="G1000">
            <v>-0.9</v>
          </cell>
          <cell r="H1000">
            <v>-15.3</v>
          </cell>
          <cell r="I1000">
            <v>0.4</v>
          </cell>
          <cell r="J1000" t="str">
            <v>High school diploma or equivalent</v>
          </cell>
          <cell r="K1000" t="str">
            <v>None</v>
          </cell>
          <cell r="L1000" t="str">
            <v>Long-term on-the-job training</v>
          </cell>
          <cell r="M1000" t="str">
            <v>OOH Content</v>
          </cell>
        </row>
        <row r="1001">
          <cell r="A1001" t="str">
            <v>51-8012</v>
          </cell>
          <cell r="B1001" t="str">
            <v xml:space="preserve">        Power distributors and dispatchers</v>
          </cell>
          <cell r="C1001" t="str">
            <v>Line item</v>
          </cell>
          <cell r="D1001">
            <v>107240</v>
          </cell>
          <cell r="E1001">
            <v>9.3000000000000007</v>
          </cell>
          <cell r="F1001">
            <v>9</v>
          </cell>
          <cell r="G1001">
            <v>-0.3</v>
          </cell>
          <cell r="H1001">
            <v>-3.2</v>
          </cell>
          <cell r="I1001">
            <v>0.8</v>
          </cell>
          <cell r="J1001" t="str">
            <v>High school diploma or equivalent</v>
          </cell>
          <cell r="K1001" t="str">
            <v>None</v>
          </cell>
          <cell r="L1001" t="str">
            <v>Long-term on-the-job training</v>
          </cell>
          <cell r="M1001" t="str">
            <v>OOH Content</v>
          </cell>
        </row>
        <row r="1002">
          <cell r="A1002" t="str">
            <v>51-8013</v>
          </cell>
          <cell r="B1002" t="str">
            <v xml:space="preserve">        Power plant operators</v>
          </cell>
          <cell r="C1002" t="str">
            <v>Line item</v>
          </cell>
          <cell r="D1002">
            <v>99670</v>
          </cell>
          <cell r="E1002">
            <v>31.6</v>
          </cell>
          <cell r="F1002">
            <v>28</v>
          </cell>
          <cell r="G1002">
            <v>-3.5</v>
          </cell>
          <cell r="H1002">
            <v>-11.2</v>
          </cell>
          <cell r="I1002">
            <v>2.5</v>
          </cell>
          <cell r="J1002" t="str">
            <v>High school diploma or equivalent</v>
          </cell>
          <cell r="K1002" t="str">
            <v>None</v>
          </cell>
          <cell r="L1002" t="str">
            <v>Long-term on-the-job training</v>
          </cell>
          <cell r="M1002" t="str">
            <v>OOH Content</v>
          </cell>
        </row>
        <row r="1003">
          <cell r="A1003" t="str">
            <v>51-8021</v>
          </cell>
          <cell r="B1003" t="str">
            <v xml:space="preserve">      Stationary engineers and boiler operators</v>
          </cell>
          <cell r="C1003" t="str">
            <v>Line item</v>
          </cell>
          <cell r="D1003">
            <v>75190</v>
          </cell>
          <cell r="E1003">
            <v>33.299999999999997</v>
          </cell>
          <cell r="F1003">
            <v>34</v>
          </cell>
          <cell r="G1003">
            <v>0.7</v>
          </cell>
          <cell r="H1003">
            <v>2.2000000000000002</v>
          </cell>
          <cell r="I1003">
            <v>3.8</v>
          </cell>
          <cell r="J1003" t="str">
            <v>High school diploma or equivalent</v>
          </cell>
          <cell r="K1003" t="str">
            <v>None</v>
          </cell>
          <cell r="L1003" t="str">
            <v>Long-term on-the-job training</v>
          </cell>
          <cell r="M1003" t="str">
            <v>OOH Content</v>
          </cell>
        </row>
        <row r="1004">
          <cell r="A1004" t="str">
            <v>51-8031</v>
          </cell>
          <cell r="B1004" t="str">
            <v xml:space="preserve">      Water and wastewater treatment plant and system operators</v>
          </cell>
          <cell r="C1004" t="str">
            <v>Line item</v>
          </cell>
          <cell r="D1004">
            <v>58260</v>
          </cell>
          <cell r="E1004">
            <v>132.4</v>
          </cell>
          <cell r="F1004">
            <v>123.8</v>
          </cell>
          <cell r="G1004">
            <v>-8.6999999999999993</v>
          </cell>
          <cell r="H1004">
            <v>-6.5</v>
          </cell>
          <cell r="I1004">
            <v>10.7</v>
          </cell>
          <cell r="J1004" t="str">
            <v>High school diploma or equivalent</v>
          </cell>
          <cell r="K1004" t="str">
            <v>None</v>
          </cell>
          <cell r="L1004" t="str">
            <v>Long-term on-the-job training</v>
          </cell>
          <cell r="M1004" t="str">
            <v>OOH Content</v>
          </cell>
        </row>
        <row r="1005">
          <cell r="A1005" t="str">
            <v>51-8090</v>
          </cell>
          <cell r="B1005" t="str">
            <v xml:space="preserve">      Miscellaneous plant and system operators</v>
          </cell>
          <cell r="C1005" t="str">
            <v>Summary</v>
          </cell>
          <cell r="D1005">
            <v>81930</v>
          </cell>
          <cell r="E1005">
            <v>85.6</v>
          </cell>
          <cell r="F1005">
            <v>82.3</v>
          </cell>
          <cell r="G1005">
            <v>-3.2</v>
          </cell>
          <cell r="H1005">
            <v>-3.8</v>
          </cell>
          <cell r="I1005">
            <v>7.6</v>
          </cell>
          <cell r="J1005" t="str">
            <v>—</v>
          </cell>
          <cell r="K1005" t="str">
            <v>—</v>
          </cell>
          <cell r="L1005" t="str">
            <v>—</v>
          </cell>
          <cell r="M1005" t="str">
            <v>—</v>
          </cell>
        </row>
        <row r="1006">
          <cell r="A1006" t="str">
            <v>51-8091</v>
          </cell>
          <cell r="B1006" t="str">
            <v xml:space="preserve">        Chemical plant and system operators</v>
          </cell>
          <cell r="C1006" t="str">
            <v>Line item</v>
          </cell>
          <cell r="D1006">
            <v>73540</v>
          </cell>
          <cell r="E1006">
            <v>18.100000000000001</v>
          </cell>
          <cell r="F1006">
            <v>17</v>
          </cell>
          <cell r="G1006">
            <v>-1.1000000000000001</v>
          </cell>
          <cell r="H1006">
            <v>-6.1</v>
          </cell>
          <cell r="I1006">
            <v>1.6</v>
          </cell>
          <cell r="J1006" t="str">
            <v>High school diploma or equivalent</v>
          </cell>
          <cell r="K1006" t="str">
            <v>None</v>
          </cell>
          <cell r="L1006" t="str">
            <v>Moderate-term on-the-job training</v>
          </cell>
          <cell r="M1006" t="str">
            <v>—</v>
          </cell>
        </row>
        <row r="1007">
          <cell r="A1007" t="str">
            <v>51-8092</v>
          </cell>
          <cell r="B1007" t="str">
            <v xml:space="preserve">        Gas plant operators</v>
          </cell>
          <cell r="C1007" t="str">
            <v>Line item</v>
          </cell>
          <cell r="D1007">
            <v>83400</v>
          </cell>
          <cell r="E1007">
            <v>16.2</v>
          </cell>
          <cell r="F1007">
            <v>14.8</v>
          </cell>
          <cell r="G1007">
            <v>-1.4</v>
          </cell>
          <cell r="H1007">
            <v>-8.8000000000000007</v>
          </cell>
          <cell r="I1007">
            <v>1.3</v>
          </cell>
          <cell r="J1007" t="str">
            <v>High school diploma or equivalent</v>
          </cell>
          <cell r="K1007" t="str">
            <v>None</v>
          </cell>
          <cell r="L1007" t="str">
            <v>Long-term on-the-job training</v>
          </cell>
          <cell r="M1007" t="str">
            <v>—</v>
          </cell>
        </row>
        <row r="1008">
          <cell r="A1008" t="str">
            <v>51-8093</v>
          </cell>
          <cell r="B1008" t="str">
            <v xml:space="preserve">        Petroleum pump system operators, refinery operators, and gaugers</v>
          </cell>
          <cell r="C1008" t="str">
            <v>Line item</v>
          </cell>
          <cell r="D1008">
            <v>97540</v>
          </cell>
          <cell r="E1008">
            <v>34.9</v>
          </cell>
          <cell r="F1008">
            <v>34</v>
          </cell>
          <cell r="G1008">
            <v>-1</v>
          </cell>
          <cell r="H1008">
            <v>-2.8</v>
          </cell>
          <cell r="I1008">
            <v>3.2</v>
          </cell>
          <cell r="J1008" t="str">
            <v>High school diploma or equivalent</v>
          </cell>
          <cell r="K1008" t="str">
            <v>None</v>
          </cell>
          <cell r="L1008" t="str">
            <v>Moderate-term on-the-job training</v>
          </cell>
          <cell r="M1008" t="str">
            <v>—</v>
          </cell>
        </row>
        <row r="1009">
          <cell r="A1009" t="str">
            <v>51-8099</v>
          </cell>
          <cell r="B1009" t="str">
            <v xml:space="preserve">        Plant and system operators, all other</v>
          </cell>
          <cell r="C1009" t="str">
            <v>Line item</v>
          </cell>
          <cell r="D1009">
            <v>61710</v>
          </cell>
          <cell r="E1009">
            <v>16.3</v>
          </cell>
          <cell r="F1009">
            <v>16.600000000000001</v>
          </cell>
          <cell r="G1009">
            <v>0.3</v>
          </cell>
          <cell r="H1009">
            <v>1.6</v>
          </cell>
          <cell r="I1009">
            <v>1.6</v>
          </cell>
          <cell r="J1009" t="str">
            <v>High school diploma or equivalent</v>
          </cell>
          <cell r="K1009" t="str">
            <v>None</v>
          </cell>
          <cell r="L1009" t="str">
            <v>Moderate-term on-the-job training</v>
          </cell>
          <cell r="M1009" t="str">
            <v>—</v>
          </cell>
        </row>
        <row r="1010">
          <cell r="A1010" t="str">
            <v>51-9000</v>
          </cell>
          <cell r="B1010" t="str">
            <v xml:space="preserve">    Other production occupations</v>
          </cell>
          <cell r="C1010" t="str">
            <v>Summary</v>
          </cell>
          <cell r="D1010">
            <v>45970</v>
          </cell>
          <cell r="E1010">
            <v>2622.3</v>
          </cell>
          <cell r="F1010">
            <v>2601.5</v>
          </cell>
          <cell r="G1010">
            <v>-20.8</v>
          </cell>
          <cell r="H1010">
            <v>-0.8</v>
          </cell>
          <cell r="I1010">
            <v>286.89999999999998</v>
          </cell>
          <cell r="J1010" t="str">
            <v>—</v>
          </cell>
          <cell r="K1010" t="str">
            <v>—</v>
          </cell>
          <cell r="L1010" t="str">
            <v>—</v>
          </cell>
          <cell r="M1010" t="str">
            <v>—</v>
          </cell>
        </row>
        <row r="1011">
          <cell r="A1011" t="str">
            <v>51-9010</v>
          </cell>
          <cell r="B1011" t="str">
            <v xml:space="preserve">      Chemical processing machine setters, operators, and tenders</v>
          </cell>
          <cell r="C1011" t="str">
            <v>Summary</v>
          </cell>
          <cell r="D1011">
            <v>54110</v>
          </cell>
          <cell r="E1011">
            <v>183.2</v>
          </cell>
          <cell r="F1011">
            <v>185.2</v>
          </cell>
          <cell r="G1011">
            <v>1.9</v>
          </cell>
          <cell r="H1011">
            <v>1</v>
          </cell>
          <cell r="I1011">
            <v>19.8</v>
          </cell>
          <cell r="J1011" t="str">
            <v>—</v>
          </cell>
          <cell r="K1011" t="str">
            <v>—</v>
          </cell>
          <cell r="L1011" t="str">
            <v>—</v>
          </cell>
          <cell r="M1011" t="str">
            <v>—</v>
          </cell>
        </row>
        <row r="1012">
          <cell r="A1012" t="str">
            <v>51-9011</v>
          </cell>
          <cell r="B1012" t="str">
            <v xml:space="preserve">        Chemical equipment operators and tenders</v>
          </cell>
          <cell r="C1012" t="str">
            <v>Line item</v>
          </cell>
          <cell r="D1012">
            <v>57090</v>
          </cell>
          <cell r="E1012">
            <v>128.9</v>
          </cell>
          <cell r="F1012">
            <v>133.1</v>
          </cell>
          <cell r="G1012">
            <v>4.3</v>
          </cell>
          <cell r="H1012">
            <v>3.3</v>
          </cell>
          <cell r="I1012">
            <v>14.4</v>
          </cell>
          <cell r="J1012" t="str">
            <v>High school diploma or equivalent</v>
          </cell>
          <cell r="K1012" t="str">
            <v>None</v>
          </cell>
          <cell r="L1012" t="str">
            <v>Moderate-term on-the-job training</v>
          </cell>
          <cell r="M1012" t="str">
            <v>—</v>
          </cell>
        </row>
        <row r="1013">
          <cell r="A1013" t="str">
            <v>51-9012</v>
          </cell>
          <cell r="B1013" t="str">
            <v xml:space="preserve">        Separating, filtering, clarifying, precipitating, and still machine setters, operators, and tenders</v>
          </cell>
          <cell r="C1013" t="str">
            <v>Line item</v>
          </cell>
          <cell r="D1013">
            <v>49500</v>
          </cell>
          <cell r="E1013">
            <v>54.4</v>
          </cell>
          <cell r="F1013">
            <v>52</v>
          </cell>
          <cell r="G1013">
            <v>-2.2999999999999998</v>
          </cell>
          <cell r="H1013">
            <v>-4.3</v>
          </cell>
          <cell r="I1013">
            <v>5.4</v>
          </cell>
          <cell r="J1013" t="str">
            <v>High school diploma or equivalent</v>
          </cell>
          <cell r="K1013" t="str">
            <v>None</v>
          </cell>
          <cell r="L1013" t="str">
            <v>Moderate-term on-the-job training</v>
          </cell>
          <cell r="M1013" t="str">
            <v>—</v>
          </cell>
        </row>
        <row r="1014">
          <cell r="A1014" t="str">
            <v>51-9020</v>
          </cell>
          <cell r="B1014" t="str">
            <v xml:space="preserve">      Crushing, grinding, polishing, mixing, and blending workers</v>
          </cell>
          <cell r="C1014" t="str">
            <v>Summary</v>
          </cell>
          <cell r="D1014">
            <v>47110</v>
          </cell>
          <cell r="E1014">
            <v>141.5</v>
          </cell>
          <cell r="F1014">
            <v>131.5</v>
          </cell>
          <cell r="G1014">
            <v>-10.1</v>
          </cell>
          <cell r="H1014">
            <v>-7.1</v>
          </cell>
          <cell r="I1014">
            <v>12.3</v>
          </cell>
          <cell r="J1014" t="str">
            <v>—</v>
          </cell>
          <cell r="K1014" t="str">
            <v>—</v>
          </cell>
          <cell r="L1014" t="str">
            <v>—</v>
          </cell>
          <cell r="M1014" t="str">
            <v>—</v>
          </cell>
        </row>
        <row r="1015">
          <cell r="A1015" t="str">
            <v>51-9021</v>
          </cell>
          <cell r="B1015" t="str">
            <v xml:space="preserve">        Crushing, grinding, and polishing machine setters, operators, and tenders</v>
          </cell>
          <cell r="C1015" t="str">
            <v>Line item</v>
          </cell>
          <cell r="D1015">
            <v>46890</v>
          </cell>
          <cell r="E1015">
            <v>28.7</v>
          </cell>
          <cell r="F1015">
            <v>27.9</v>
          </cell>
          <cell r="G1015">
            <v>-0.7</v>
          </cell>
          <cell r="H1015">
            <v>-2.5</v>
          </cell>
          <cell r="I1015">
            <v>2.7</v>
          </cell>
          <cell r="J1015" t="str">
            <v>High school diploma or equivalent</v>
          </cell>
          <cell r="K1015" t="str">
            <v>None</v>
          </cell>
          <cell r="L1015" t="str">
            <v>Moderate-term on-the-job training</v>
          </cell>
          <cell r="M1015" t="str">
            <v>—</v>
          </cell>
        </row>
        <row r="1016">
          <cell r="A1016" t="str">
            <v>51-9022</v>
          </cell>
          <cell r="B1016" t="str">
            <v xml:space="preserve">        Grinding and polishing workers, hand</v>
          </cell>
          <cell r="C1016" t="str">
            <v>Line item</v>
          </cell>
          <cell r="D1016">
            <v>41690</v>
          </cell>
          <cell r="E1016">
            <v>11.8</v>
          </cell>
          <cell r="F1016">
            <v>9.3000000000000007</v>
          </cell>
          <cell r="G1016">
            <v>-2.5</v>
          </cell>
          <cell r="H1016">
            <v>-21.2</v>
          </cell>
          <cell r="I1016">
            <v>0.8</v>
          </cell>
          <cell r="J1016" t="str">
            <v>No formal educational credential</v>
          </cell>
          <cell r="K1016" t="str">
            <v>None</v>
          </cell>
          <cell r="L1016" t="str">
            <v>Moderate-term on-the-job training</v>
          </cell>
          <cell r="M1016" t="str">
            <v>—</v>
          </cell>
        </row>
        <row r="1017">
          <cell r="A1017" t="str">
            <v>51-9023</v>
          </cell>
          <cell r="B1017" t="str">
            <v xml:space="preserve">        Mixing and blending machine setters, operators, and tenders</v>
          </cell>
          <cell r="C1017" t="str">
            <v>Line item</v>
          </cell>
          <cell r="D1017">
            <v>47680</v>
          </cell>
          <cell r="E1017">
            <v>101.1</v>
          </cell>
          <cell r="F1017">
            <v>94.3</v>
          </cell>
          <cell r="G1017">
            <v>-6.8</v>
          </cell>
          <cell r="H1017">
            <v>-6.8</v>
          </cell>
          <cell r="I1017">
            <v>8.8000000000000007</v>
          </cell>
          <cell r="J1017" t="str">
            <v>High school diploma or equivalent</v>
          </cell>
          <cell r="K1017" t="str">
            <v>None</v>
          </cell>
          <cell r="L1017" t="str">
            <v>Moderate-term on-the-job training</v>
          </cell>
          <cell r="M1017" t="str">
            <v>—</v>
          </cell>
        </row>
        <row r="1018">
          <cell r="A1018" t="str">
            <v>51-9030</v>
          </cell>
          <cell r="B1018" t="str">
            <v xml:space="preserve">      Cutting workers</v>
          </cell>
          <cell r="C1018" t="str">
            <v>Summary</v>
          </cell>
          <cell r="D1018">
            <v>45140</v>
          </cell>
          <cell r="E1018">
            <v>56</v>
          </cell>
          <cell r="F1018">
            <v>53.6</v>
          </cell>
          <cell r="G1018">
            <v>-2.4</v>
          </cell>
          <cell r="H1018">
            <v>-4.3</v>
          </cell>
          <cell r="I1018">
            <v>5.9</v>
          </cell>
          <cell r="J1018" t="str">
            <v>—</v>
          </cell>
          <cell r="K1018" t="str">
            <v>—</v>
          </cell>
          <cell r="L1018" t="str">
            <v>—</v>
          </cell>
          <cell r="M1018" t="str">
            <v>—</v>
          </cell>
        </row>
        <row r="1019">
          <cell r="A1019" t="str">
            <v>51-9031</v>
          </cell>
          <cell r="B1019" t="str">
            <v xml:space="preserve">        Cutters and trimmers, hand</v>
          </cell>
          <cell r="C1019" t="str">
            <v>Line item</v>
          </cell>
          <cell r="D1019">
            <v>38800</v>
          </cell>
          <cell r="E1019">
            <v>7</v>
          </cell>
          <cell r="F1019">
            <v>5.7</v>
          </cell>
          <cell r="G1019">
            <v>-1.3</v>
          </cell>
          <cell r="H1019">
            <v>-18.100000000000001</v>
          </cell>
          <cell r="I1019">
            <v>0.6</v>
          </cell>
          <cell r="J1019" t="str">
            <v>No formal educational credential</v>
          </cell>
          <cell r="K1019" t="str">
            <v>None</v>
          </cell>
          <cell r="L1019" t="str">
            <v>Short-term on-the-job training</v>
          </cell>
          <cell r="M1019" t="str">
            <v>—</v>
          </cell>
        </row>
        <row r="1020">
          <cell r="A1020" t="str">
            <v>51-9032</v>
          </cell>
          <cell r="B1020" t="str">
            <v xml:space="preserve">        Cutting and slicing machine setters, operators, and tenders</v>
          </cell>
          <cell r="C1020" t="str">
            <v>Line item</v>
          </cell>
          <cell r="D1020">
            <v>45700</v>
          </cell>
          <cell r="E1020">
            <v>49</v>
          </cell>
          <cell r="F1020">
            <v>47.9</v>
          </cell>
          <cell r="G1020">
            <v>-1.1000000000000001</v>
          </cell>
          <cell r="H1020">
            <v>-2.2999999999999998</v>
          </cell>
          <cell r="I1020">
            <v>5.3</v>
          </cell>
          <cell r="J1020" t="str">
            <v>High school diploma or equivalent</v>
          </cell>
          <cell r="K1020" t="str">
            <v>None</v>
          </cell>
          <cell r="L1020" t="str">
            <v>Moderate-term on-the-job training</v>
          </cell>
          <cell r="M1020" t="str">
            <v>—</v>
          </cell>
        </row>
        <row r="1021">
          <cell r="A1021" t="str">
            <v>51-9041</v>
          </cell>
          <cell r="B1021" t="str">
            <v xml:space="preserve">      Extruding, forming, pressing, and compacting machine setters, operators, and tenders</v>
          </cell>
          <cell r="C1021" t="str">
            <v>Line item</v>
          </cell>
          <cell r="D1021">
            <v>45130</v>
          </cell>
          <cell r="E1021">
            <v>57.3</v>
          </cell>
          <cell r="F1021">
            <v>58.4</v>
          </cell>
          <cell r="G1021">
            <v>1.1000000000000001</v>
          </cell>
          <cell r="H1021">
            <v>2</v>
          </cell>
          <cell r="I1021">
            <v>5.2</v>
          </cell>
          <cell r="J1021" t="str">
            <v>High school diploma or equivalent</v>
          </cell>
          <cell r="K1021" t="str">
            <v>None</v>
          </cell>
          <cell r="L1021" t="str">
            <v>Moderate-term on-the-job training</v>
          </cell>
          <cell r="M1021" t="str">
            <v>—</v>
          </cell>
        </row>
        <row r="1022">
          <cell r="A1022" t="str">
            <v>51-9051</v>
          </cell>
          <cell r="B1022" t="str">
            <v xml:space="preserve">      Furnace, kiln, oven, drier, and kettle operators and tenders</v>
          </cell>
          <cell r="C1022" t="str">
            <v>Line item</v>
          </cell>
          <cell r="D1022">
            <v>47010</v>
          </cell>
          <cell r="E1022">
            <v>16.5</v>
          </cell>
          <cell r="F1022">
            <v>17</v>
          </cell>
          <cell r="G1022">
            <v>0.5</v>
          </cell>
          <cell r="H1022">
            <v>3</v>
          </cell>
          <cell r="I1022">
            <v>1.9</v>
          </cell>
          <cell r="J1022" t="str">
            <v>High school diploma or equivalent</v>
          </cell>
          <cell r="K1022" t="str">
            <v>None</v>
          </cell>
          <cell r="L1022" t="str">
            <v>Moderate-term on-the-job training</v>
          </cell>
          <cell r="M1022" t="str">
            <v>—</v>
          </cell>
        </row>
        <row r="1023">
          <cell r="A1023" t="str">
            <v>51-9061</v>
          </cell>
          <cell r="B1023" t="str">
            <v xml:space="preserve">      Inspectors, testers, sorters, samplers, and weighers</v>
          </cell>
          <cell r="C1023" t="str">
            <v>Line item</v>
          </cell>
          <cell r="D1023">
            <v>47460</v>
          </cell>
          <cell r="E1023">
            <v>598</v>
          </cell>
          <cell r="F1023">
            <v>598.1</v>
          </cell>
          <cell r="G1023">
            <v>0.1</v>
          </cell>
          <cell r="H1023">
            <v>0</v>
          </cell>
          <cell r="I1023">
            <v>69.900000000000006</v>
          </cell>
          <cell r="J1023" t="str">
            <v>High school diploma or equivalent</v>
          </cell>
          <cell r="K1023" t="str">
            <v>None</v>
          </cell>
          <cell r="L1023" t="str">
            <v>Moderate-term on-the-job training</v>
          </cell>
          <cell r="M1023" t="str">
            <v>OOH Content</v>
          </cell>
        </row>
        <row r="1024">
          <cell r="A1024" t="str">
            <v>51-9071</v>
          </cell>
          <cell r="B1024" t="str">
            <v xml:space="preserve">      Jewelers and precious stone and metal workers</v>
          </cell>
          <cell r="C1024" t="str">
            <v>Line item</v>
          </cell>
          <cell r="D1024">
            <v>49140</v>
          </cell>
          <cell r="E1024">
            <v>35.1</v>
          </cell>
          <cell r="F1024">
            <v>33.200000000000003</v>
          </cell>
          <cell r="G1024">
            <v>-1.9</v>
          </cell>
          <cell r="H1024">
            <v>-5.5</v>
          </cell>
          <cell r="I1024">
            <v>4</v>
          </cell>
          <cell r="J1024" t="str">
            <v>High school diploma or equivalent</v>
          </cell>
          <cell r="K1024" t="str">
            <v>None</v>
          </cell>
          <cell r="L1024" t="str">
            <v>Long-term on-the-job training</v>
          </cell>
          <cell r="M1024" t="str">
            <v>OOH Content</v>
          </cell>
        </row>
        <row r="1025">
          <cell r="A1025" t="str">
            <v>51-9080</v>
          </cell>
          <cell r="B1025" t="str">
            <v xml:space="preserve">      Dental and ophthalmic laboratory technicians and medical appliance technicians</v>
          </cell>
          <cell r="C1025" t="str">
            <v>Summary</v>
          </cell>
          <cell r="D1025">
            <v>45820</v>
          </cell>
          <cell r="E1025">
            <v>66.8</v>
          </cell>
          <cell r="F1025">
            <v>66</v>
          </cell>
          <cell r="G1025">
            <v>-0.7</v>
          </cell>
          <cell r="H1025">
            <v>-1.1000000000000001</v>
          </cell>
          <cell r="I1025">
            <v>7.7</v>
          </cell>
          <cell r="J1025" t="str">
            <v>—</v>
          </cell>
          <cell r="K1025" t="str">
            <v>—</v>
          </cell>
          <cell r="L1025" t="str">
            <v>—</v>
          </cell>
          <cell r="M1025" t="str">
            <v>—</v>
          </cell>
        </row>
        <row r="1026">
          <cell r="A1026" t="str">
            <v>51-9081</v>
          </cell>
          <cell r="B1026" t="str">
            <v xml:space="preserve">        Dental laboratory technicians</v>
          </cell>
          <cell r="C1026" t="str">
            <v>Line item</v>
          </cell>
          <cell r="D1026">
            <v>48310</v>
          </cell>
          <cell r="E1026">
            <v>35.200000000000003</v>
          </cell>
          <cell r="F1026">
            <v>33.6</v>
          </cell>
          <cell r="G1026">
            <v>-1.6</v>
          </cell>
          <cell r="H1026">
            <v>-4.7</v>
          </cell>
          <cell r="I1026">
            <v>3.9</v>
          </cell>
          <cell r="J1026" t="str">
            <v>High school diploma or equivalent</v>
          </cell>
          <cell r="K1026" t="str">
            <v>None</v>
          </cell>
          <cell r="L1026" t="str">
            <v>Moderate-term on-the-job training</v>
          </cell>
          <cell r="M1026" t="str">
            <v>OOH Content</v>
          </cell>
        </row>
        <row r="1027">
          <cell r="A1027" t="str">
            <v>51-9082</v>
          </cell>
          <cell r="B1027" t="str">
            <v xml:space="preserve">        Medical appliance technicians</v>
          </cell>
          <cell r="C1027" t="str">
            <v>Line item</v>
          </cell>
          <cell r="D1027">
            <v>47060</v>
          </cell>
          <cell r="E1027">
            <v>12</v>
          </cell>
          <cell r="F1027">
            <v>12.4</v>
          </cell>
          <cell r="G1027">
            <v>0.4</v>
          </cell>
          <cell r="H1027">
            <v>3.7</v>
          </cell>
          <cell r="I1027">
            <v>1.5</v>
          </cell>
          <cell r="J1027" t="str">
            <v>High school diploma or equivalent</v>
          </cell>
          <cell r="K1027" t="str">
            <v>None</v>
          </cell>
          <cell r="L1027" t="str">
            <v>Moderate-term on-the-job training</v>
          </cell>
          <cell r="M1027" t="str">
            <v>OOH Content</v>
          </cell>
        </row>
        <row r="1028">
          <cell r="A1028" t="str">
            <v>51-9083</v>
          </cell>
          <cell r="B1028" t="str">
            <v xml:space="preserve">        Ophthalmic laboratory technicians</v>
          </cell>
          <cell r="C1028" t="str">
            <v>Line item</v>
          </cell>
          <cell r="D1028">
            <v>38420</v>
          </cell>
          <cell r="E1028">
            <v>19.600000000000001</v>
          </cell>
          <cell r="F1028">
            <v>20</v>
          </cell>
          <cell r="G1028">
            <v>0.5</v>
          </cell>
          <cell r="H1028">
            <v>2.2999999999999998</v>
          </cell>
          <cell r="I1028">
            <v>2.4</v>
          </cell>
          <cell r="J1028" t="str">
            <v>High school diploma or equivalent</v>
          </cell>
          <cell r="K1028" t="str">
            <v>None</v>
          </cell>
          <cell r="L1028" t="str">
            <v>Moderate-term on-the-job training</v>
          </cell>
          <cell r="M1028" t="str">
            <v>OOH Content</v>
          </cell>
        </row>
        <row r="1029">
          <cell r="A1029" t="str">
            <v>51-9111</v>
          </cell>
          <cell r="B1029" t="str">
            <v xml:space="preserve">      Packaging and filling machine operators and tenders</v>
          </cell>
          <cell r="C1029" t="str">
            <v>Line item</v>
          </cell>
          <cell r="D1029">
            <v>40900</v>
          </cell>
          <cell r="E1029">
            <v>381.2</v>
          </cell>
          <cell r="F1029">
            <v>398.2</v>
          </cell>
          <cell r="G1029">
            <v>17</v>
          </cell>
          <cell r="H1029">
            <v>4.5</v>
          </cell>
          <cell r="I1029">
            <v>45.3</v>
          </cell>
          <cell r="J1029" t="str">
            <v>High school diploma or equivalent</v>
          </cell>
          <cell r="K1029" t="str">
            <v>None</v>
          </cell>
          <cell r="L1029" t="str">
            <v>Moderate-term on-the-job training</v>
          </cell>
          <cell r="M1029" t="str">
            <v>—</v>
          </cell>
        </row>
        <row r="1030">
          <cell r="A1030" t="str">
            <v>51-9120</v>
          </cell>
          <cell r="B1030" t="str">
            <v xml:space="preserve">      Painting workers</v>
          </cell>
          <cell r="C1030" t="str">
            <v>Summary</v>
          </cell>
          <cell r="D1030">
            <v>47390</v>
          </cell>
          <cell r="E1030">
            <v>174.3</v>
          </cell>
          <cell r="F1030">
            <v>175.6</v>
          </cell>
          <cell r="G1030">
            <v>1.3</v>
          </cell>
          <cell r="H1030">
            <v>0.7</v>
          </cell>
          <cell r="I1030">
            <v>16.7</v>
          </cell>
          <cell r="J1030" t="str">
            <v>—</v>
          </cell>
          <cell r="K1030" t="str">
            <v>—</v>
          </cell>
          <cell r="L1030" t="str">
            <v>—</v>
          </cell>
          <cell r="M1030" t="str">
            <v>—</v>
          </cell>
        </row>
        <row r="1031">
          <cell r="A1031" t="str">
            <v>51-9123</v>
          </cell>
          <cell r="B1031" t="str">
            <v xml:space="preserve">        Painting, coating, and decorating workers</v>
          </cell>
          <cell r="C1031" t="str">
            <v>Line item</v>
          </cell>
          <cell r="D1031">
            <v>40860</v>
          </cell>
          <cell r="E1031">
            <v>8.8000000000000007</v>
          </cell>
          <cell r="F1031">
            <v>8.9</v>
          </cell>
          <cell r="G1031">
            <v>0.1</v>
          </cell>
          <cell r="H1031">
            <v>1.4</v>
          </cell>
          <cell r="I1031">
            <v>0.8</v>
          </cell>
          <cell r="J1031" t="str">
            <v>No formal educational credential</v>
          </cell>
          <cell r="K1031" t="str">
            <v>None</v>
          </cell>
          <cell r="L1031" t="str">
            <v>Moderate-term on-the-job training</v>
          </cell>
          <cell r="M1031" t="str">
            <v>OOH Content</v>
          </cell>
        </row>
        <row r="1032">
          <cell r="A1032" t="str">
            <v>51-9124</v>
          </cell>
          <cell r="B1032" t="str">
            <v xml:space="preserve">        Coating, painting, and spraying machine setters, operators, and tenders</v>
          </cell>
          <cell r="C1032" t="str">
            <v>Line item</v>
          </cell>
          <cell r="D1032">
            <v>47590</v>
          </cell>
          <cell r="E1032">
            <v>165.5</v>
          </cell>
          <cell r="F1032">
            <v>166.7</v>
          </cell>
          <cell r="G1032">
            <v>1.2</v>
          </cell>
          <cell r="H1032">
            <v>0.7</v>
          </cell>
          <cell r="I1032">
            <v>15.8</v>
          </cell>
          <cell r="J1032" t="str">
            <v>High school diploma or equivalent</v>
          </cell>
          <cell r="K1032" t="str">
            <v>None</v>
          </cell>
          <cell r="L1032" t="str">
            <v>Moderate-term on-the-job training</v>
          </cell>
          <cell r="M1032" t="str">
            <v>OOH Content</v>
          </cell>
        </row>
        <row r="1033">
          <cell r="A1033" t="str">
            <v>51-9141</v>
          </cell>
          <cell r="B1033" t="str">
            <v xml:space="preserve">      Semiconductor processing technicians</v>
          </cell>
          <cell r="C1033" t="str">
            <v>Line item</v>
          </cell>
          <cell r="D1033">
            <v>51180</v>
          </cell>
          <cell r="E1033">
            <v>31.9</v>
          </cell>
          <cell r="F1033">
            <v>35.4</v>
          </cell>
          <cell r="G1033">
            <v>3.5</v>
          </cell>
          <cell r="H1033">
            <v>10.9</v>
          </cell>
          <cell r="I1033">
            <v>3.9</v>
          </cell>
          <cell r="J1033" t="str">
            <v>High school diploma or equivalent</v>
          </cell>
          <cell r="K1033" t="str">
            <v>None</v>
          </cell>
          <cell r="L1033" t="str">
            <v>Moderate-term on-the-job training</v>
          </cell>
          <cell r="M1033" t="str">
            <v>OOH Content</v>
          </cell>
        </row>
        <row r="1034">
          <cell r="A1034" t="str">
            <v>51-9151</v>
          </cell>
          <cell r="B1034" t="str">
            <v xml:space="preserve">      Photographic process workers and processing machine operators</v>
          </cell>
          <cell r="C1034" t="str">
            <v>Line item</v>
          </cell>
          <cell r="D1034">
            <v>40100</v>
          </cell>
          <cell r="E1034">
            <v>11.2</v>
          </cell>
          <cell r="F1034">
            <v>10.9</v>
          </cell>
          <cell r="G1034">
            <v>-0.3</v>
          </cell>
          <cell r="H1034">
            <v>-2.6</v>
          </cell>
          <cell r="I1034">
            <v>1.5</v>
          </cell>
          <cell r="J1034" t="str">
            <v>High school diploma or equivalent</v>
          </cell>
          <cell r="K1034" t="str">
            <v>None</v>
          </cell>
          <cell r="L1034" t="str">
            <v>Short-term on-the-job training</v>
          </cell>
          <cell r="M1034" t="str">
            <v>—</v>
          </cell>
        </row>
        <row r="1035">
          <cell r="A1035" t="str">
            <v>51-9160</v>
          </cell>
          <cell r="B1035" t="str">
            <v xml:space="preserve">      Computer numerically controlled tool operators and programmers</v>
          </cell>
          <cell r="C1035" t="str">
            <v>Summary</v>
          </cell>
          <cell r="D1035">
            <v>51330</v>
          </cell>
          <cell r="E1035">
            <v>205.4</v>
          </cell>
          <cell r="F1035">
            <v>190</v>
          </cell>
          <cell r="G1035">
            <v>-15.4</v>
          </cell>
          <cell r="H1035">
            <v>-7.5</v>
          </cell>
          <cell r="I1035">
            <v>16.600000000000001</v>
          </cell>
          <cell r="J1035" t="str">
            <v>—</v>
          </cell>
          <cell r="K1035" t="str">
            <v>—</v>
          </cell>
          <cell r="L1035" t="str">
            <v>—</v>
          </cell>
          <cell r="M1035" t="str">
            <v>—</v>
          </cell>
        </row>
        <row r="1036">
          <cell r="A1036" t="str">
            <v>51-9161</v>
          </cell>
          <cell r="B1036" t="str">
            <v xml:space="preserve">        Computer numerically controlled tool operators</v>
          </cell>
          <cell r="C1036" t="str">
            <v>Line item</v>
          </cell>
          <cell r="D1036">
            <v>49970</v>
          </cell>
          <cell r="E1036">
            <v>177.1</v>
          </cell>
          <cell r="F1036">
            <v>158.1</v>
          </cell>
          <cell r="G1036">
            <v>-19</v>
          </cell>
          <cell r="H1036">
            <v>-10.7</v>
          </cell>
          <cell r="I1036">
            <v>13.5</v>
          </cell>
          <cell r="J1036" t="str">
            <v>High school diploma or equivalent</v>
          </cell>
          <cell r="K1036" t="str">
            <v>None</v>
          </cell>
          <cell r="L1036" t="str">
            <v>Moderate-term on-the-job training</v>
          </cell>
          <cell r="M1036" t="str">
            <v>OOH Content</v>
          </cell>
        </row>
        <row r="1037">
          <cell r="A1037" t="str">
            <v>51-9162</v>
          </cell>
          <cell r="B1037" t="str">
            <v xml:space="preserve">        Computer numerically controlled tool programmers</v>
          </cell>
          <cell r="C1037" t="str">
            <v>Line item</v>
          </cell>
          <cell r="D1037">
            <v>65670</v>
          </cell>
          <cell r="E1037">
            <v>28.3</v>
          </cell>
          <cell r="F1037">
            <v>31.9</v>
          </cell>
          <cell r="G1037">
            <v>3.6</v>
          </cell>
          <cell r="H1037">
            <v>12.8</v>
          </cell>
          <cell r="I1037">
            <v>3.1</v>
          </cell>
          <cell r="J1037" t="str">
            <v>Postsecondary nondegree award</v>
          </cell>
          <cell r="K1037" t="str">
            <v>None</v>
          </cell>
          <cell r="L1037" t="str">
            <v>Moderate-term on-the-job training</v>
          </cell>
          <cell r="M1037" t="str">
            <v>OOH Content</v>
          </cell>
        </row>
        <row r="1038">
          <cell r="A1038" t="str">
            <v>51-9190</v>
          </cell>
          <cell r="B1038" t="str">
            <v xml:space="preserve">      Miscellaneous production workers</v>
          </cell>
          <cell r="C1038" t="str">
            <v>Summary</v>
          </cell>
          <cell r="D1038">
            <v>40960</v>
          </cell>
          <cell r="E1038">
            <v>663.9</v>
          </cell>
          <cell r="F1038">
            <v>648.4</v>
          </cell>
          <cell r="G1038">
            <v>-15.4</v>
          </cell>
          <cell r="H1038">
            <v>-2.2999999999999998</v>
          </cell>
          <cell r="I1038">
            <v>76</v>
          </cell>
          <cell r="J1038" t="str">
            <v>—</v>
          </cell>
          <cell r="K1038" t="str">
            <v>—</v>
          </cell>
          <cell r="L1038" t="str">
            <v>—</v>
          </cell>
          <cell r="M1038" t="str">
            <v>—</v>
          </cell>
        </row>
        <row r="1039">
          <cell r="A1039" t="str">
            <v>51-9191</v>
          </cell>
          <cell r="B1039" t="str">
            <v xml:space="preserve">        Adhesive bonding machine operators and tenders</v>
          </cell>
          <cell r="C1039" t="str">
            <v>Line item</v>
          </cell>
          <cell r="D1039">
            <v>45210</v>
          </cell>
          <cell r="E1039">
            <v>12.2</v>
          </cell>
          <cell r="F1039">
            <v>12.3</v>
          </cell>
          <cell r="G1039">
            <v>0.1</v>
          </cell>
          <cell r="H1039">
            <v>1</v>
          </cell>
          <cell r="I1039">
            <v>1.3</v>
          </cell>
          <cell r="J1039" t="str">
            <v>High school diploma or equivalent</v>
          </cell>
          <cell r="K1039" t="str">
            <v>None</v>
          </cell>
          <cell r="L1039" t="str">
            <v>Moderate-term on-the-job training</v>
          </cell>
          <cell r="M1039" t="str">
            <v>—</v>
          </cell>
        </row>
        <row r="1040">
          <cell r="A1040" t="str">
            <v>51-9192</v>
          </cell>
          <cell r="B1040" t="str">
            <v xml:space="preserve">        Cleaning, washing, and metal pickling equipment operators and tenders</v>
          </cell>
          <cell r="C1040" t="str">
            <v>Line item</v>
          </cell>
          <cell r="D1040">
            <v>41460</v>
          </cell>
          <cell r="E1040">
            <v>14.6</v>
          </cell>
          <cell r="F1040">
            <v>15.2</v>
          </cell>
          <cell r="G1040">
            <v>0.5</v>
          </cell>
          <cell r="H1040">
            <v>3.6</v>
          </cell>
          <cell r="I1040">
            <v>1.6</v>
          </cell>
          <cell r="J1040" t="str">
            <v>High school diploma or equivalent</v>
          </cell>
          <cell r="K1040" t="str">
            <v>None</v>
          </cell>
          <cell r="L1040" t="str">
            <v>Moderate-term on-the-job training</v>
          </cell>
          <cell r="M1040" t="str">
            <v>—</v>
          </cell>
        </row>
        <row r="1041">
          <cell r="A1041" t="str">
            <v>51-9193</v>
          </cell>
          <cell r="B1041" t="str">
            <v xml:space="preserve">        Cooling and freezing equipment operators and tenders</v>
          </cell>
          <cell r="C1041" t="str">
            <v>Line item</v>
          </cell>
          <cell r="D1041">
            <v>40160</v>
          </cell>
          <cell r="E1041">
            <v>7.1</v>
          </cell>
          <cell r="F1041">
            <v>7.6</v>
          </cell>
          <cell r="G1041">
            <v>0.5</v>
          </cell>
          <cell r="H1041">
            <v>7.2</v>
          </cell>
          <cell r="I1041">
            <v>0.8</v>
          </cell>
          <cell r="J1041" t="str">
            <v>High school diploma or equivalent</v>
          </cell>
          <cell r="K1041" t="str">
            <v>None</v>
          </cell>
          <cell r="L1041" t="str">
            <v>Moderate-term on-the-job training</v>
          </cell>
          <cell r="M1041" t="str">
            <v>—</v>
          </cell>
        </row>
        <row r="1042">
          <cell r="A1042" t="str">
            <v>51-9194</v>
          </cell>
          <cell r="B1042" t="str">
            <v xml:space="preserve">        Etchers and engravers</v>
          </cell>
          <cell r="C1042" t="str">
            <v>Line item</v>
          </cell>
          <cell r="D1042">
            <v>40450</v>
          </cell>
          <cell r="E1042">
            <v>8.6</v>
          </cell>
          <cell r="F1042">
            <v>8.6</v>
          </cell>
          <cell r="G1042">
            <v>-0.1</v>
          </cell>
          <cell r="H1042">
            <v>-0.7</v>
          </cell>
          <cell r="I1042">
            <v>0.9</v>
          </cell>
          <cell r="J1042" t="str">
            <v>High school diploma or equivalent</v>
          </cell>
          <cell r="K1042" t="str">
            <v>None</v>
          </cell>
          <cell r="L1042" t="str">
            <v>Moderate-term on-the-job training</v>
          </cell>
          <cell r="M1042" t="str">
            <v>—</v>
          </cell>
        </row>
        <row r="1043">
          <cell r="A1043" t="str">
            <v>51-9195</v>
          </cell>
          <cell r="B1043" t="str">
            <v xml:space="preserve">        Molders, shapers, and casters, except metal and plastic</v>
          </cell>
          <cell r="C1043" t="str">
            <v>Line item</v>
          </cell>
          <cell r="D1043">
            <v>45690</v>
          </cell>
          <cell r="E1043">
            <v>41.7</v>
          </cell>
          <cell r="F1043">
            <v>44.3</v>
          </cell>
          <cell r="G1043">
            <v>2.6</v>
          </cell>
          <cell r="H1043">
            <v>6.2</v>
          </cell>
          <cell r="I1043">
            <v>5.5</v>
          </cell>
          <cell r="J1043" t="str">
            <v>High school diploma or equivalent</v>
          </cell>
          <cell r="K1043" t="str">
            <v>None</v>
          </cell>
          <cell r="L1043" t="str">
            <v>Long-term on-the-job training</v>
          </cell>
          <cell r="M1043" t="str">
            <v>—</v>
          </cell>
        </row>
        <row r="1044">
          <cell r="A1044" t="str">
            <v>51-9196</v>
          </cell>
          <cell r="B1044" t="str">
            <v xml:space="preserve">        Paper goods machine setters, operators, and tenders</v>
          </cell>
          <cell r="C1044" t="str">
            <v>Line item</v>
          </cell>
          <cell r="D1044">
            <v>49390</v>
          </cell>
          <cell r="E1044">
            <v>97.5</v>
          </cell>
          <cell r="F1044">
            <v>91.4</v>
          </cell>
          <cell r="G1044">
            <v>-6.1</v>
          </cell>
          <cell r="H1044">
            <v>-6.3</v>
          </cell>
          <cell r="I1044">
            <v>8.1</v>
          </cell>
          <cell r="J1044" t="str">
            <v>High school diploma or equivalent</v>
          </cell>
          <cell r="K1044" t="str">
            <v>None</v>
          </cell>
          <cell r="L1044" t="str">
            <v>Moderate-term on-the-job training</v>
          </cell>
          <cell r="M1044" t="str">
            <v>—</v>
          </cell>
        </row>
        <row r="1045">
          <cell r="A1045" t="str">
            <v>51-9197</v>
          </cell>
          <cell r="B1045" t="str">
            <v xml:space="preserve">        Tire builders</v>
          </cell>
          <cell r="C1045" t="str">
            <v>Line item</v>
          </cell>
          <cell r="D1045">
            <v>55580</v>
          </cell>
          <cell r="E1045">
            <v>20.9</v>
          </cell>
          <cell r="F1045">
            <v>21.4</v>
          </cell>
          <cell r="G1045">
            <v>0.5</v>
          </cell>
          <cell r="H1045">
            <v>2.2999999999999998</v>
          </cell>
          <cell r="I1045">
            <v>2.5</v>
          </cell>
          <cell r="J1045" t="str">
            <v>High school diploma or equivalent</v>
          </cell>
          <cell r="K1045" t="str">
            <v>None</v>
          </cell>
          <cell r="L1045" t="str">
            <v>Moderate-term on-the-job training</v>
          </cell>
          <cell r="M1045" t="str">
            <v>—</v>
          </cell>
        </row>
        <row r="1046">
          <cell r="A1046" t="str">
            <v>51-9198</v>
          </cell>
          <cell r="B1046" t="str">
            <v xml:space="preserve">        Helpers--production workers</v>
          </cell>
          <cell r="C1046" t="str">
            <v>Line item</v>
          </cell>
          <cell r="D1046">
            <v>38220</v>
          </cell>
          <cell r="E1046">
            <v>168.5</v>
          </cell>
          <cell r="F1046">
            <v>153.5</v>
          </cell>
          <cell r="G1046">
            <v>-15</v>
          </cell>
          <cell r="H1046">
            <v>-8.9</v>
          </cell>
          <cell r="I1046">
            <v>23.6</v>
          </cell>
          <cell r="J1046" t="str">
            <v>High school diploma or equivalent</v>
          </cell>
          <cell r="K1046" t="str">
            <v>None</v>
          </cell>
          <cell r="L1046" t="str">
            <v>Short-term on-the-job training</v>
          </cell>
          <cell r="M1046" t="str">
            <v>—</v>
          </cell>
        </row>
        <row r="1047">
          <cell r="A1047" t="str">
            <v>51-9199</v>
          </cell>
          <cell r="B1047" t="str">
            <v xml:space="preserve">        Production workers, all other</v>
          </cell>
          <cell r="C1047" t="str">
            <v>Line item</v>
          </cell>
          <cell r="D1047">
            <v>38820</v>
          </cell>
          <cell r="E1047">
            <v>292.8</v>
          </cell>
          <cell r="F1047">
            <v>294.3</v>
          </cell>
          <cell r="G1047">
            <v>1.5</v>
          </cell>
          <cell r="H1047">
            <v>0.5</v>
          </cell>
          <cell r="I1047">
            <v>31.6</v>
          </cell>
          <cell r="J1047" t="str">
            <v>High school diploma or equivalent</v>
          </cell>
          <cell r="K1047" t="str">
            <v>None</v>
          </cell>
          <cell r="L1047" t="str">
            <v>Moderate-term on-the-job training</v>
          </cell>
          <cell r="M1047" t="str">
            <v>—</v>
          </cell>
        </row>
        <row r="1048">
          <cell r="A1048" t="str">
            <v>53-0000</v>
          </cell>
          <cell r="B1048" t="str">
            <v xml:space="preserve">  Transportation and material moving occupations</v>
          </cell>
          <cell r="C1048" t="str">
            <v>Summary</v>
          </cell>
          <cell r="D1048">
            <v>42740</v>
          </cell>
          <cell r="E1048">
            <v>14204.6</v>
          </cell>
          <cell r="F1048">
            <v>14784.4</v>
          </cell>
          <cell r="G1048">
            <v>579.9</v>
          </cell>
          <cell r="H1048">
            <v>4.0999999999999996</v>
          </cell>
          <cell r="I1048">
            <v>1830</v>
          </cell>
          <cell r="J1048" t="str">
            <v>—</v>
          </cell>
          <cell r="K1048" t="str">
            <v>—</v>
          </cell>
          <cell r="L1048" t="str">
            <v>—</v>
          </cell>
          <cell r="M1048" t="str">
            <v>—</v>
          </cell>
        </row>
        <row r="1049">
          <cell r="A1049" t="str">
            <v>53-1000</v>
          </cell>
          <cell r="B1049" t="str">
            <v xml:space="preserve">    Supervisors of transportation and material moving workers</v>
          </cell>
          <cell r="C1049" t="str">
            <v>Summary</v>
          </cell>
          <cell r="D1049">
            <v>61900</v>
          </cell>
          <cell r="E1049">
            <v>619.9</v>
          </cell>
          <cell r="F1049">
            <v>643</v>
          </cell>
          <cell r="G1049">
            <v>23.1</v>
          </cell>
          <cell r="H1049">
            <v>3.7</v>
          </cell>
          <cell r="I1049">
            <v>62.4</v>
          </cell>
          <cell r="J1049" t="str">
            <v>—</v>
          </cell>
          <cell r="K1049" t="str">
            <v>—</v>
          </cell>
          <cell r="L1049" t="str">
            <v>—</v>
          </cell>
          <cell r="M1049" t="str">
            <v>—</v>
          </cell>
        </row>
        <row r="1050">
          <cell r="A1050" t="str">
            <v>53-1041</v>
          </cell>
          <cell r="B1050" t="str">
            <v xml:space="preserve">      Aircraft cargo handling supervisors</v>
          </cell>
          <cell r="C1050" t="str">
            <v>Line item</v>
          </cell>
          <cell r="D1050">
            <v>63940</v>
          </cell>
          <cell r="E1050">
            <v>10.3</v>
          </cell>
          <cell r="F1050">
            <v>10.8</v>
          </cell>
          <cell r="G1050">
            <v>0.5</v>
          </cell>
          <cell r="H1050">
            <v>5.2</v>
          </cell>
          <cell r="I1050">
            <v>1.1000000000000001</v>
          </cell>
          <cell r="J1050" t="str">
            <v>High school diploma or equivalent</v>
          </cell>
          <cell r="K1050" t="str">
            <v>Less than 5 years</v>
          </cell>
          <cell r="L1050" t="str">
            <v>None</v>
          </cell>
          <cell r="M1050" t="str">
            <v>—</v>
          </cell>
        </row>
        <row r="1051">
          <cell r="A1051" t="str">
            <v>53-1047</v>
          </cell>
          <cell r="B1051" t="str">
            <v xml:space="preserve">      First-line supervisors of transportation and material moving workers, except aircraft cargo handling supervisors</v>
          </cell>
          <cell r="C1051" t="str">
            <v>Line item</v>
          </cell>
          <cell r="D1051">
            <v>61890</v>
          </cell>
          <cell r="E1051">
            <v>609.6</v>
          </cell>
          <cell r="F1051">
            <v>632.20000000000005</v>
          </cell>
          <cell r="G1051">
            <v>22.5</v>
          </cell>
          <cell r="H1051">
            <v>3.7</v>
          </cell>
          <cell r="I1051">
            <v>61.3</v>
          </cell>
          <cell r="J1051" t="str">
            <v>High school diploma or equivalent</v>
          </cell>
          <cell r="K1051" t="str">
            <v>Less than 5 years</v>
          </cell>
          <cell r="L1051" t="str">
            <v>None</v>
          </cell>
          <cell r="M1051" t="str">
            <v>—</v>
          </cell>
        </row>
        <row r="1052">
          <cell r="A1052" t="str">
            <v>53-2000</v>
          </cell>
          <cell r="B1052" t="str">
            <v xml:space="preserve">    Air transportation workers</v>
          </cell>
          <cell r="C1052" t="str">
            <v>Summary</v>
          </cell>
          <cell r="D1052">
            <v>106500</v>
          </cell>
          <cell r="E1052">
            <v>327.3</v>
          </cell>
          <cell r="F1052">
            <v>347</v>
          </cell>
          <cell r="G1052">
            <v>19.8</v>
          </cell>
          <cell r="H1052">
            <v>6</v>
          </cell>
          <cell r="I1052">
            <v>41.8</v>
          </cell>
          <cell r="J1052" t="str">
            <v>—</v>
          </cell>
          <cell r="K1052" t="str">
            <v>—</v>
          </cell>
          <cell r="L1052" t="str">
            <v>—</v>
          </cell>
          <cell r="M1052" t="str">
            <v>—</v>
          </cell>
        </row>
        <row r="1053">
          <cell r="A1053" t="str">
            <v>53-2010</v>
          </cell>
          <cell r="B1053" t="str">
            <v xml:space="preserve">      Aircraft pilots and flight engineers</v>
          </cell>
          <cell r="C1053" t="str">
            <v>Summary</v>
          </cell>
          <cell r="D1053">
            <v>198100</v>
          </cell>
          <cell r="E1053">
            <v>155.4</v>
          </cell>
          <cell r="F1053">
            <v>162.19999999999999</v>
          </cell>
          <cell r="G1053">
            <v>6.7</v>
          </cell>
          <cell r="H1053">
            <v>4.3</v>
          </cell>
          <cell r="I1053">
            <v>18.2</v>
          </cell>
          <cell r="J1053" t="str">
            <v>—</v>
          </cell>
          <cell r="K1053" t="str">
            <v>—</v>
          </cell>
          <cell r="L1053" t="str">
            <v>—</v>
          </cell>
          <cell r="M1053" t="str">
            <v>—</v>
          </cell>
        </row>
        <row r="1054">
          <cell r="A1054" t="str">
            <v>53-2011</v>
          </cell>
          <cell r="B1054" t="str">
            <v xml:space="preserve">        Airline pilots, copilots, and flight engineers</v>
          </cell>
          <cell r="C1054" t="str">
            <v>Line item</v>
          </cell>
          <cell r="D1054">
            <v>226600</v>
          </cell>
          <cell r="E1054">
            <v>100</v>
          </cell>
          <cell r="F1054">
            <v>103.9</v>
          </cell>
          <cell r="G1054">
            <v>3.9</v>
          </cell>
          <cell r="H1054">
            <v>3.9</v>
          </cell>
          <cell r="I1054">
            <v>11.7</v>
          </cell>
          <cell r="J1054" t="str">
            <v>Bachelor's degree</v>
          </cell>
          <cell r="K1054" t="str">
            <v>Less than 5 years</v>
          </cell>
          <cell r="L1054" t="str">
            <v>Moderate-term on-the-job training</v>
          </cell>
          <cell r="M1054" t="str">
            <v>OOH Content</v>
          </cell>
        </row>
        <row r="1055">
          <cell r="A1055" t="str">
            <v>53-2012</v>
          </cell>
          <cell r="B1055" t="str">
            <v xml:space="preserve">        Commercial pilots</v>
          </cell>
          <cell r="C1055" t="str">
            <v>Line item</v>
          </cell>
          <cell r="D1055">
            <v>122670</v>
          </cell>
          <cell r="E1055">
            <v>55.4</v>
          </cell>
          <cell r="F1055">
            <v>58.3</v>
          </cell>
          <cell r="G1055">
            <v>2.8</v>
          </cell>
          <cell r="H1055">
            <v>5.0999999999999996</v>
          </cell>
          <cell r="I1055">
            <v>6.6</v>
          </cell>
          <cell r="J1055" t="str">
            <v>Postsecondary nondegree award</v>
          </cell>
          <cell r="K1055" t="str">
            <v>None</v>
          </cell>
          <cell r="L1055" t="str">
            <v>Moderate-term on-the-job training</v>
          </cell>
          <cell r="M1055" t="str">
            <v>OOH Content</v>
          </cell>
        </row>
        <row r="1056">
          <cell r="A1056" t="str">
            <v>53-2020</v>
          </cell>
          <cell r="B1056" t="str">
            <v xml:space="preserve">      Air traffic controllers and airfield operations specialists</v>
          </cell>
          <cell r="C1056" t="str">
            <v>Summary</v>
          </cell>
          <cell r="D1056">
            <v>98920</v>
          </cell>
          <cell r="E1056">
            <v>41</v>
          </cell>
          <cell r="F1056">
            <v>42</v>
          </cell>
          <cell r="G1056">
            <v>1</v>
          </cell>
          <cell r="H1056">
            <v>2.5</v>
          </cell>
          <cell r="I1056">
            <v>3.8</v>
          </cell>
          <cell r="J1056" t="str">
            <v>—</v>
          </cell>
          <cell r="K1056" t="str">
            <v>—</v>
          </cell>
          <cell r="L1056" t="str">
            <v>—</v>
          </cell>
          <cell r="M1056" t="str">
            <v>—</v>
          </cell>
        </row>
        <row r="1057">
          <cell r="A1057" t="str">
            <v>53-2021</v>
          </cell>
          <cell r="B1057" t="str">
            <v xml:space="preserve">        Air traffic controllers</v>
          </cell>
          <cell r="C1057" t="str">
            <v>Line item</v>
          </cell>
          <cell r="D1057">
            <v>144580</v>
          </cell>
          <cell r="E1057">
            <v>24.1</v>
          </cell>
          <cell r="F1057">
            <v>24.4</v>
          </cell>
          <cell r="G1057">
            <v>0.3</v>
          </cell>
          <cell r="H1057">
            <v>1.2</v>
          </cell>
          <cell r="I1057">
            <v>2.2000000000000002</v>
          </cell>
          <cell r="J1057" t="str">
            <v>Associate's degree</v>
          </cell>
          <cell r="K1057" t="str">
            <v>None</v>
          </cell>
          <cell r="L1057" t="str">
            <v>Long-term on-the-job training</v>
          </cell>
          <cell r="M1057" t="str">
            <v>OOH Content</v>
          </cell>
        </row>
        <row r="1058">
          <cell r="A1058" t="str">
            <v>53-2022</v>
          </cell>
          <cell r="B1058" t="str">
            <v xml:space="preserve">        Airfield operations specialists</v>
          </cell>
          <cell r="C1058" t="str">
            <v>Line item</v>
          </cell>
          <cell r="D1058">
            <v>56750</v>
          </cell>
          <cell r="E1058">
            <v>16.899999999999999</v>
          </cell>
          <cell r="F1058">
            <v>17.600000000000001</v>
          </cell>
          <cell r="G1058">
            <v>0.7</v>
          </cell>
          <cell r="H1058">
            <v>4.2</v>
          </cell>
          <cell r="I1058">
            <v>1.6</v>
          </cell>
          <cell r="J1058" t="str">
            <v>High school diploma or equivalent</v>
          </cell>
          <cell r="K1058" t="str">
            <v>None</v>
          </cell>
          <cell r="L1058" t="str">
            <v>Long-term on-the-job training</v>
          </cell>
          <cell r="M1058" t="str">
            <v>—</v>
          </cell>
        </row>
        <row r="1059">
          <cell r="A1059" t="str">
            <v>53-2031</v>
          </cell>
          <cell r="B1059" t="str">
            <v xml:space="preserve">      Flight attendants</v>
          </cell>
          <cell r="C1059" t="str">
            <v>Line item</v>
          </cell>
          <cell r="D1059">
            <v>67130</v>
          </cell>
          <cell r="E1059">
            <v>130.80000000000001</v>
          </cell>
          <cell r="F1059">
            <v>142.9</v>
          </cell>
          <cell r="G1059">
            <v>12.1</v>
          </cell>
          <cell r="H1059">
            <v>9.1999999999999993</v>
          </cell>
          <cell r="I1059">
            <v>19.8</v>
          </cell>
          <cell r="J1059" t="str">
            <v>High school diploma or equivalent</v>
          </cell>
          <cell r="K1059" t="str">
            <v>Less than 5 years</v>
          </cell>
          <cell r="L1059" t="str">
            <v>Moderate-term on-the-job training</v>
          </cell>
          <cell r="M1059" t="str">
            <v>OOH Content</v>
          </cell>
        </row>
        <row r="1060">
          <cell r="A1060" t="str">
            <v>53-3000</v>
          </cell>
          <cell r="B1060" t="str">
            <v xml:space="preserve">    Motor vehicle operators</v>
          </cell>
          <cell r="C1060" t="str">
            <v>Summary</v>
          </cell>
          <cell r="D1060">
            <v>48660</v>
          </cell>
          <cell r="E1060">
            <v>4852</v>
          </cell>
          <cell r="F1060">
            <v>5111.1000000000004</v>
          </cell>
          <cell r="G1060">
            <v>259.10000000000002</v>
          </cell>
          <cell r="H1060">
            <v>5.3</v>
          </cell>
          <cell r="I1060">
            <v>562.20000000000005</v>
          </cell>
          <cell r="J1060" t="str">
            <v>—</v>
          </cell>
          <cell r="K1060" t="str">
            <v>—</v>
          </cell>
          <cell r="L1060" t="str">
            <v>—</v>
          </cell>
          <cell r="M1060" t="str">
            <v>—</v>
          </cell>
        </row>
        <row r="1061">
          <cell r="A1061" t="str">
            <v>53-3011</v>
          </cell>
          <cell r="B1061" t="str">
            <v xml:space="preserve">      Ambulance drivers and attendants, except emergency medical technicians</v>
          </cell>
          <cell r="C1061" t="str">
            <v>Line item</v>
          </cell>
          <cell r="D1061">
            <v>34330</v>
          </cell>
          <cell r="E1061">
            <v>12.3</v>
          </cell>
          <cell r="F1061">
            <v>12.1</v>
          </cell>
          <cell r="G1061">
            <v>-0.2</v>
          </cell>
          <cell r="H1061">
            <v>-1.3</v>
          </cell>
          <cell r="I1061">
            <v>1.4</v>
          </cell>
          <cell r="J1061" t="str">
            <v>High school diploma or equivalent</v>
          </cell>
          <cell r="K1061" t="str">
            <v>None</v>
          </cell>
          <cell r="L1061" t="str">
            <v>Moderate-term on-the-job training</v>
          </cell>
          <cell r="M1061" t="str">
            <v>—</v>
          </cell>
        </row>
        <row r="1062">
          <cell r="A1062" t="str">
            <v>53-3030</v>
          </cell>
          <cell r="B1062" t="str">
            <v xml:space="preserve">      Driver/sales workers and truck drivers</v>
          </cell>
          <cell r="C1062" t="str">
            <v>Summary</v>
          </cell>
          <cell r="D1062">
            <v>49550</v>
          </cell>
          <cell r="E1062">
            <v>3766.5</v>
          </cell>
          <cell r="F1062">
            <v>3974.4</v>
          </cell>
          <cell r="G1062">
            <v>208</v>
          </cell>
          <cell r="H1062">
            <v>5.5</v>
          </cell>
          <cell r="I1062">
            <v>409.1</v>
          </cell>
          <cell r="J1062" t="str">
            <v>—</v>
          </cell>
          <cell r="K1062" t="str">
            <v>—</v>
          </cell>
          <cell r="L1062" t="str">
            <v>—</v>
          </cell>
          <cell r="M1062" t="str">
            <v>—</v>
          </cell>
        </row>
        <row r="1063">
          <cell r="A1063" t="str">
            <v>53-3031</v>
          </cell>
          <cell r="B1063" t="str">
            <v xml:space="preserve">        Driver/sales workers</v>
          </cell>
          <cell r="C1063" t="str">
            <v>Line item</v>
          </cell>
          <cell r="D1063">
            <v>37130</v>
          </cell>
          <cell r="E1063">
            <v>451.5</v>
          </cell>
          <cell r="F1063">
            <v>491.3</v>
          </cell>
          <cell r="G1063">
            <v>39.799999999999997</v>
          </cell>
          <cell r="H1063">
            <v>8.8000000000000007</v>
          </cell>
          <cell r="I1063">
            <v>51.3</v>
          </cell>
          <cell r="J1063" t="str">
            <v>High school diploma or equivalent</v>
          </cell>
          <cell r="K1063" t="str">
            <v>None</v>
          </cell>
          <cell r="L1063" t="str">
            <v>Short-term on-the-job training</v>
          </cell>
          <cell r="M1063" t="str">
            <v>OOH Content</v>
          </cell>
        </row>
        <row r="1064">
          <cell r="A1064" t="str">
            <v>53-3032</v>
          </cell>
          <cell r="B1064" t="str">
            <v xml:space="preserve">        Heavy and tractor-trailer truck drivers</v>
          </cell>
          <cell r="C1064" t="str">
            <v>Line item</v>
          </cell>
          <cell r="D1064">
            <v>57440</v>
          </cell>
          <cell r="E1064">
            <v>2235.1</v>
          </cell>
          <cell r="F1064">
            <v>2324.4</v>
          </cell>
          <cell r="G1064">
            <v>89.3</v>
          </cell>
          <cell r="H1064">
            <v>4</v>
          </cell>
          <cell r="I1064">
            <v>237.6</v>
          </cell>
          <cell r="J1064" t="str">
            <v>Postsecondary nondegree award</v>
          </cell>
          <cell r="K1064" t="str">
            <v>None</v>
          </cell>
          <cell r="L1064" t="str">
            <v>Short-term on-the-job training</v>
          </cell>
          <cell r="M1064" t="str">
            <v>OOH Content</v>
          </cell>
        </row>
        <row r="1065">
          <cell r="A1065" t="str">
            <v>53-3033</v>
          </cell>
          <cell r="B1065" t="str">
            <v xml:space="preserve">        Light truck drivers</v>
          </cell>
          <cell r="C1065" t="str">
            <v>Line item</v>
          </cell>
          <cell r="D1065">
            <v>44140</v>
          </cell>
          <cell r="E1065">
            <v>1079.8</v>
          </cell>
          <cell r="F1065">
            <v>1158.5999999999999</v>
          </cell>
          <cell r="G1065">
            <v>78.900000000000006</v>
          </cell>
          <cell r="H1065">
            <v>7.3</v>
          </cell>
          <cell r="I1065">
            <v>120.2</v>
          </cell>
          <cell r="J1065" t="str">
            <v>High school diploma or equivalent</v>
          </cell>
          <cell r="K1065" t="str">
            <v>None</v>
          </cell>
          <cell r="L1065" t="str">
            <v>Short-term on-the-job training</v>
          </cell>
          <cell r="M1065" t="str">
            <v>OOH Content</v>
          </cell>
        </row>
        <row r="1066">
          <cell r="A1066" t="str">
            <v>53-3050</v>
          </cell>
          <cell r="B1066" t="str">
            <v xml:space="preserve">      Passenger vehicle drivers</v>
          </cell>
          <cell r="C1066" t="str">
            <v>Summary</v>
          </cell>
          <cell r="D1066">
            <v>45530</v>
          </cell>
          <cell r="E1066">
            <v>994</v>
          </cell>
          <cell r="F1066">
            <v>1040.5999999999999</v>
          </cell>
          <cell r="G1066">
            <v>46.6</v>
          </cell>
          <cell r="H1066">
            <v>4.7</v>
          </cell>
          <cell r="I1066">
            <v>140.6</v>
          </cell>
          <cell r="J1066" t="str">
            <v>—</v>
          </cell>
          <cell r="K1066" t="str">
            <v>—</v>
          </cell>
          <cell r="L1066" t="str">
            <v>—</v>
          </cell>
          <cell r="M1066" t="str">
            <v>—</v>
          </cell>
        </row>
        <row r="1067">
          <cell r="A1067" t="str">
            <v>53-3051</v>
          </cell>
          <cell r="B1067" t="str">
            <v xml:space="preserve">        Bus drivers, school</v>
          </cell>
          <cell r="C1067" t="str">
            <v>Line item</v>
          </cell>
          <cell r="D1067">
            <v>47040</v>
          </cell>
          <cell r="E1067">
            <v>387.3</v>
          </cell>
          <cell r="F1067">
            <v>388.2</v>
          </cell>
          <cell r="G1067">
            <v>0.9</v>
          </cell>
          <cell r="H1067">
            <v>0.2</v>
          </cell>
          <cell r="I1067">
            <v>61</v>
          </cell>
          <cell r="J1067" t="str">
            <v>High school diploma or equivalent</v>
          </cell>
          <cell r="K1067" t="str">
            <v>None</v>
          </cell>
          <cell r="L1067" t="str">
            <v>Short-term on-the-job training</v>
          </cell>
          <cell r="M1067" t="str">
            <v>OOH Content</v>
          </cell>
        </row>
        <row r="1068">
          <cell r="A1068" t="str">
            <v>53-3052</v>
          </cell>
          <cell r="B1068" t="str">
            <v xml:space="preserve">        Bus drivers, transit and intercity</v>
          </cell>
          <cell r="C1068" t="str">
            <v>Line item</v>
          </cell>
          <cell r="D1068">
            <v>57440</v>
          </cell>
          <cell r="E1068">
            <v>158.80000000000001</v>
          </cell>
          <cell r="F1068">
            <v>165.6</v>
          </cell>
          <cell r="G1068">
            <v>6.8</v>
          </cell>
          <cell r="H1068">
            <v>4.3</v>
          </cell>
          <cell r="I1068">
            <v>20.9</v>
          </cell>
          <cell r="J1068" t="str">
            <v>High school diploma or equivalent</v>
          </cell>
          <cell r="K1068" t="str">
            <v>None</v>
          </cell>
          <cell r="L1068" t="str">
            <v>Moderate-term on-the-job training</v>
          </cell>
          <cell r="M1068" t="str">
            <v>OOH Content</v>
          </cell>
        </row>
        <row r="1069">
          <cell r="A1069" t="str">
            <v>53-3053</v>
          </cell>
          <cell r="B1069" t="str">
            <v xml:space="preserve">        Shuttle drivers and chauffeurs</v>
          </cell>
          <cell r="C1069" t="str">
            <v>Line item</v>
          </cell>
          <cell r="D1069">
            <v>36670</v>
          </cell>
          <cell r="E1069">
            <v>243.9</v>
          </cell>
          <cell r="F1069">
            <v>260.3</v>
          </cell>
          <cell r="G1069">
            <v>16.399999999999999</v>
          </cell>
          <cell r="H1069">
            <v>6.7</v>
          </cell>
          <cell r="I1069">
            <v>36.299999999999997</v>
          </cell>
          <cell r="J1069" t="str">
            <v>No formal educational credential</v>
          </cell>
          <cell r="K1069" t="str">
            <v>None</v>
          </cell>
          <cell r="L1069" t="str">
            <v>Short-term on-the-job training</v>
          </cell>
          <cell r="M1069" t="str">
            <v>OOH Content</v>
          </cell>
        </row>
        <row r="1070">
          <cell r="A1070" t="str">
            <v>53-3054</v>
          </cell>
          <cell r="B1070" t="str">
            <v xml:space="preserve">        Taxi drivers</v>
          </cell>
          <cell r="C1070" t="str">
            <v>Line item</v>
          </cell>
          <cell r="D1070">
            <v>36220</v>
          </cell>
          <cell r="E1070">
            <v>204</v>
          </cell>
          <cell r="F1070">
            <v>226.6</v>
          </cell>
          <cell r="G1070">
            <v>22.6</v>
          </cell>
          <cell r="H1070">
            <v>11.1</v>
          </cell>
          <cell r="I1070">
            <v>22.6</v>
          </cell>
          <cell r="J1070" t="str">
            <v>No formal educational credential</v>
          </cell>
          <cell r="K1070" t="str">
            <v>None</v>
          </cell>
          <cell r="L1070" t="str">
            <v>Short-term on-the-job training</v>
          </cell>
          <cell r="M1070" t="str">
            <v>OOH Content</v>
          </cell>
        </row>
        <row r="1071">
          <cell r="A1071" t="str">
            <v>53-3099</v>
          </cell>
          <cell r="B1071" t="str">
            <v xml:space="preserve">      Motor vehicle operators, all other</v>
          </cell>
          <cell r="C1071" t="str">
            <v>Line item</v>
          </cell>
          <cell r="D1071">
            <v>36260</v>
          </cell>
          <cell r="E1071">
            <v>79.3</v>
          </cell>
          <cell r="F1071">
            <v>84</v>
          </cell>
          <cell r="G1071">
            <v>4.7</v>
          </cell>
          <cell r="H1071">
            <v>6</v>
          </cell>
          <cell r="I1071">
            <v>11.1</v>
          </cell>
          <cell r="J1071" t="str">
            <v>No formal educational credential</v>
          </cell>
          <cell r="K1071" t="str">
            <v>None</v>
          </cell>
          <cell r="L1071" t="str">
            <v>Short-term on-the-job training</v>
          </cell>
          <cell r="M1071" t="str">
            <v>—</v>
          </cell>
        </row>
        <row r="1072">
          <cell r="A1072" t="str">
            <v>53-4000</v>
          </cell>
          <cell r="B1072" t="str">
            <v xml:space="preserve">    Rail transportation workers</v>
          </cell>
          <cell r="C1072" t="str">
            <v>Summary</v>
          </cell>
          <cell r="D1072">
            <v>75990</v>
          </cell>
          <cell r="E1072">
            <v>89.1</v>
          </cell>
          <cell r="F1072">
            <v>90.2</v>
          </cell>
          <cell r="G1072">
            <v>1.1000000000000001</v>
          </cell>
          <cell r="H1072">
            <v>1.2</v>
          </cell>
          <cell r="I1072">
            <v>7.7</v>
          </cell>
          <cell r="J1072" t="str">
            <v>—</v>
          </cell>
          <cell r="K1072" t="str">
            <v>—</v>
          </cell>
          <cell r="L1072" t="str">
            <v>—</v>
          </cell>
          <cell r="M1072" t="str">
            <v>—</v>
          </cell>
        </row>
        <row r="1073">
          <cell r="A1073" t="str">
            <v>53-4010</v>
          </cell>
          <cell r="B1073" t="str">
            <v xml:space="preserve">      Locomotive engineers and operators</v>
          </cell>
          <cell r="C1073" t="str">
            <v>Summary</v>
          </cell>
          <cell r="D1073">
            <v>77400</v>
          </cell>
          <cell r="E1073">
            <v>30.1</v>
          </cell>
          <cell r="F1073">
            <v>30.3</v>
          </cell>
          <cell r="G1073">
            <v>0.2</v>
          </cell>
          <cell r="H1073">
            <v>0.7</v>
          </cell>
          <cell r="I1073">
            <v>2.5</v>
          </cell>
          <cell r="J1073" t="str">
            <v>—</v>
          </cell>
          <cell r="K1073" t="str">
            <v>—</v>
          </cell>
          <cell r="L1073" t="str">
            <v>—</v>
          </cell>
          <cell r="M1073" t="str">
            <v>—</v>
          </cell>
        </row>
        <row r="1074">
          <cell r="A1074" t="str">
            <v>53-4011</v>
          </cell>
          <cell r="B1074" t="str">
            <v xml:space="preserve">        Locomotive engineers</v>
          </cell>
          <cell r="C1074" t="str">
            <v>Line item</v>
          </cell>
          <cell r="D1074">
            <v>77400</v>
          </cell>
          <cell r="E1074">
            <v>27</v>
          </cell>
          <cell r="F1074">
            <v>27.2</v>
          </cell>
          <cell r="G1074">
            <v>0.2</v>
          </cell>
          <cell r="H1074">
            <v>0.7</v>
          </cell>
          <cell r="I1074">
            <v>2.2000000000000002</v>
          </cell>
          <cell r="J1074" t="str">
            <v>High school diploma or equivalent</v>
          </cell>
          <cell r="K1074" t="str">
            <v>Less than 5 years</v>
          </cell>
          <cell r="L1074" t="str">
            <v>Moderate-term on-the-job training</v>
          </cell>
          <cell r="M1074" t="str">
            <v>OOH Content</v>
          </cell>
        </row>
        <row r="1075">
          <cell r="A1075" t="str">
            <v>53-4013</v>
          </cell>
          <cell r="B1075" t="str">
            <v xml:space="preserve">        Rail yard engineers, dinkey operators, and hostlers</v>
          </cell>
          <cell r="C1075" t="str">
            <v>Line item</v>
          </cell>
          <cell r="D1075">
            <v>58030</v>
          </cell>
          <cell r="E1075">
            <v>3.1</v>
          </cell>
          <cell r="F1075">
            <v>3.1</v>
          </cell>
          <cell r="G1075">
            <v>0</v>
          </cell>
          <cell r="H1075">
            <v>0.3</v>
          </cell>
          <cell r="I1075">
            <v>0.2</v>
          </cell>
          <cell r="J1075" t="str">
            <v>High school diploma or equivalent</v>
          </cell>
          <cell r="K1075" t="str">
            <v>None</v>
          </cell>
          <cell r="L1075" t="str">
            <v>Moderate-term on-the-job training</v>
          </cell>
          <cell r="M1075" t="str">
            <v>OOH Content</v>
          </cell>
        </row>
        <row r="1076">
          <cell r="A1076" t="str">
            <v>53-4022</v>
          </cell>
          <cell r="B1076" t="str">
            <v xml:space="preserve">      Railroad brake, signal, and switch operators and locomotive firers</v>
          </cell>
          <cell r="C1076" t="str">
            <v>Line item</v>
          </cell>
          <cell r="D1076">
            <v>65480</v>
          </cell>
          <cell r="E1076">
            <v>11</v>
          </cell>
          <cell r="F1076">
            <v>11.1</v>
          </cell>
          <cell r="G1076">
            <v>0.1</v>
          </cell>
          <cell r="H1076">
            <v>1</v>
          </cell>
          <cell r="I1076">
            <v>1</v>
          </cell>
          <cell r="J1076" t="str">
            <v>High school diploma or equivalent</v>
          </cell>
          <cell r="K1076" t="str">
            <v>None</v>
          </cell>
          <cell r="L1076" t="str">
            <v>Moderate-term on-the-job training</v>
          </cell>
          <cell r="M1076" t="str">
            <v>OOH Content</v>
          </cell>
        </row>
        <row r="1077">
          <cell r="A1077" t="str">
            <v>53-4031</v>
          </cell>
          <cell r="B1077" t="str">
            <v xml:space="preserve">      Railroad conductors and yardmasters</v>
          </cell>
          <cell r="C1077" t="str">
            <v>Line item</v>
          </cell>
          <cell r="D1077">
            <v>74080</v>
          </cell>
          <cell r="E1077">
            <v>36.799999999999997</v>
          </cell>
          <cell r="F1077">
            <v>37.200000000000003</v>
          </cell>
          <cell r="G1077">
            <v>0.4</v>
          </cell>
          <cell r="H1077">
            <v>1.1000000000000001</v>
          </cell>
          <cell r="I1077">
            <v>3.1</v>
          </cell>
          <cell r="J1077" t="str">
            <v>High school diploma or equivalent</v>
          </cell>
          <cell r="K1077" t="str">
            <v>None</v>
          </cell>
          <cell r="L1077" t="str">
            <v>Moderate-term on-the-job training</v>
          </cell>
          <cell r="M1077" t="str">
            <v>OOH Content</v>
          </cell>
        </row>
        <row r="1078">
          <cell r="A1078" t="str">
            <v>53-4041</v>
          </cell>
          <cell r="B1078" t="str">
            <v xml:space="preserve">      Subway and streetcar operators</v>
          </cell>
          <cell r="C1078" t="str">
            <v>Line item</v>
          </cell>
          <cell r="D1078">
            <v>84830</v>
          </cell>
          <cell r="E1078">
            <v>9.6</v>
          </cell>
          <cell r="F1078">
            <v>9.9</v>
          </cell>
          <cell r="G1078">
            <v>0.3</v>
          </cell>
          <cell r="H1078">
            <v>3.4</v>
          </cell>
          <cell r="I1078">
            <v>0.9</v>
          </cell>
          <cell r="J1078" t="str">
            <v>High school diploma or equivalent</v>
          </cell>
          <cell r="K1078" t="str">
            <v>None</v>
          </cell>
          <cell r="L1078" t="str">
            <v>Moderate-term on-the-job training</v>
          </cell>
          <cell r="M1078" t="str">
            <v>—</v>
          </cell>
        </row>
        <row r="1079">
          <cell r="A1079" t="str">
            <v>53-4099</v>
          </cell>
          <cell r="B1079" t="str">
            <v xml:space="preserve">      Rail transportation workers, all other</v>
          </cell>
          <cell r="C1079" t="str">
            <v>Line item</v>
          </cell>
          <cell r="D1079">
            <v>49330</v>
          </cell>
          <cell r="E1079">
            <v>1.6</v>
          </cell>
          <cell r="F1079">
            <v>1.6</v>
          </cell>
          <cell r="G1079">
            <v>0.1</v>
          </cell>
          <cell r="H1079">
            <v>3.9</v>
          </cell>
          <cell r="I1079">
            <v>0.2</v>
          </cell>
          <cell r="J1079" t="str">
            <v>High school diploma or equivalent</v>
          </cell>
          <cell r="K1079" t="str">
            <v>None</v>
          </cell>
          <cell r="L1079" t="str">
            <v>Moderate-term on-the-job training</v>
          </cell>
          <cell r="M1079" t="str">
            <v>—</v>
          </cell>
        </row>
        <row r="1080">
          <cell r="A1080" t="str">
            <v>53-5000</v>
          </cell>
          <cell r="B1080" t="str">
            <v xml:space="preserve">    Water transportation workers</v>
          </cell>
          <cell r="C1080" t="str">
            <v>Summary</v>
          </cell>
          <cell r="D1080">
            <v>66490</v>
          </cell>
          <cell r="E1080">
            <v>84.3</v>
          </cell>
          <cell r="F1080">
            <v>85.4</v>
          </cell>
          <cell r="G1080">
            <v>1.1000000000000001</v>
          </cell>
          <cell r="H1080">
            <v>1.3</v>
          </cell>
          <cell r="I1080">
            <v>9.5</v>
          </cell>
          <cell r="J1080" t="str">
            <v>—</v>
          </cell>
          <cell r="K1080" t="str">
            <v>—</v>
          </cell>
          <cell r="L1080" t="str">
            <v>—</v>
          </cell>
          <cell r="M1080" t="str">
            <v>—</v>
          </cell>
        </row>
        <row r="1081">
          <cell r="A1081" t="str">
            <v>53-5011</v>
          </cell>
          <cell r="B1081" t="str">
            <v xml:space="preserve">      Sailors and marine oilers</v>
          </cell>
          <cell r="C1081" t="str">
            <v>Line item</v>
          </cell>
          <cell r="D1081">
            <v>49610</v>
          </cell>
          <cell r="E1081">
            <v>32.1</v>
          </cell>
          <cell r="F1081">
            <v>32.799999999999997</v>
          </cell>
          <cell r="G1081">
            <v>0.7</v>
          </cell>
          <cell r="H1081">
            <v>2.2999999999999998</v>
          </cell>
          <cell r="I1081">
            <v>3.9</v>
          </cell>
          <cell r="J1081" t="str">
            <v>No formal educational credential</v>
          </cell>
          <cell r="K1081" t="str">
            <v>None</v>
          </cell>
          <cell r="L1081" t="str">
            <v>Moderate-term on-the-job training</v>
          </cell>
          <cell r="M1081" t="str">
            <v>OOH Content</v>
          </cell>
        </row>
        <row r="1082">
          <cell r="A1082" t="str">
            <v>53-5020</v>
          </cell>
          <cell r="B1082" t="str">
            <v xml:space="preserve">      Ship and boat captains and operators</v>
          </cell>
          <cell r="C1082" t="str">
            <v>Summary</v>
          </cell>
          <cell r="D1082">
            <v>82400</v>
          </cell>
          <cell r="E1082">
            <v>43.5</v>
          </cell>
          <cell r="F1082">
            <v>43.7</v>
          </cell>
          <cell r="G1082">
            <v>0.2</v>
          </cell>
          <cell r="H1082">
            <v>0.5</v>
          </cell>
          <cell r="I1082">
            <v>4.5999999999999996</v>
          </cell>
          <cell r="J1082" t="str">
            <v>—</v>
          </cell>
          <cell r="K1082" t="str">
            <v>—</v>
          </cell>
          <cell r="L1082" t="str">
            <v>—</v>
          </cell>
          <cell r="M1082" t="str">
            <v>—</v>
          </cell>
        </row>
        <row r="1083">
          <cell r="A1083" t="str">
            <v>53-5021</v>
          </cell>
          <cell r="B1083" t="str">
            <v xml:space="preserve">        Captains, mates, and pilots of water vessels</v>
          </cell>
          <cell r="C1083" t="str">
            <v>Line item</v>
          </cell>
          <cell r="D1083">
            <v>85540</v>
          </cell>
          <cell r="E1083">
            <v>40.700000000000003</v>
          </cell>
          <cell r="F1083">
            <v>40.9</v>
          </cell>
          <cell r="G1083">
            <v>0.2</v>
          </cell>
          <cell r="H1083">
            <v>0.5</v>
          </cell>
          <cell r="I1083">
            <v>4.3</v>
          </cell>
          <cell r="J1083" t="str">
            <v>Postsecondary nondegree award</v>
          </cell>
          <cell r="K1083" t="str">
            <v>Less than 5 years</v>
          </cell>
          <cell r="L1083" t="str">
            <v>None</v>
          </cell>
          <cell r="M1083" t="str">
            <v>OOH Content</v>
          </cell>
        </row>
        <row r="1084">
          <cell r="A1084" t="str">
            <v>53-5022</v>
          </cell>
          <cell r="B1084" t="str">
            <v xml:space="preserve">        Motorboat operators</v>
          </cell>
          <cell r="C1084" t="str">
            <v>Line item</v>
          </cell>
          <cell r="D1084">
            <v>51880</v>
          </cell>
          <cell r="E1084">
            <v>2.7</v>
          </cell>
          <cell r="F1084">
            <v>2.8</v>
          </cell>
          <cell r="G1084">
            <v>0</v>
          </cell>
          <cell r="H1084">
            <v>1.4</v>
          </cell>
          <cell r="I1084">
            <v>0.3</v>
          </cell>
          <cell r="J1084" t="str">
            <v>Postsecondary nondegree award</v>
          </cell>
          <cell r="K1084" t="str">
            <v>Less than 5 years</v>
          </cell>
          <cell r="L1084" t="str">
            <v>None</v>
          </cell>
          <cell r="M1084" t="str">
            <v>OOH Content</v>
          </cell>
        </row>
        <row r="1085">
          <cell r="A1085" t="str">
            <v>53-5031</v>
          </cell>
          <cell r="B1085" t="str">
            <v xml:space="preserve">      Ship engineers</v>
          </cell>
          <cell r="C1085" t="str">
            <v>Line item</v>
          </cell>
          <cell r="D1085">
            <v>101320</v>
          </cell>
          <cell r="E1085">
            <v>8.8000000000000007</v>
          </cell>
          <cell r="F1085">
            <v>9</v>
          </cell>
          <cell r="G1085">
            <v>0.1</v>
          </cell>
          <cell r="H1085">
            <v>1.6</v>
          </cell>
          <cell r="I1085">
            <v>1.1000000000000001</v>
          </cell>
          <cell r="J1085" t="str">
            <v>Postsecondary nondegree award</v>
          </cell>
          <cell r="K1085" t="str">
            <v>Less than 5 years</v>
          </cell>
          <cell r="L1085" t="str">
            <v>None</v>
          </cell>
          <cell r="M1085" t="str">
            <v>OOH Content</v>
          </cell>
        </row>
        <row r="1086">
          <cell r="A1086" t="str">
            <v>53-6000</v>
          </cell>
          <cell r="B1086" t="str">
            <v xml:space="preserve">    Other transportation workers</v>
          </cell>
          <cell r="C1086" t="str">
            <v>Summary</v>
          </cell>
          <cell r="D1086">
            <v>36060</v>
          </cell>
          <cell r="E1086">
            <v>337.4</v>
          </cell>
          <cell r="F1086">
            <v>344.1</v>
          </cell>
          <cell r="G1086">
            <v>6.7</v>
          </cell>
          <cell r="H1086">
            <v>2</v>
          </cell>
          <cell r="I1086">
            <v>46.2</v>
          </cell>
          <cell r="J1086" t="str">
            <v>—</v>
          </cell>
          <cell r="K1086" t="str">
            <v>—</v>
          </cell>
          <cell r="L1086" t="str">
            <v>—</v>
          </cell>
          <cell r="M1086" t="str">
            <v>—</v>
          </cell>
        </row>
        <row r="1087">
          <cell r="A1087" t="str">
            <v>53-6011</v>
          </cell>
          <cell r="B1087" t="str">
            <v xml:space="preserve">      Bridge and lock tenders</v>
          </cell>
          <cell r="C1087" t="str">
            <v>Line item</v>
          </cell>
          <cell r="D1087">
            <v>58490</v>
          </cell>
          <cell r="E1087">
            <v>2.9</v>
          </cell>
          <cell r="F1087">
            <v>2.8</v>
          </cell>
          <cell r="G1087">
            <v>-0.1</v>
          </cell>
          <cell r="H1087">
            <v>-3.3</v>
          </cell>
          <cell r="I1087">
            <v>0.3</v>
          </cell>
          <cell r="J1087" t="str">
            <v>High school diploma or equivalent</v>
          </cell>
          <cell r="K1087" t="str">
            <v>None</v>
          </cell>
          <cell r="L1087" t="str">
            <v>Short-term on-the-job training</v>
          </cell>
          <cell r="M1087" t="str">
            <v>—</v>
          </cell>
        </row>
        <row r="1088">
          <cell r="A1088" t="str">
            <v>53-6021</v>
          </cell>
          <cell r="B1088" t="str">
            <v xml:space="preserve">      Parking attendants</v>
          </cell>
          <cell r="C1088" t="str">
            <v>Line item</v>
          </cell>
          <cell r="D1088">
            <v>34600</v>
          </cell>
          <cell r="E1088">
            <v>135.69999999999999</v>
          </cell>
          <cell r="F1088">
            <v>139.80000000000001</v>
          </cell>
          <cell r="G1088">
            <v>4</v>
          </cell>
          <cell r="H1088">
            <v>3</v>
          </cell>
          <cell r="I1088">
            <v>18.5</v>
          </cell>
          <cell r="J1088" t="str">
            <v>No formal educational credential</v>
          </cell>
          <cell r="K1088" t="str">
            <v>None</v>
          </cell>
          <cell r="L1088" t="str">
            <v>Short-term on-the-job training</v>
          </cell>
          <cell r="M1088" t="str">
            <v>—</v>
          </cell>
        </row>
        <row r="1089">
          <cell r="A1089" t="str">
            <v>53-6030</v>
          </cell>
          <cell r="B1089" t="str">
            <v xml:space="preserve">      Transportation service attendants</v>
          </cell>
          <cell r="C1089" t="str">
            <v>Summary</v>
          </cell>
          <cell r="D1089">
            <v>36000</v>
          </cell>
          <cell r="E1089">
            <v>128.1</v>
          </cell>
          <cell r="F1089">
            <v>128.5</v>
          </cell>
          <cell r="G1089">
            <v>0.4</v>
          </cell>
          <cell r="H1089">
            <v>0.3</v>
          </cell>
          <cell r="I1089">
            <v>18.8</v>
          </cell>
          <cell r="J1089" t="str">
            <v>—</v>
          </cell>
          <cell r="K1089" t="str">
            <v>—</v>
          </cell>
          <cell r="L1089" t="str">
            <v>—</v>
          </cell>
          <cell r="M1089" t="str">
            <v>—</v>
          </cell>
        </row>
        <row r="1090">
          <cell r="A1090" t="str">
            <v>53-6031</v>
          </cell>
          <cell r="B1090" t="str">
            <v xml:space="preserve">        Automotive and watercraft service attendants</v>
          </cell>
          <cell r="C1090" t="str">
            <v>Line item</v>
          </cell>
          <cell r="D1090">
            <v>34850</v>
          </cell>
          <cell r="E1090">
            <v>100</v>
          </cell>
          <cell r="F1090">
            <v>99</v>
          </cell>
          <cell r="G1090">
            <v>-1</v>
          </cell>
          <cell r="H1090">
            <v>-1</v>
          </cell>
          <cell r="I1090">
            <v>14.4</v>
          </cell>
          <cell r="J1090" t="str">
            <v>No formal educational credential</v>
          </cell>
          <cell r="K1090" t="str">
            <v>None</v>
          </cell>
          <cell r="L1090" t="str">
            <v>Short-term on-the-job training</v>
          </cell>
          <cell r="M1090" t="str">
            <v>—</v>
          </cell>
        </row>
        <row r="1091">
          <cell r="A1091" t="str">
            <v>53-6032</v>
          </cell>
          <cell r="B1091" t="str">
            <v xml:space="preserve">        Aircraft service attendants</v>
          </cell>
          <cell r="C1091" t="str">
            <v>Line item</v>
          </cell>
          <cell r="D1091">
            <v>41540</v>
          </cell>
          <cell r="E1091">
            <v>28</v>
          </cell>
          <cell r="F1091">
            <v>29.5</v>
          </cell>
          <cell r="G1091">
            <v>1.4</v>
          </cell>
          <cell r="H1091">
            <v>5.0999999999999996</v>
          </cell>
          <cell r="I1091">
            <v>4.3</v>
          </cell>
          <cell r="J1091" t="str">
            <v>High school diploma or equivalent</v>
          </cell>
          <cell r="K1091" t="str">
            <v>None</v>
          </cell>
          <cell r="L1091" t="str">
            <v>Short-term on-the-job training</v>
          </cell>
          <cell r="M1091" t="str">
            <v>—</v>
          </cell>
        </row>
        <row r="1092">
          <cell r="A1092" t="str">
            <v>53-6041</v>
          </cell>
          <cell r="B1092" t="str">
            <v xml:space="preserve">      Traffic technicians</v>
          </cell>
          <cell r="C1092" t="str">
            <v>Line item</v>
          </cell>
          <cell r="D1092">
            <v>58480</v>
          </cell>
          <cell r="E1092">
            <v>7.9</v>
          </cell>
          <cell r="F1092">
            <v>8.1999999999999993</v>
          </cell>
          <cell r="G1092">
            <v>0.3</v>
          </cell>
          <cell r="H1092">
            <v>3.7</v>
          </cell>
          <cell r="I1092">
            <v>0.8</v>
          </cell>
          <cell r="J1092" t="str">
            <v>High school diploma or equivalent</v>
          </cell>
          <cell r="K1092" t="str">
            <v>None</v>
          </cell>
          <cell r="L1092" t="str">
            <v>Moderate-term on-the-job training</v>
          </cell>
          <cell r="M1092" t="str">
            <v>—</v>
          </cell>
        </row>
        <row r="1093">
          <cell r="A1093" t="str">
            <v>53-6051</v>
          </cell>
          <cell r="B1093" t="str">
            <v xml:space="preserve">      Transportation inspectors</v>
          </cell>
          <cell r="C1093" t="str">
            <v>Line item</v>
          </cell>
          <cell r="D1093">
            <v>85750</v>
          </cell>
          <cell r="E1093">
            <v>25.7</v>
          </cell>
          <cell r="F1093">
            <v>26.1</v>
          </cell>
          <cell r="G1093">
            <v>0.4</v>
          </cell>
          <cell r="H1093">
            <v>1.7</v>
          </cell>
          <cell r="I1093">
            <v>2.5</v>
          </cell>
          <cell r="J1093" t="str">
            <v>High school diploma or equivalent</v>
          </cell>
          <cell r="K1093" t="str">
            <v>None</v>
          </cell>
          <cell r="L1093" t="str">
            <v>Moderate-term on-the-job training</v>
          </cell>
          <cell r="M1093" t="str">
            <v>—</v>
          </cell>
        </row>
        <row r="1094">
          <cell r="A1094" t="str">
            <v>53-6061</v>
          </cell>
          <cell r="B1094" t="str">
            <v xml:space="preserve">      Passenger attendants</v>
          </cell>
          <cell r="C1094" t="str">
            <v>Line item</v>
          </cell>
          <cell r="D1094">
            <v>37560</v>
          </cell>
          <cell r="E1094">
            <v>25.6</v>
          </cell>
          <cell r="F1094">
            <v>26.8</v>
          </cell>
          <cell r="G1094">
            <v>1.2</v>
          </cell>
          <cell r="H1094">
            <v>4.7</v>
          </cell>
          <cell r="I1094">
            <v>4.0999999999999996</v>
          </cell>
          <cell r="J1094" t="str">
            <v>High school diploma or equivalent</v>
          </cell>
          <cell r="K1094" t="str">
            <v>None</v>
          </cell>
          <cell r="L1094" t="str">
            <v>Short-term on-the-job training</v>
          </cell>
          <cell r="M1094" t="str">
            <v>—</v>
          </cell>
        </row>
        <row r="1095">
          <cell r="A1095" t="str">
            <v>53-6099</v>
          </cell>
          <cell r="B1095" t="str">
            <v xml:space="preserve">      Transportation workers, all other</v>
          </cell>
          <cell r="C1095" t="str">
            <v>Line item</v>
          </cell>
          <cell r="D1095">
            <v>39630</v>
          </cell>
          <cell r="E1095">
            <v>11.5</v>
          </cell>
          <cell r="F1095">
            <v>11.9</v>
          </cell>
          <cell r="G1095">
            <v>0.4</v>
          </cell>
          <cell r="H1095">
            <v>3.8</v>
          </cell>
          <cell r="I1095">
            <v>1.2</v>
          </cell>
          <cell r="J1095" t="str">
            <v>High school diploma or equivalent</v>
          </cell>
          <cell r="K1095" t="str">
            <v>None</v>
          </cell>
          <cell r="L1095" t="str">
            <v>Short-term on-the-job training</v>
          </cell>
          <cell r="M1095" t="str">
            <v>—</v>
          </cell>
        </row>
        <row r="1096">
          <cell r="A1096" t="str">
            <v>53-7000</v>
          </cell>
          <cell r="B1096" t="str">
            <v xml:space="preserve">    Material moving workers</v>
          </cell>
          <cell r="C1096" t="str">
            <v>Summary</v>
          </cell>
          <cell r="D1096">
            <v>38340</v>
          </cell>
          <cell r="E1096">
            <v>7894.6</v>
          </cell>
          <cell r="F1096">
            <v>8163.5</v>
          </cell>
          <cell r="G1096">
            <v>268.89999999999998</v>
          </cell>
          <cell r="H1096">
            <v>3.4</v>
          </cell>
          <cell r="I1096">
            <v>1100.0999999999999</v>
          </cell>
          <cell r="J1096" t="str">
            <v>—</v>
          </cell>
          <cell r="K1096" t="str">
            <v>—</v>
          </cell>
          <cell r="L1096" t="str">
            <v>—</v>
          </cell>
          <cell r="M1096" t="str">
            <v>—</v>
          </cell>
        </row>
        <row r="1097">
          <cell r="A1097" t="str">
            <v>53-7011</v>
          </cell>
          <cell r="B1097" t="str">
            <v xml:space="preserve">      Conveyor operators and tenders</v>
          </cell>
          <cell r="C1097" t="str">
            <v>Line item</v>
          </cell>
          <cell r="D1097">
            <v>41230</v>
          </cell>
          <cell r="E1097">
            <v>29.1</v>
          </cell>
          <cell r="F1097">
            <v>28.1</v>
          </cell>
          <cell r="G1097">
            <v>-1</v>
          </cell>
          <cell r="H1097">
            <v>-3.4</v>
          </cell>
          <cell r="I1097">
            <v>2.6</v>
          </cell>
          <cell r="J1097" t="str">
            <v>No formal educational credential</v>
          </cell>
          <cell r="K1097" t="str">
            <v>None</v>
          </cell>
          <cell r="L1097" t="str">
            <v>Short-term on-the-job training</v>
          </cell>
          <cell r="M1097" t="str">
            <v>OOH Content</v>
          </cell>
        </row>
        <row r="1098">
          <cell r="A1098" t="str">
            <v>53-7021</v>
          </cell>
          <cell r="B1098" t="str">
            <v xml:space="preserve">      Crane and tower operators</v>
          </cell>
          <cell r="C1098" t="str">
            <v>Line item</v>
          </cell>
          <cell r="D1098">
            <v>66370</v>
          </cell>
          <cell r="E1098">
            <v>42.3</v>
          </cell>
          <cell r="F1098">
            <v>43.5</v>
          </cell>
          <cell r="G1098">
            <v>1.3</v>
          </cell>
          <cell r="H1098">
            <v>3</v>
          </cell>
          <cell r="I1098">
            <v>3.8</v>
          </cell>
          <cell r="J1098" t="str">
            <v>High school diploma or equivalent</v>
          </cell>
          <cell r="K1098" t="str">
            <v>Less than 5 years</v>
          </cell>
          <cell r="L1098" t="str">
            <v>Moderate-term on-the-job training</v>
          </cell>
          <cell r="M1098" t="str">
            <v>OOH Content</v>
          </cell>
        </row>
        <row r="1099">
          <cell r="A1099" t="str">
            <v>53-7031</v>
          </cell>
          <cell r="B1099" t="str">
            <v xml:space="preserve">      Dredge operators</v>
          </cell>
          <cell r="C1099" t="str">
            <v>Line item</v>
          </cell>
          <cell r="D1099">
            <v>48430</v>
          </cell>
          <cell r="E1099">
            <v>1.1000000000000001</v>
          </cell>
          <cell r="F1099">
            <v>1.2</v>
          </cell>
          <cell r="G1099">
            <v>0</v>
          </cell>
          <cell r="H1099">
            <v>1.2</v>
          </cell>
          <cell r="I1099">
            <v>0.1</v>
          </cell>
          <cell r="J1099" t="str">
            <v>High school diploma or equivalent</v>
          </cell>
          <cell r="K1099" t="str">
            <v>None</v>
          </cell>
          <cell r="L1099" t="str">
            <v>Moderate-term on-the-job training</v>
          </cell>
          <cell r="M1099" t="str">
            <v>OOH Content</v>
          </cell>
        </row>
        <row r="1100">
          <cell r="A1100" t="str">
            <v>53-7041</v>
          </cell>
          <cell r="B1100" t="str">
            <v xml:space="preserve">      Hoist and winch operators</v>
          </cell>
          <cell r="C1100" t="str">
            <v>Line item</v>
          </cell>
          <cell r="D1100">
            <v>52310</v>
          </cell>
          <cell r="E1100">
            <v>2.7</v>
          </cell>
          <cell r="F1100">
            <v>2.7</v>
          </cell>
          <cell r="G1100">
            <v>0</v>
          </cell>
          <cell r="H1100">
            <v>-1.1000000000000001</v>
          </cell>
          <cell r="I1100">
            <v>0.3</v>
          </cell>
          <cell r="J1100" t="str">
            <v>No formal educational credential</v>
          </cell>
          <cell r="K1100" t="str">
            <v>None</v>
          </cell>
          <cell r="L1100" t="str">
            <v>Short-term on-the-job training</v>
          </cell>
          <cell r="M1100" t="str">
            <v>OOH Content</v>
          </cell>
        </row>
        <row r="1101">
          <cell r="A1101" t="str">
            <v>53-7051</v>
          </cell>
          <cell r="B1101" t="str">
            <v xml:space="preserve">      Industrial truck and tractor operators</v>
          </cell>
          <cell r="C1101" t="str">
            <v>Line item</v>
          </cell>
          <cell r="D1101">
            <v>46390</v>
          </cell>
          <cell r="E1101">
            <v>792.5</v>
          </cell>
          <cell r="F1101">
            <v>801.6</v>
          </cell>
          <cell r="G1101">
            <v>9.1</v>
          </cell>
          <cell r="H1101">
            <v>1.1000000000000001</v>
          </cell>
          <cell r="I1101">
            <v>76.400000000000006</v>
          </cell>
          <cell r="J1101" t="str">
            <v>No formal educational credential</v>
          </cell>
          <cell r="K1101" t="str">
            <v>None</v>
          </cell>
          <cell r="L1101" t="str">
            <v>Short-term on-the-job training</v>
          </cell>
          <cell r="M1101" t="str">
            <v>OOH Content</v>
          </cell>
        </row>
        <row r="1102">
          <cell r="A1102" t="str">
            <v>53-7060</v>
          </cell>
          <cell r="B1102" t="str">
            <v xml:space="preserve">      Laborers and material movers</v>
          </cell>
          <cell r="C1102" t="str">
            <v>Summary</v>
          </cell>
          <cell r="D1102">
            <v>37590</v>
          </cell>
          <cell r="E1102">
            <v>6802.1</v>
          </cell>
          <cell r="F1102">
            <v>7059.2</v>
          </cell>
          <cell r="G1102">
            <v>257.10000000000002</v>
          </cell>
          <cell r="H1102">
            <v>3.8</v>
          </cell>
          <cell r="I1102">
            <v>991.4</v>
          </cell>
          <cell r="J1102" t="str">
            <v>—</v>
          </cell>
          <cell r="K1102" t="str">
            <v>—</v>
          </cell>
          <cell r="L1102" t="str">
            <v>—</v>
          </cell>
          <cell r="M1102" t="str">
            <v>—</v>
          </cell>
        </row>
        <row r="1103">
          <cell r="A1103" t="str">
            <v>53-7061</v>
          </cell>
          <cell r="B1103" t="str">
            <v xml:space="preserve">        Cleaners of vehicles and equipment</v>
          </cell>
          <cell r="C1103" t="str">
            <v>Line item</v>
          </cell>
          <cell r="D1103">
            <v>35270</v>
          </cell>
          <cell r="E1103">
            <v>410.1</v>
          </cell>
          <cell r="F1103">
            <v>426.2</v>
          </cell>
          <cell r="G1103">
            <v>16</v>
          </cell>
          <cell r="H1103">
            <v>3.9</v>
          </cell>
          <cell r="I1103">
            <v>56.2</v>
          </cell>
          <cell r="J1103" t="str">
            <v>No formal educational credential</v>
          </cell>
          <cell r="K1103" t="str">
            <v>None</v>
          </cell>
          <cell r="L1103" t="str">
            <v>Short-term on-the-job training</v>
          </cell>
          <cell r="M1103" t="str">
            <v>OOH Content</v>
          </cell>
        </row>
        <row r="1104">
          <cell r="A1104" t="str">
            <v>53-7062</v>
          </cell>
          <cell r="B1104" t="str">
            <v xml:space="preserve">        Laborers and freight, stock, and material movers, hand</v>
          </cell>
          <cell r="C1104" t="str">
            <v>Line item</v>
          </cell>
          <cell r="D1104">
            <v>38940</v>
          </cell>
          <cell r="E1104">
            <v>2988.9</v>
          </cell>
          <cell r="F1104">
            <v>3033.1</v>
          </cell>
          <cell r="G1104">
            <v>44.3</v>
          </cell>
          <cell r="H1104">
            <v>1.5</v>
          </cell>
          <cell r="I1104">
            <v>384.3</v>
          </cell>
          <cell r="J1104" t="str">
            <v>No formal educational credential</v>
          </cell>
          <cell r="K1104" t="str">
            <v>None</v>
          </cell>
          <cell r="L1104" t="str">
            <v>Short-term on-the-job training</v>
          </cell>
          <cell r="M1104" t="str">
            <v>OOH Content</v>
          </cell>
        </row>
        <row r="1105">
          <cell r="A1105" t="str">
            <v>53-7063</v>
          </cell>
          <cell r="B1105" t="str">
            <v xml:space="preserve">        Machine feeders and offbearers</v>
          </cell>
          <cell r="C1105" t="str">
            <v>Line item</v>
          </cell>
          <cell r="D1105">
            <v>39700</v>
          </cell>
          <cell r="E1105">
            <v>46.5</v>
          </cell>
          <cell r="F1105">
            <v>40.4</v>
          </cell>
          <cell r="G1105">
            <v>-6</v>
          </cell>
          <cell r="H1105">
            <v>-13</v>
          </cell>
          <cell r="I1105">
            <v>4.7</v>
          </cell>
          <cell r="J1105" t="str">
            <v>No formal educational credential</v>
          </cell>
          <cell r="K1105" t="str">
            <v>None</v>
          </cell>
          <cell r="L1105" t="str">
            <v>Short-term on-the-job training</v>
          </cell>
          <cell r="M1105" t="str">
            <v>OOH Content</v>
          </cell>
        </row>
        <row r="1106">
          <cell r="A1106" t="str">
            <v>53-7064</v>
          </cell>
          <cell r="B1106" t="str">
            <v xml:space="preserve">        Packers and packagers, hand</v>
          </cell>
          <cell r="C1106" t="str">
            <v>Line item</v>
          </cell>
          <cell r="D1106">
            <v>35580</v>
          </cell>
          <cell r="E1106">
            <v>591.79999999999995</v>
          </cell>
          <cell r="F1106">
            <v>559.70000000000005</v>
          </cell>
          <cell r="G1106">
            <v>-32.200000000000003</v>
          </cell>
          <cell r="H1106">
            <v>-5.4</v>
          </cell>
          <cell r="I1106">
            <v>74</v>
          </cell>
          <cell r="J1106" t="str">
            <v>No formal educational credential</v>
          </cell>
          <cell r="K1106" t="str">
            <v>None</v>
          </cell>
          <cell r="L1106" t="str">
            <v>Short-term on-the-job training</v>
          </cell>
          <cell r="M1106" t="str">
            <v>OOH Content</v>
          </cell>
        </row>
        <row r="1107">
          <cell r="A1107" t="str">
            <v>53-7065</v>
          </cell>
          <cell r="B1107" t="str">
            <v xml:space="preserve">        Stockers and order fillers</v>
          </cell>
          <cell r="C1107" t="str">
            <v>Line item</v>
          </cell>
          <cell r="D1107">
            <v>37090</v>
          </cell>
          <cell r="E1107">
            <v>2764.8</v>
          </cell>
          <cell r="F1107">
            <v>2999.8</v>
          </cell>
          <cell r="G1107">
            <v>235</v>
          </cell>
          <cell r="H1107">
            <v>8.5</v>
          </cell>
          <cell r="I1107">
            <v>472.3</v>
          </cell>
          <cell r="J1107" t="str">
            <v>No formal educational credential</v>
          </cell>
          <cell r="K1107" t="str">
            <v>None</v>
          </cell>
          <cell r="L1107" t="str">
            <v>Short-term on-the-job training</v>
          </cell>
          <cell r="M1107" t="str">
            <v>OOH Content</v>
          </cell>
        </row>
        <row r="1108">
          <cell r="A1108" t="str">
            <v>53-7070</v>
          </cell>
          <cell r="B1108" t="str">
            <v xml:space="preserve">      Pumping station operators</v>
          </cell>
          <cell r="C1108" t="str">
            <v>Summary</v>
          </cell>
          <cell r="D1108">
            <v>63940</v>
          </cell>
          <cell r="E1108">
            <v>37.299999999999997</v>
          </cell>
          <cell r="F1108">
            <v>36.700000000000003</v>
          </cell>
          <cell r="G1108">
            <v>-0.6</v>
          </cell>
          <cell r="H1108">
            <v>-1.7</v>
          </cell>
          <cell r="I1108">
            <v>4.0999999999999996</v>
          </cell>
          <cell r="J1108" t="str">
            <v>—</v>
          </cell>
          <cell r="K1108" t="str">
            <v>—</v>
          </cell>
          <cell r="L1108" t="str">
            <v>—</v>
          </cell>
          <cell r="M1108" t="str">
            <v>—</v>
          </cell>
        </row>
        <row r="1109">
          <cell r="A1109" t="str">
            <v>53-7071</v>
          </cell>
          <cell r="B1109" t="str">
            <v xml:space="preserve">        Gas compressor and gas pumping station operators</v>
          </cell>
          <cell r="C1109" t="str">
            <v>Line item</v>
          </cell>
          <cell r="D1109">
            <v>71510</v>
          </cell>
          <cell r="E1109">
            <v>5.4</v>
          </cell>
          <cell r="F1109">
            <v>5.3</v>
          </cell>
          <cell r="G1109">
            <v>-0.1</v>
          </cell>
          <cell r="H1109">
            <v>-1.3</v>
          </cell>
          <cell r="I1109">
            <v>0.6</v>
          </cell>
          <cell r="J1109" t="str">
            <v>High school diploma or equivalent</v>
          </cell>
          <cell r="K1109" t="str">
            <v>None</v>
          </cell>
          <cell r="L1109" t="str">
            <v>Moderate-term on-the-job training</v>
          </cell>
          <cell r="M1109" t="str">
            <v>—</v>
          </cell>
        </row>
        <row r="1110">
          <cell r="A1110" t="str">
            <v>53-7072</v>
          </cell>
          <cell r="B1110" t="str">
            <v xml:space="preserve">        Pump operators, except wellhead pumpers</v>
          </cell>
          <cell r="C1110" t="str">
            <v>Line item</v>
          </cell>
          <cell r="D1110">
            <v>60020</v>
          </cell>
          <cell r="E1110">
            <v>13.1</v>
          </cell>
          <cell r="F1110">
            <v>13.5</v>
          </cell>
          <cell r="G1110">
            <v>0.3</v>
          </cell>
          <cell r="H1110">
            <v>2.6</v>
          </cell>
          <cell r="I1110">
            <v>1.5</v>
          </cell>
          <cell r="J1110" t="str">
            <v>High school diploma or equivalent</v>
          </cell>
          <cell r="K1110" t="str">
            <v>None</v>
          </cell>
          <cell r="L1110" t="str">
            <v>Moderate-term on-the-job training</v>
          </cell>
          <cell r="M1110" t="str">
            <v>—</v>
          </cell>
        </row>
        <row r="1111">
          <cell r="A1111" t="str">
            <v>53-7073</v>
          </cell>
          <cell r="B1111" t="str">
            <v xml:space="preserve">        Wellhead pumpers</v>
          </cell>
          <cell r="C1111" t="str">
            <v>Line item</v>
          </cell>
          <cell r="D1111">
            <v>70010</v>
          </cell>
          <cell r="E1111">
            <v>18.8</v>
          </cell>
          <cell r="F1111">
            <v>17.899999999999999</v>
          </cell>
          <cell r="G1111">
            <v>-0.9</v>
          </cell>
          <cell r="H1111">
            <v>-4.7</v>
          </cell>
          <cell r="I1111">
            <v>2</v>
          </cell>
          <cell r="J1111" t="str">
            <v>High school diploma or equivalent</v>
          </cell>
          <cell r="K1111" t="str">
            <v>Less than 5 years</v>
          </cell>
          <cell r="L1111" t="str">
            <v>Moderate-term on-the-job training</v>
          </cell>
          <cell r="M1111" t="str">
            <v>—</v>
          </cell>
        </row>
        <row r="1112">
          <cell r="A1112" t="str">
            <v>53-7081</v>
          </cell>
          <cell r="B1112" t="str">
            <v xml:space="preserve">      Refuse and recyclable material collectors</v>
          </cell>
          <cell r="C1112" t="str">
            <v>Line item</v>
          </cell>
          <cell r="D1112">
            <v>48350</v>
          </cell>
          <cell r="E1112">
            <v>147.9</v>
          </cell>
          <cell r="F1112">
            <v>149.19999999999999</v>
          </cell>
          <cell r="G1112">
            <v>1.3</v>
          </cell>
          <cell r="H1112">
            <v>0.9</v>
          </cell>
          <cell r="I1112">
            <v>16.899999999999999</v>
          </cell>
          <cell r="J1112" t="str">
            <v>No formal educational credential</v>
          </cell>
          <cell r="K1112" t="str">
            <v>None</v>
          </cell>
          <cell r="L1112" t="str">
            <v>Short-term on-the-job training</v>
          </cell>
          <cell r="M1112" t="str">
            <v>OOH Content</v>
          </cell>
        </row>
        <row r="1113">
          <cell r="A1113" t="str">
            <v>53-7121</v>
          </cell>
          <cell r="B1113" t="str">
            <v xml:space="preserve">      Tank car, truck, and ship loaders</v>
          </cell>
          <cell r="C1113" t="str">
            <v>Line item</v>
          </cell>
          <cell r="D1113">
            <v>58070</v>
          </cell>
          <cell r="E1113">
            <v>12</v>
          </cell>
          <cell r="F1113">
            <v>12.5</v>
          </cell>
          <cell r="G1113">
            <v>0.5</v>
          </cell>
          <cell r="H1113">
            <v>4.3</v>
          </cell>
          <cell r="I1113">
            <v>1.3</v>
          </cell>
          <cell r="J1113" t="str">
            <v>No formal educational credential</v>
          </cell>
          <cell r="K1113" t="str">
            <v>None</v>
          </cell>
          <cell r="L1113" t="str">
            <v>Short-term on-the-job training</v>
          </cell>
          <cell r="M1113" t="str">
            <v>—</v>
          </cell>
        </row>
        <row r="1114">
          <cell r="A1114" t="str">
            <v>53-7199</v>
          </cell>
          <cell r="B1114" t="str">
            <v xml:space="preserve">      Material moving workers, all other</v>
          </cell>
          <cell r="C1114" t="str">
            <v>Line item</v>
          </cell>
          <cell r="D1114">
            <v>41690</v>
          </cell>
          <cell r="E1114">
            <v>27.7</v>
          </cell>
          <cell r="F1114">
            <v>28.9</v>
          </cell>
          <cell r="G1114">
            <v>1.2</v>
          </cell>
          <cell r="H1114">
            <v>4.3</v>
          </cell>
          <cell r="I1114">
            <v>3.1</v>
          </cell>
          <cell r="J1114" t="str">
            <v>No formal educational credential</v>
          </cell>
          <cell r="K1114" t="str">
            <v>None</v>
          </cell>
          <cell r="L1114" t="str">
            <v>Short-term on-the-job training</v>
          </cell>
          <cell r="M1114" t="str">
            <v>—</v>
          </cell>
        </row>
      </sheetData>
      <sheetData sheetId="7">
        <row r="1">
          <cell r="A1" t="str">
            <v>table, proj.</v>
          </cell>
          <cell r="B1" t="str">
            <v>AIOE file</v>
          </cell>
          <cell r="C1" t="str">
            <v>title</v>
          </cell>
          <cell r="D1" t="str">
            <v>type</v>
          </cell>
          <cell r="E1" t="str">
            <v>proj. %</v>
          </cell>
        </row>
        <row r="2">
          <cell r="A2" t="str">
            <v>00-0000</v>
          </cell>
          <cell r="B2" t="str">
            <v>11-1011</v>
          </cell>
          <cell r="C2" t="str">
            <v>Total, all occupations</v>
          </cell>
          <cell r="D2" t="str">
            <v>Summary</v>
          </cell>
          <cell r="E2">
            <v>3.1</v>
          </cell>
          <cell r="F2" t="str">
            <v>11-0000</v>
          </cell>
        </row>
        <row r="3">
          <cell r="A3" t="str">
            <v>11-0000</v>
          </cell>
          <cell r="B3" t="str">
            <v>11-1021</v>
          </cell>
          <cell r="C3" t="str">
            <v xml:space="preserve">  Management occupations</v>
          </cell>
          <cell r="D3" t="str">
            <v>Summary</v>
          </cell>
          <cell r="E3">
            <v>6.1</v>
          </cell>
          <cell r="F3" t="str">
            <v>11-1000</v>
          </cell>
        </row>
        <row r="4">
          <cell r="A4" t="str">
            <v>11-1000</v>
          </cell>
          <cell r="B4" t="str">
            <v>11-2011</v>
          </cell>
          <cell r="C4" t="str">
            <v xml:space="preserve">    Top executives</v>
          </cell>
          <cell r="D4" t="str">
            <v>Summary</v>
          </cell>
          <cell r="E4">
            <v>4.4000000000000004</v>
          </cell>
          <cell r="F4" t="str">
            <v>11-1031</v>
          </cell>
        </row>
        <row r="5">
          <cell r="A5" t="str">
            <v>11-1031</v>
          </cell>
          <cell r="B5" t="str">
            <v>11-2032</v>
          </cell>
          <cell r="C5" t="str">
            <v xml:space="preserve">      Legislators</v>
          </cell>
          <cell r="D5" t="str">
            <v>Line item</v>
          </cell>
          <cell r="E5">
            <v>3.4</v>
          </cell>
          <cell r="F5" t="str">
            <v>11-2000</v>
          </cell>
        </row>
        <row r="6">
          <cell r="A6" t="str">
            <v>11-2000</v>
          </cell>
          <cell r="B6" t="str">
            <v>11-3012</v>
          </cell>
          <cell r="C6" t="str">
            <v xml:space="preserve">    Advertising, marketing, promotions, public relations, and sales managers</v>
          </cell>
          <cell r="D6" t="str">
            <v>Summary</v>
          </cell>
          <cell r="E6">
            <v>5.2</v>
          </cell>
          <cell r="F6" t="str">
            <v>11-2020</v>
          </cell>
        </row>
        <row r="7">
          <cell r="A7" t="str">
            <v>11-2020</v>
          </cell>
          <cell r="B7" t="str">
            <v>11-3031</v>
          </cell>
          <cell r="C7" t="str">
            <v xml:space="preserve">      Marketing and sales managers</v>
          </cell>
          <cell r="D7" t="str">
            <v>Summary</v>
          </cell>
          <cell r="E7">
            <v>5.4</v>
          </cell>
          <cell r="F7" t="str">
            <v>11-2030</v>
          </cell>
        </row>
        <row r="8">
          <cell r="A8" t="str">
            <v>11-2030</v>
          </cell>
          <cell r="B8" t="str">
            <v>11-3071</v>
          </cell>
          <cell r="C8" t="str">
            <v xml:space="preserve">      Public relations and fundraising managers</v>
          </cell>
          <cell r="D8" t="str">
            <v>Summary</v>
          </cell>
          <cell r="E8">
            <v>4.7</v>
          </cell>
          <cell r="F8" t="str">
            <v>11-2033</v>
          </cell>
        </row>
        <row r="9">
          <cell r="A9" t="str">
            <v>11-2033</v>
          </cell>
          <cell r="B9" t="str">
            <v>11-3121</v>
          </cell>
          <cell r="C9" t="str">
            <v xml:space="preserve">        Fundraising managers</v>
          </cell>
          <cell r="D9" t="str">
            <v>Line item</v>
          </cell>
          <cell r="E9">
            <v>4.2</v>
          </cell>
          <cell r="F9" t="str">
            <v>11-3000</v>
          </cell>
        </row>
        <row r="10">
          <cell r="A10" t="str">
            <v>11-3000</v>
          </cell>
          <cell r="B10" t="str">
            <v>11-3131</v>
          </cell>
          <cell r="C10" t="str">
            <v xml:space="preserve">    Operations specialties managers</v>
          </cell>
          <cell r="D10" t="str">
            <v>Summary</v>
          </cell>
          <cell r="E10">
            <v>10.1</v>
          </cell>
          <cell r="F10" t="str">
            <v>11-3010</v>
          </cell>
        </row>
        <row r="11">
          <cell r="A11" t="str">
            <v>11-3010</v>
          </cell>
          <cell r="B11" t="str">
            <v>11-9013</v>
          </cell>
          <cell r="C11" t="str">
            <v xml:space="preserve">      Administrative services and facilities managers</v>
          </cell>
          <cell r="D11" t="str">
            <v>Summary</v>
          </cell>
          <cell r="E11">
            <v>4.3</v>
          </cell>
          <cell r="F11" t="str">
            <v>11-3013</v>
          </cell>
        </row>
        <row r="12">
          <cell r="A12" t="str">
            <v>11-3013</v>
          </cell>
          <cell r="B12" t="str">
            <v>11-9031</v>
          </cell>
          <cell r="C12" t="str">
            <v xml:space="preserve">        Facilities managers</v>
          </cell>
          <cell r="D12" t="str">
            <v>Line item</v>
          </cell>
          <cell r="E12">
            <v>3.8</v>
          </cell>
          <cell r="F12" t="str">
            <v>11-9000</v>
          </cell>
        </row>
        <row r="13">
          <cell r="A13" t="str">
            <v>11-9000</v>
          </cell>
          <cell r="B13" t="str">
            <v>11-9121</v>
          </cell>
          <cell r="C13" t="str">
            <v xml:space="preserve">    Other management occupations</v>
          </cell>
          <cell r="D13" t="str">
            <v>Summary</v>
          </cell>
          <cell r="E13">
            <v>5.6</v>
          </cell>
          <cell r="F13" t="str">
            <v>11-9030</v>
          </cell>
        </row>
        <row r="14">
          <cell r="A14" t="str">
            <v>11-9030</v>
          </cell>
          <cell r="B14" t="str">
            <v>11-9151</v>
          </cell>
          <cell r="C14" t="str">
            <v xml:space="preserve">      Education and childcare administrators</v>
          </cell>
          <cell r="D14" t="str">
            <v>Summary</v>
          </cell>
          <cell r="E14">
            <v>-0.3</v>
          </cell>
          <cell r="F14" t="str">
            <v>11-9070</v>
          </cell>
        </row>
        <row r="15">
          <cell r="A15" t="str">
            <v>11-9070</v>
          </cell>
          <cell r="B15" t="str">
            <v>13-1032</v>
          </cell>
          <cell r="C15" t="str">
            <v xml:space="preserve">      Entertainment and recreation managers</v>
          </cell>
          <cell r="D15" t="str">
            <v>Summary</v>
          </cell>
          <cell r="E15">
            <v>7</v>
          </cell>
          <cell r="F15" t="str">
            <v>11-9072</v>
          </cell>
        </row>
        <row r="16">
          <cell r="A16" t="str">
            <v>11-9072</v>
          </cell>
          <cell r="B16" t="str">
            <v>13-1051</v>
          </cell>
          <cell r="C16" t="str">
            <v xml:space="preserve">        Entertainment and recreation managers, except gambling</v>
          </cell>
          <cell r="D16" t="str">
            <v>Line item</v>
          </cell>
          <cell r="E16">
            <v>7.7</v>
          </cell>
          <cell r="F16" t="str">
            <v>11-9170</v>
          </cell>
        </row>
        <row r="17">
          <cell r="A17" t="str">
            <v>11-9170</v>
          </cell>
          <cell r="B17" t="str">
            <v>13-1141</v>
          </cell>
          <cell r="C17" t="str">
            <v xml:space="preserve">      Personal service managers</v>
          </cell>
          <cell r="D17" t="str">
            <v>Summary</v>
          </cell>
          <cell r="E17">
            <v>5.2</v>
          </cell>
          <cell r="F17" t="str">
            <v>11-9179</v>
          </cell>
        </row>
        <row r="18">
          <cell r="A18" t="str">
            <v>11-9179</v>
          </cell>
          <cell r="B18" t="str">
            <v>13-1161</v>
          </cell>
          <cell r="C18" t="str">
            <v xml:space="preserve">        Personal service managers, all other</v>
          </cell>
          <cell r="D18" t="str">
            <v>Line item</v>
          </cell>
          <cell r="E18">
            <v>6.5</v>
          </cell>
          <cell r="F18" t="str">
            <v>13-0000</v>
          </cell>
        </row>
        <row r="19">
          <cell r="A19" t="str">
            <v>13-0000</v>
          </cell>
          <cell r="B19" t="str">
            <v>13-2011</v>
          </cell>
          <cell r="C19" t="str">
            <v xml:space="preserve">  Business and financial operations occupations</v>
          </cell>
          <cell r="D19" t="str">
            <v>Summary</v>
          </cell>
          <cell r="E19">
            <v>5.2</v>
          </cell>
          <cell r="F19" t="str">
            <v>13-1000</v>
          </cell>
        </row>
        <row r="20">
          <cell r="A20" t="str">
            <v>13-1000</v>
          </cell>
          <cell r="B20" t="str">
            <v>13-2020</v>
          </cell>
          <cell r="C20" t="str">
            <v xml:space="preserve">    Business operations specialists</v>
          </cell>
          <cell r="D20" t="str">
            <v>Summary</v>
          </cell>
          <cell r="E20">
            <v>5.5</v>
          </cell>
          <cell r="F20" t="str">
            <v>13-1030</v>
          </cell>
        </row>
        <row r="21">
          <cell r="A21" t="str">
            <v>13-1030</v>
          </cell>
          <cell r="B21" t="str">
            <v>13-2051</v>
          </cell>
          <cell r="C21" t="str">
            <v xml:space="preserve">      Claims adjusters, appraisers, examiners, and investigators</v>
          </cell>
          <cell r="D21" t="str">
            <v>Summary</v>
          </cell>
          <cell r="E21">
            <v>-5.2</v>
          </cell>
          <cell r="F21" t="str">
            <v>13-1070</v>
          </cell>
        </row>
        <row r="22">
          <cell r="A22" t="str">
            <v>13-1070</v>
          </cell>
          <cell r="B22" t="str">
            <v>13-2072</v>
          </cell>
          <cell r="C22" t="str">
            <v xml:space="preserve">      Human resources workers</v>
          </cell>
          <cell r="D22" t="str">
            <v>Summary</v>
          </cell>
          <cell r="E22">
            <v>5.8</v>
          </cell>
          <cell r="F22" t="str">
            <v>13-1080</v>
          </cell>
        </row>
        <row r="23">
          <cell r="A23" t="str">
            <v>13-1080</v>
          </cell>
          <cell r="B23" t="str">
            <v>15-1211</v>
          </cell>
          <cell r="C23" t="str">
            <v xml:space="preserve">      Logisticians and project management specialists</v>
          </cell>
          <cell r="D23" t="str">
            <v>Summary</v>
          </cell>
          <cell r="E23">
            <v>7.7</v>
          </cell>
          <cell r="F23" t="str">
            <v>13-1082</v>
          </cell>
        </row>
        <row r="24">
          <cell r="A24" t="str">
            <v>13-1082</v>
          </cell>
          <cell r="B24" t="str">
            <v>15-1221</v>
          </cell>
          <cell r="C24" t="str">
            <v xml:space="preserve">        Project management specialists</v>
          </cell>
          <cell r="D24" t="str">
            <v>Line item</v>
          </cell>
          <cell r="E24">
            <v>5.6</v>
          </cell>
          <cell r="F24" t="str">
            <v>13-2000</v>
          </cell>
        </row>
        <row r="25">
          <cell r="A25" t="str">
            <v>13-2000</v>
          </cell>
          <cell r="B25" t="str">
            <v>15-1254</v>
          </cell>
          <cell r="C25" t="str">
            <v xml:space="preserve">    Financial specialists</v>
          </cell>
          <cell r="D25" t="str">
            <v>Summary</v>
          </cell>
          <cell r="E25">
            <v>4.5</v>
          </cell>
          <cell r="F25" t="str">
            <v>13-2050</v>
          </cell>
        </row>
        <row r="26">
          <cell r="A26" t="str">
            <v>13-2050</v>
          </cell>
          <cell r="B26" t="str">
            <v>15-2031</v>
          </cell>
          <cell r="C26" t="str">
            <v xml:space="preserve">      Financial analysts and advisors</v>
          </cell>
          <cell r="D26" t="str">
            <v>Summary</v>
          </cell>
          <cell r="E26">
            <v>6</v>
          </cell>
          <cell r="F26" t="str">
            <v>13-2054</v>
          </cell>
        </row>
        <row r="27">
          <cell r="A27" t="str">
            <v>13-2054</v>
          </cell>
          <cell r="B27" t="str">
            <v>17-1021</v>
          </cell>
          <cell r="C27" t="str">
            <v xml:space="preserve">        Financial risk specialists</v>
          </cell>
          <cell r="D27" t="str">
            <v>Line item</v>
          </cell>
          <cell r="E27">
            <v>6.5</v>
          </cell>
          <cell r="F27" t="str">
            <v>13-2070</v>
          </cell>
        </row>
        <row r="28">
          <cell r="A28" t="str">
            <v>13-2070</v>
          </cell>
          <cell r="B28" t="str">
            <v>17-2011</v>
          </cell>
          <cell r="C28" t="str">
            <v xml:space="preserve">      Credit counselors and loan officers</v>
          </cell>
          <cell r="D28" t="str">
            <v>Summary</v>
          </cell>
          <cell r="E28">
            <v>1.8</v>
          </cell>
          <cell r="F28" t="str">
            <v>13-2080</v>
          </cell>
        </row>
        <row r="29">
          <cell r="A29" t="str">
            <v>13-2080</v>
          </cell>
          <cell r="B29" t="str">
            <v>17-2041</v>
          </cell>
          <cell r="C29" t="str">
            <v xml:space="preserve">      Tax examiners, collectors and preparers, and revenue agents</v>
          </cell>
          <cell r="D29" t="str">
            <v>Summary</v>
          </cell>
          <cell r="E29">
            <v>2.1</v>
          </cell>
          <cell r="F29" t="str">
            <v>15-0000</v>
          </cell>
        </row>
        <row r="30">
          <cell r="A30" t="str">
            <v>15-0000</v>
          </cell>
          <cell r="B30" t="str">
            <v>17-2072</v>
          </cell>
          <cell r="C30" t="str">
            <v xml:space="preserve">  Computer and mathematical occupations</v>
          </cell>
          <cell r="D30" t="str">
            <v>Summary</v>
          </cell>
          <cell r="E30">
            <v>10.1</v>
          </cell>
          <cell r="F30" t="str">
            <v>15-1200</v>
          </cell>
        </row>
        <row r="31">
          <cell r="A31" t="str">
            <v>15-1200</v>
          </cell>
          <cell r="B31" t="str">
            <v>17-2081</v>
          </cell>
          <cell r="C31" t="str">
            <v xml:space="preserve">    Computer occupations</v>
          </cell>
          <cell r="D31" t="str">
            <v>Summary</v>
          </cell>
          <cell r="E31">
            <v>8.6</v>
          </cell>
          <cell r="F31" t="str">
            <v>15-1210</v>
          </cell>
        </row>
        <row r="32">
          <cell r="A32" t="str">
            <v>15-1210</v>
          </cell>
          <cell r="B32" t="str">
            <v>17-2111</v>
          </cell>
          <cell r="C32" t="str">
            <v xml:space="preserve">      Computer and information analysts</v>
          </cell>
          <cell r="D32" t="str">
            <v>Summary</v>
          </cell>
          <cell r="E32">
            <v>13.9</v>
          </cell>
          <cell r="F32" t="str">
            <v>15-1230</v>
          </cell>
        </row>
        <row r="33">
          <cell r="A33" t="str">
            <v>15-1230</v>
          </cell>
          <cell r="B33" t="str">
            <v>17-2141</v>
          </cell>
          <cell r="C33" t="str">
            <v xml:space="preserve">      Computer support specialists</v>
          </cell>
          <cell r="D33" t="str">
            <v>Summary</v>
          </cell>
          <cell r="E33">
            <v>-2.7</v>
          </cell>
          <cell r="F33" t="str">
            <v>15-1240</v>
          </cell>
        </row>
        <row r="34">
          <cell r="A34" t="str">
            <v>15-1240</v>
          </cell>
          <cell r="B34" t="str">
            <v>17-2171</v>
          </cell>
          <cell r="C34" t="str">
            <v xml:space="preserve">      Database and network administrators and architects</v>
          </cell>
          <cell r="D34" t="str">
            <v>Summary</v>
          </cell>
          <cell r="E34">
            <v>2</v>
          </cell>
          <cell r="F34" t="str">
            <v>15-1243</v>
          </cell>
        </row>
        <row r="35">
          <cell r="A35" t="str">
            <v>15-1243</v>
          </cell>
          <cell r="B35" t="str">
            <v>17-3012</v>
          </cell>
          <cell r="C35" t="str">
            <v xml:space="preserve">        Database architects</v>
          </cell>
          <cell r="D35" t="str">
            <v>Line item</v>
          </cell>
          <cell r="E35">
            <v>8.6999999999999993</v>
          </cell>
          <cell r="F35" t="str">
            <v>15-1250</v>
          </cell>
        </row>
        <row r="36">
          <cell r="A36" t="str">
            <v>15-1250</v>
          </cell>
          <cell r="B36" t="str">
            <v>17-3021</v>
          </cell>
          <cell r="C36" t="str">
            <v xml:space="preserve">      Software and web developers, programmers, and testers</v>
          </cell>
          <cell r="D36" t="str">
            <v>Summary</v>
          </cell>
          <cell r="E36">
            <v>13.3</v>
          </cell>
          <cell r="F36" t="str">
            <v>15-1253</v>
          </cell>
        </row>
        <row r="37">
          <cell r="A37" t="str">
            <v>15-1253</v>
          </cell>
          <cell r="B37" t="str">
            <v>17-3024</v>
          </cell>
          <cell r="C37" t="str">
            <v xml:space="preserve">        Software quality assurance analysts and testers</v>
          </cell>
          <cell r="D37" t="str">
            <v>Line item</v>
          </cell>
          <cell r="E37">
            <v>10</v>
          </cell>
          <cell r="F37" t="str">
            <v>15-1255</v>
          </cell>
        </row>
        <row r="38">
          <cell r="A38" t="str">
            <v>15-1255</v>
          </cell>
          <cell r="B38" t="str">
            <v>17-3026</v>
          </cell>
          <cell r="C38" t="str">
            <v xml:space="preserve">        Web and digital interface designers</v>
          </cell>
          <cell r="D38" t="str">
            <v>Line item</v>
          </cell>
          <cell r="E38">
            <v>7</v>
          </cell>
          <cell r="F38" t="str">
            <v>15-2051</v>
          </cell>
        </row>
        <row r="39">
          <cell r="A39" t="str">
            <v>15-2051</v>
          </cell>
          <cell r="B39" t="str">
            <v>19-1020</v>
          </cell>
          <cell r="C39" t="str">
            <v xml:space="preserve">      Data scientists</v>
          </cell>
          <cell r="D39" t="str">
            <v>Line item</v>
          </cell>
          <cell r="E39">
            <v>33.5</v>
          </cell>
          <cell r="F39" t="str">
            <v>15-2099</v>
          </cell>
        </row>
        <row r="40">
          <cell r="A40" t="str">
            <v>15-2099</v>
          </cell>
          <cell r="B40" t="str">
            <v>19-1021</v>
          </cell>
          <cell r="C40" t="str">
            <v xml:space="preserve">      Mathematical science occupations, all other</v>
          </cell>
          <cell r="D40" t="str">
            <v>Line item</v>
          </cell>
          <cell r="E40">
            <v>4</v>
          </cell>
          <cell r="F40" t="str">
            <v>17-0000</v>
          </cell>
        </row>
        <row r="41">
          <cell r="A41" t="str">
            <v>17-0000</v>
          </cell>
          <cell r="B41" t="str">
            <v>19-1022</v>
          </cell>
          <cell r="C41" t="str">
            <v xml:space="preserve">  Architecture and engineering occupations</v>
          </cell>
          <cell r="D41" t="str">
            <v>Summary</v>
          </cell>
          <cell r="E41">
            <v>5.3</v>
          </cell>
          <cell r="F41" t="str">
            <v>17-1000</v>
          </cell>
        </row>
        <row r="42">
          <cell r="A42" t="str">
            <v>17-1000</v>
          </cell>
          <cell r="B42" t="str">
            <v>19-1023</v>
          </cell>
          <cell r="C42" t="str">
            <v xml:space="preserve">    Architects, surveyors, and cartographers</v>
          </cell>
          <cell r="D42" t="str">
            <v>Summary</v>
          </cell>
          <cell r="E42">
            <v>4.0999999999999996</v>
          </cell>
          <cell r="F42" t="str">
            <v>17-1010</v>
          </cell>
        </row>
        <row r="43">
          <cell r="A43" t="str">
            <v>17-1010</v>
          </cell>
          <cell r="B43" t="str">
            <v>19-1029</v>
          </cell>
          <cell r="C43" t="str">
            <v xml:space="preserve">      Architects, except naval</v>
          </cell>
          <cell r="D43" t="str">
            <v>Summary</v>
          </cell>
          <cell r="E43">
            <v>3.8</v>
          </cell>
          <cell r="F43" t="str">
            <v>17-1020</v>
          </cell>
        </row>
        <row r="44">
          <cell r="A44" t="str">
            <v>17-1020</v>
          </cell>
          <cell r="B44" t="str">
            <v>19-1041</v>
          </cell>
          <cell r="C44" t="str">
            <v xml:space="preserve">      Surveyors, cartographers, and photogrammetrists</v>
          </cell>
          <cell r="D44" t="str">
            <v>Summary</v>
          </cell>
          <cell r="E44">
            <v>4.8</v>
          </cell>
          <cell r="F44" t="str">
            <v>17-2000</v>
          </cell>
        </row>
        <row r="45">
          <cell r="A45" t="str">
            <v>17-2000</v>
          </cell>
          <cell r="B45" t="str">
            <v>19-2012</v>
          </cell>
          <cell r="C45" t="str">
            <v xml:space="preserve">    Engineers</v>
          </cell>
          <cell r="D45" t="str">
            <v>Summary</v>
          </cell>
          <cell r="E45">
            <v>6.9</v>
          </cell>
          <cell r="F45" t="str">
            <v>17-2070</v>
          </cell>
        </row>
        <row r="46">
          <cell r="A46" t="str">
            <v>17-2070</v>
          </cell>
          <cell r="B46" t="str">
            <v>19-2099</v>
          </cell>
          <cell r="C46" t="str">
            <v xml:space="preserve">      Electrical and electronics engineers</v>
          </cell>
          <cell r="D46" t="str">
            <v>Summary</v>
          </cell>
          <cell r="E46">
            <v>6.9</v>
          </cell>
          <cell r="F46" t="str">
            <v>17-2110</v>
          </cell>
        </row>
        <row r="47">
          <cell r="A47" t="str">
            <v>17-2110</v>
          </cell>
          <cell r="B47" t="str">
            <v>19-3033</v>
          </cell>
          <cell r="C47" t="str">
            <v xml:space="preserve">      Industrial engineers, including health and safety</v>
          </cell>
          <cell r="D47" t="str">
            <v>Summary</v>
          </cell>
          <cell r="E47">
            <v>10.6</v>
          </cell>
          <cell r="F47" t="str">
            <v>17-3000</v>
          </cell>
        </row>
        <row r="48">
          <cell r="A48" t="str">
            <v>17-3000</v>
          </cell>
          <cell r="B48" t="str">
            <v>19-4021</v>
          </cell>
          <cell r="C48" t="str">
            <v xml:space="preserve">    Drafters, engineering technicians, and mapping technicians</v>
          </cell>
          <cell r="D48" t="str">
            <v>Summary</v>
          </cell>
          <cell r="E48">
            <v>1.3</v>
          </cell>
          <cell r="F48" t="str">
            <v>17-3010</v>
          </cell>
        </row>
        <row r="49">
          <cell r="A49" t="str">
            <v>17-3010</v>
          </cell>
          <cell r="B49" t="str">
            <v>19-4031</v>
          </cell>
          <cell r="C49" t="str">
            <v xml:space="preserve">      Drafters</v>
          </cell>
          <cell r="D49" t="str">
            <v>Summary</v>
          </cell>
          <cell r="E49">
            <v>-0.3</v>
          </cell>
          <cell r="F49" t="str">
            <v>17-3019</v>
          </cell>
        </row>
        <row r="50">
          <cell r="A50" t="str">
            <v>17-3019</v>
          </cell>
          <cell r="B50" t="str">
            <v>19-4061</v>
          </cell>
          <cell r="C50" t="str">
            <v xml:space="preserve">        Drafters, all other</v>
          </cell>
          <cell r="D50" t="str">
            <v>Line item</v>
          </cell>
          <cell r="E50">
            <v>-6.9</v>
          </cell>
          <cell r="F50" t="str">
            <v>17-3020</v>
          </cell>
        </row>
        <row r="51">
          <cell r="A51" t="str">
            <v>17-3020</v>
          </cell>
          <cell r="B51" t="str">
            <v>19-4071</v>
          </cell>
          <cell r="C51" t="str">
            <v xml:space="preserve">      Engineering technologists and technicians, except drafters</v>
          </cell>
          <cell r="D51" t="str">
            <v>Summary</v>
          </cell>
          <cell r="E51">
            <v>1.5</v>
          </cell>
          <cell r="F51" t="str">
            <v>17-3028</v>
          </cell>
        </row>
        <row r="52">
          <cell r="A52" t="str">
            <v>17-3028</v>
          </cell>
          <cell r="B52" t="str">
            <v>21-1018</v>
          </cell>
          <cell r="C52" t="str">
            <v xml:space="preserve">        Calibration technologists and technicians</v>
          </cell>
          <cell r="D52" t="str">
            <v>Line item</v>
          </cell>
          <cell r="E52">
            <v>4.7</v>
          </cell>
          <cell r="F52" t="str">
            <v>19-0000</v>
          </cell>
        </row>
        <row r="53">
          <cell r="A53" t="str">
            <v>19-0000</v>
          </cell>
          <cell r="B53" t="str">
            <v>21-1023</v>
          </cell>
          <cell r="C53" t="str">
            <v xml:space="preserve">  Life, physical, and social science occupations</v>
          </cell>
          <cell r="D53" t="str">
            <v>Summary</v>
          </cell>
          <cell r="E53">
            <v>5</v>
          </cell>
          <cell r="F53" t="str">
            <v>19-1000</v>
          </cell>
        </row>
        <row r="54">
          <cell r="A54" t="str">
            <v>19-1000</v>
          </cell>
          <cell r="B54" t="str">
            <v>21-1091</v>
          </cell>
          <cell r="C54" t="str">
            <v xml:space="preserve">    Life scientists</v>
          </cell>
          <cell r="D54" t="str">
            <v>Summary</v>
          </cell>
          <cell r="E54">
            <v>5.9</v>
          </cell>
          <cell r="F54" t="str">
            <v>19-1010</v>
          </cell>
        </row>
        <row r="55">
          <cell r="A55" t="str">
            <v>19-1010</v>
          </cell>
          <cell r="B55" t="str">
            <v>21-1092</v>
          </cell>
          <cell r="C55" t="str">
            <v xml:space="preserve">      Agricultural and food scientists</v>
          </cell>
          <cell r="D55" t="str">
            <v>Summary</v>
          </cell>
          <cell r="E55">
            <v>5.9</v>
          </cell>
          <cell r="F55" t="str">
            <v>19-1030</v>
          </cell>
        </row>
        <row r="56">
          <cell r="A56" t="str">
            <v>19-1030</v>
          </cell>
          <cell r="B56" t="str">
            <v>23-1023</v>
          </cell>
          <cell r="C56" t="str">
            <v xml:space="preserve">      Conservation scientists and foresters</v>
          </cell>
          <cell r="D56" t="str">
            <v>Summary</v>
          </cell>
          <cell r="E56">
            <v>2.7</v>
          </cell>
          <cell r="F56" t="str">
            <v>19-1040</v>
          </cell>
        </row>
        <row r="57">
          <cell r="A57" t="str">
            <v>19-1040</v>
          </cell>
          <cell r="B57" t="str">
            <v>25-1011</v>
          </cell>
          <cell r="C57" t="str">
            <v xml:space="preserve">      Medical scientists</v>
          </cell>
          <cell r="D57" t="str">
            <v>Summary</v>
          </cell>
          <cell r="E57">
            <v>9.1999999999999993</v>
          </cell>
          <cell r="F57" t="str">
            <v>19-1099</v>
          </cell>
        </row>
        <row r="58">
          <cell r="A58" t="str">
            <v>19-1099</v>
          </cell>
          <cell r="B58" t="str">
            <v>25-1031</v>
          </cell>
          <cell r="C58" t="str">
            <v xml:space="preserve">      Life scientists, all other</v>
          </cell>
          <cell r="D58" t="str">
            <v>Line item</v>
          </cell>
          <cell r="E58">
            <v>3.7</v>
          </cell>
          <cell r="F58" t="str">
            <v>19-2000</v>
          </cell>
        </row>
        <row r="59">
          <cell r="A59" t="str">
            <v>19-2000</v>
          </cell>
          <cell r="B59" t="str">
            <v>25-1032</v>
          </cell>
          <cell r="C59" t="str">
            <v xml:space="preserve">    Physical scientists</v>
          </cell>
          <cell r="D59" t="str">
            <v>Summary</v>
          </cell>
          <cell r="E59">
            <v>3.8</v>
          </cell>
          <cell r="F59" t="str">
            <v>19-2010</v>
          </cell>
        </row>
        <row r="60">
          <cell r="A60" t="str">
            <v>19-2010</v>
          </cell>
          <cell r="B60" t="str">
            <v>25-1041</v>
          </cell>
          <cell r="C60" t="str">
            <v xml:space="preserve">      Astronomers and physicists</v>
          </cell>
          <cell r="D60" t="str">
            <v>Summary</v>
          </cell>
          <cell r="E60">
            <v>3.9</v>
          </cell>
          <cell r="F60" t="str">
            <v>19-2030</v>
          </cell>
        </row>
        <row r="61">
          <cell r="A61" t="str">
            <v>19-2030</v>
          </cell>
          <cell r="B61" t="str">
            <v>25-1052</v>
          </cell>
          <cell r="C61" t="str">
            <v xml:space="preserve">      Chemists and materials scientists</v>
          </cell>
          <cell r="D61" t="str">
            <v>Summary</v>
          </cell>
          <cell r="E61">
            <v>4.9000000000000004</v>
          </cell>
          <cell r="F61" t="str">
            <v>19-2040</v>
          </cell>
        </row>
        <row r="62">
          <cell r="A62" t="str">
            <v>19-2040</v>
          </cell>
          <cell r="B62" t="str">
            <v>25-1061</v>
          </cell>
          <cell r="C62" t="str">
            <v xml:space="preserve">      Environmental scientists and geoscientists</v>
          </cell>
          <cell r="D62" t="str">
            <v>Summary</v>
          </cell>
          <cell r="E62">
            <v>4</v>
          </cell>
          <cell r="F62" t="str">
            <v>19-3000</v>
          </cell>
        </row>
        <row r="63">
          <cell r="A63" t="str">
            <v>19-3000</v>
          </cell>
          <cell r="B63" t="str">
            <v>25-1066</v>
          </cell>
          <cell r="C63" t="str">
            <v xml:space="preserve">    Social scientists and related workers</v>
          </cell>
          <cell r="D63" t="str">
            <v>Summary</v>
          </cell>
          <cell r="E63">
            <v>3.7</v>
          </cell>
          <cell r="F63" t="str">
            <v>19-3030</v>
          </cell>
        </row>
        <row r="64">
          <cell r="A64" t="str">
            <v>19-3030</v>
          </cell>
          <cell r="B64" t="str">
            <v>25-1072</v>
          </cell>
          <cell r="C64" t="str">
            <v xml:space="preserve">      Psychologists</v>
          </cell>
          <cell r="D64" t="str">
            <v>Summary</v>
          </cell>
          <cell r="E64">
            <v>5.8</v>
          </cell>
          <cell r="F64" t="str">
            <v>19-3034</v>
          </cell>
        </row>
        <row r="65">
          <cell r="A65" t="str">
            <v>19-3034</v>
          </cell>
          <cell r="B65" t="str">
            <v>25-1111</v>
          </cell>
          <cell r="C65" t="str">
            <v xml:space="preserve">        School psychologists</v>
          </cell>
          <cell r="D65" t="str">
            <v>Line item</v>
          </cell>
          <cell r="E65">
            <v>0.7</v>
          </cell>
          <cell r="F65" t="str">
            <v>19-3090</v>
          </cell>
        </row>
        <row r="66">
          <cell r="A66" t="str">
            <v>19-3090</v>
          </cell>
          <cell r="B66" t="str">
            <v>25-1122</v>
          </cell>
          <cell r="C66" t="str">
            <v xml:space="preserve">      Miscellaneous social scientists and related workers</v>
          </cell>
          <cell r="D66" t="str">
            <v>Summary</v>
          </cell>
          <cell r="E66">
            <v>-0.9</v>
          </cell>
          <cell r="F66" t="str">
            <v>19-4000</v>
          </cell>
        </row>
        <row r="67">
          <cell r="A67" t="str">
            <v>19-4000</v>
          </cell>
          <cell r="B67" t="str">
            <v>25-1193</v>
          </cell>
          <cell r="C67" t="str">
            <v xml:space="preserve">    Life, physical, and social science technicians</v>
          </cell>
          <cell r="D67" t="str">
            <v>Summary</v>
          </cell>
          <cell r="E67">
            <v>3.4</v>
          </cell>
          <cell r="F67" t="str">
            <v>19-4012</v>
          </cell>
        </row>
        <row r="68">
          <cell r="A68" t="str">
            <v>19-4012</v>
          </cell>
          <cell r="B68" t="str">
            <v>25-2011</v>
          </cell>
          <cell r="C68" t="str">
            <v xml:space="preserve">        Agricultural technicians</v>
          </cell>
          <cell r="D68" t="str">
            <v>Line item</v>
          </cell>
          <cell r="E68">
            <v>4.3</v>
          </cell>
          <cell r="F68" t="str">
            <v>19-4013</v>
          </cell>
        </row>
        <row r="69">
          <cell r="A69" t="str">
            <v>19-4013</v>
          </cell>
          <cell r="B69" t="str">
            <v>25-2012</v>
          </cell>
          <cell r="C69" t="str">
            <v xml:space="preserve">        Food science technicians</v>
          </cell>
          <cell r="D69" t="str">
            <v>Line item</v>
          </cell>
          <cell r="E69">
            <v>4.8</v>
          </cell>
          <cell r="F69" t="str">
            <v>19-4040</v>
          </cell>
        </row>
        <row r="70">
          <cell r="A70" t="str">
            <v>19-4040</v>
          </cell>
          <cell r="B70" t="str">
            <v>25-2023</v>
          </cell>
          <cell r="C70" t="str">
            <v xml:space="preserve">      Environmental science and geoscience technicians</v>
          </cell>
          <cell r="D70" t="str">
            <v>Summary</v>
          </cell>
          <cell r="E70">
            <v>3.2</v>
          </cell>
          <cell r="F70" t="str">
            <v>19-4044</v>
          </cell>
        </row>
        <row r="71">
          <cell r="A71" t="str">
            <v>19-4044</v>
          </cell>
          <cell r="B71" t="str">
            <v>25-2051</v>
          </cell>
          <cell r="C71" t="str">
            <v xml:space="preserve">        Hydrologic technicians</v>
          </cell>
          <cell r="D71" t="str">
            <v>Line item</v>
          </cell>
          <cell r="E71">
            <v>-2.1</v>
          </cell>
          <cell r="F71" t="str">
            <v>19-4090</v>
          </cell>
        </row>
        <row r="72">
          <cell r="A72" t="str">
            <v>19-4090</v>
          </cell>
          <cell r="B72" t="str">
            <v>25-2059</v>
          </cell>
          <cell r="C72" t="str">
            <v xml:space="preserve">      Miscellaneous life, physical, and social science technicians</v>
          </cell>
          <cell r="D72" t="str">
            <v>Summary</v>
          </cell>
          <cell r="E72">
            <v>5.4</v>
          </cell>
          <cell r="F72" t="str">
            <v>19-5000</v>
          </cell>
        </row>
        <row r="73">
          <cell r="A73" t="str">
            <v>19-5000</v>
          </cell>
          <cell r="B73" t="str">
            <v>25-3099</v>
          </cell>
          <cell r="C73" t="str">
            <v xml:space="preserve">    Occupational health and safety specialists and technicians</v>
          </cell>
          <cell r="D73" t="str">
            <v>Summary</v>
          </cell>
          <cell r="E73">
            <v>11.7</v>
          </cell>
          <cell r="F73" t="str">
            <v>21-0000</v>
          </cell>
        </row>
        <row r="74">
          <cell r="A74" t="str">
            <v>21-0000</v>
          </cell>
          <cell r="B74" t="str">
            <v>25-4013</v>
          </cell>
          <cell r="C74" t="str">
            <v xml:space="preserve">  Community and social service occupations</v>
          </cell>
          <cell r="D74" t="str">
            <v>Summary</v>
          </cell>
          <cell r="E74">
            <v>6.6</v>
          </cell>
          <cell r="F74" t="str">
            <v>21-1000</v>
          </cell>
        </row>
        <row r="75">
          <cell r="A75" t="str">
            <v>21-1000</v>
          </cell>
          <cell r="B75" t="str">
            <v>25-4022</v>
          </cell>
          <cell r="C75" t="str">
            <v xml:space="preserve">    Counselors, social workers, and other community and social service specialists</v>
          </cell>
          <cell r="D75" t="str">
            <v>Summary</v>
          </cell>
          <cell r="E75">
            <v>7.6</v>
          </cell>
          <cell r="F75" t="str">
            <v>21-1010</v>
          </cell>
        </row>
        <row r="76">
          <cell r="A76" t="str">
            <v>21-1010</v>
          </cell>
          <cell r="B76" t="str">
            <v>25-4031</v>
          </cell>
          <cell r="C76" t="str">
            <v xml:space="preserve">      Counselors</v>
          </cell>
          <cell r="D76" t="str">
            <v>Summary</v>
          </cell>
          <cell r="E76">
            <v>10.4</v>
          </cell>
          <cell r="F76" t="str">
            <v>21-1019</v>
          </cell>
        </row>
        <row r="77">
          <cell r="A77" t="str">
            <v>21-1019</v>
          </cell>
          <cell r="B77" t="str">
            <v>27-1011</v>
          </cell>
          <cell r="C77" t="str">
            <v xml:space="preserve">        Counselors, all other</v>
          </cell>
          <cell r="D77" t="str">
            <v>Line item</v>
          </cell>
          <cell r="E77">
            <v>12.6</v>
          </cell>
          <cell r="F77" t="str">
            <v>21-1020</v>
          </cell>
        </row>
        <row r="78">
          <cell r="A78" t="str">
            <v>21-1020</v>
          </cell>
          <cell r="B78" t="str">
            <v>27-1012</v>
          </cell>
          <cell r="C78" t="str">
            <v xml:space="preserve">      Social workers</v>
          </cell>
          <cell r="D78" t="str">
            <v>Summary</v>
          </cell>
          <cell r="E78">
            <v>5.5</v>
          </cell>
          <cell r="F78" t="str">
            <v>21-1029</v>
          </cell>
        </row>
        <row r="79">
          <cell r="A79" t="str">
            <v>21-1029</v>
          </cell>
          <cell r="B79" t="str">
            <v>27-1022</v>
          </cell>
          <cell r="C79" t="str">
            <v xml:space="preserve">        Social workers, all other</v>
          </cell>
          <cell r="D79" t="str">
            <v>Line item</v>
          </cell>
          <cell r="E79">
            <v>3.9</v>
          </cell>
          <cell r="F79" t="str">
            <v>21-1090</v>
          </cell>
        </row>
        <row r="80">
          <cell r="A80" t="str">
            <v>21-1090</v>
          </cell>
          <cell r="B80" t="str">
            <v>27-1023</v>
          </cell>
          <cell r="C80" t="str">
            <v xml:space="preserve">      Miscellaneous community and social service specialists</v>
          </cell>
          <cell r="D80" t="str">
            <v>Summary</v>
          </cell>
          <cell r="E80">
            <v>5.9</v>
          </cell>
          <cell r="F80" t="str">
            <v>21-1099</v>
          </cell>
        </row>
        <row r="81">
          <cell r="A81" t="str">
            <v>21-1099</v>
          </cell>
          <cell r="B81" t="str">
            <v>27-2011</v>
          </cell>
          <cell r="C81" t="str">
            <v xml:space="preserve">        Community and social service specialists, all other</v>
          </cell>
          <cell r="D81" t="str">
            <v>Line item</v>
          </cell>
          <cell r="E81">
            <v>4.5999999999999996</v>
          </cell>
          <cell r="F81" t="str">
            <v>21-2000</v>
          </cell>
        </row>
        <row r="82">
          <cell r="A82" t="str">
            <v>21-2000</v>
          </cell>
          <cell r="B82" t="str">
            <v>27-2012</v>
          </cell>
          <cell r="C82" t="str">
            <v xml:space="preserve">    Religious workers</v>
          </cell>
          <cell r="D82" t="str">
            <v>Summary</v>
          </cell>
          <cell r="E82">
            <v>1.2</v>
          </cell>
          <cell r="F82" t="str">
            <v>21-2099</v>
          </cell>
        </row>
        <row r="83">
          <cell r="A83" t="str">
            <v>21-2099</v>
          </cell>
          <cell r="B83" t="str">
            <v>27-2023</v>
          </cell>
          <cell r="C83" t="str">
            <v xml:space="preserve">      Religious workers, all other</v>
          </cell>
          <cell r="D83" t="str">
            <v>Line item</v>
          </cell>
          <cell r="E83">
            <v>0.6</v>
          </cell>
          <cell r="F83" t="str">
            <v>23-0000</v>
          </cell>
        </row>
        <row r="84">
          <cell r="A84" t="str">
            <v>23-0000</v>
          </cell>
          <cell r="B84" t="str">
            <v>27-2031</v>
          </cell>
          <cell r="C84" t="str">
            <v xml:space="preserve">  Legal occupations</v>
          </cell>
          <cell r="D84" t="str">
            <v>Summary</v>
          </cell>
          <cell r="E84">
            <v>2.7</v>
          </cell>
          <cell r="F84" t="str">
            <v>23-1000</v>
          </cell>
        </row>
        <row r="85">
          <cell r="A85" t="str">
            <v>23-1000</v>
          </cell>
          <cell r="B85" t="str">
            <v>27-2032</v>
          </cell>
          <cell r="C85" t="str">
            <v xml:space="preserve">    Lawyers, judges, and related workers</v>
          </cell>
          <cell r="D85" t="str">
            <v>Summary</v>
          </cell>
          <cell r="E85">
            <v>4</v>
          </cell>
          <cell r="F85" t="str">
            <v>23-1010</v>
          </cell>
        </row>
        <row r="86">
          <cell r="A86" t="str">
            <v>23-1010</v>
          </cell>
          <cell r="B86" t="str">
            <v>27-2041</v>
          </cell>
          <cell r="C86" t="str">
            <v xml:space="preserve">      Lawyers and judicial law clerks</v>
          </cell>
          <cell r="D86" t="str">
            <v>Summary</v>
          </cell>
          <cell r="E86">
            <v>4.0999999999999996</v>
          </cell>
          <cell r="F86" t="str">
            <v>23-1020</v>
          </cell>
        </row>
        <row r="87">
          <cell r="A87" t="str">
            <v>23-1020</v>
          </cell>
          <cell r="B87" t="str">
            <v>27-3011</v>
          </cell>
          <cell r="C87" t="str">
            <v xml:space="preserve">      Judges, magistrates, and other judicial workers</v>
          </cell>
          <cell r="D87" t="str">
            <v>Summary</v>
          </cell>
          <cell r="E87">
            <v>1.8</v>
          </cell>
          <cell r="F87" t="str">
            <v>23-2000</v>
          </cell>
        </row>
        <row r="88">
          <cell r="A88" t="str">
            <v>23-2000</v>
          </cell>
          <cell r="B88" t="str">
            <v>27-3042</v>
          </cell>
          <cell r="C88" t="str">
            <v xml:space="preserve">    Legal support workers</v>
          </cell>
          <cell r="D88" t="str">
            <v>Summary</v>
          </cell>
          <cell r="E88">
            <v>0.2</v>
          </cell>
          <cell r="F88" t="str">
            <v>23-2090</v>
          </cell>
        </row>
        <row r="89">
          <cell r="A89" t="str">
            <v>23-2090</v>
          </cell>
          <cell r="B89" t="str">
            <v>27-3091</v>
          </cell>
          <cell r="C89" t="str">
            <v xml:space="preserve">      Miscellaneous legal support workers</v>
          </cell>
          <cell r="D89" t="str">
            <v>Summary</v>
          </cell>
          <cell r="E89">
            <v>0.5</v>
          </cell>
          <cell r="F89" t="str">
            <v>23-2099</v>
          </cell>
        </row>
        <row r="90">
          <cell r="A90" t="str">
            <v>23-2099</v>
          </cell>
          <cell r="B90" t="str">
            <v>27-4011</v>
          </cell>
          <cell r="C90" t="str">
            <v xml:space="preserve">        Legal support workers, all other</v>
          </cell>
          <cell r="D90" t="str">
            <v>Line item</v>
          </cell>
          <cell r="E90">
            <v>-1.2</v>
          </cell>
          <cell r="F90" t="str">
            <v>25-0000</v>
          </cell>
        </row>
        <row r="91">
          <cell r="A91" t="str">
            <v>25-0000</v>
          </cell>
          <cell r="B91" t="str">
            <v>27-4012</v>
          </cell>
          <cell r="C91" t="str">
            <v xml:space="preserve">  Educational instruction and library occupations</v>
          </cell>
          <cell r="D91" t="str">
            <v>Summary</v>
          </cell>
          <cell r="E91">
            <v>0.6</v>
          </cell>
          <cell r="F91" t="str">
            <v>25-1000</v>
          </cell>
        </row>
        <row r="92">
          <cell r="A92" t="str">
            <v>25-1000</v>
          </cell>
          <cell r="B92" t="str">
            <v>27-4014</v>
          </cell>
          <cell r="C92" t="str">
            <v xml:space="preserve">    Postsecondary teachers</v>
          </cell>
          <cell r="D92" t="str">
            <v>Summary</v>
          </cell>
          <cell r="E92">
            <v>5.9</v>
          </cell>
          <cell r="F92" t="str">
            <v>25-1020</v>
          </cell>
        </row>
        <row r="93">
          <cell r="A93" t="str">
            <v>25-1020</v>
          </cell>
          <cell r="B93" t="str">
            <v>27-4031</v>
          </cell>
          <cell r="C93" t="str">
            <v xml:space="preserve">      Math and computer science teachers, postsecondary</v>
          </cell>
          <cell r="D93" t="str">
            <v>Summary</v>
          </cell>
          <cell r="E93">
            <v>3.6</v>
          </cell>
          <cell r="F93" t="str">
            <v>25-1030</v>
          </cell>
        </row>
        <row r="94">
          <cell r="A94" t="str">
            <v>25-1030</v>
          </cell>
          <cell r="B94" t="str">
            <v>29-1021</v>
          </cell>
          <cell r="C94" t="str">
            <v xml:space="preserve">      Engineering and architecture teachers, postsecondary</v>
          </cell>
          <cell r="D94" t="str">
            <v>Summary</v>
          </cell>
          <cell r="E94">
            <v>7</v>
          </cell>
          <cell r="F94" t="str">
            <v>25-1040</v>
          </cell>
        </row>
        <row r="95">
          <cell r="A95" t="str">
            <v>25-1040</v>
          </cell>
          <cell r="B95" t="str">
            <v>29-1024</v>
          </cell>
          <cell r="C95" t="str">
            <v xml:space="preserve">      Life sciences teachers, postsecondary</v>
          </cell>
          <cell r="D95" t="str">
            <v>Summary</v>
          </cell>
          <cell r="E95">
            <v>6.8</v>
          </cell>
          <cell r="F95" t="str">
            <v>25-1050</v>
          </cell>
        </row>
        <row r="96">
          <cell r="A96" t="str">
            <v>25-1050</v>
          </cell>
          <cell r="B96" t="str">
            <v>29-1071</v>
          </cell>
          <cell r="C96" t="str">
            <v xml:space="preserve">      Physical sciences teachers, postsecondary</v>
          </cell>
          <cell r="D96" t="str">
            <v>Summary</v>
          </cell>
          <cell r="E96">
            <v>2.5</v>
          </cell>
          <cell r="F96" t="str">
            <v>25-1060</v>
          </cell>
        </row>
        <row r="97">
          <cell r="A97" t="str">
            <v>25-1060</v>
          </cell>
          <cell r="B97" t="str">
            <v>29-1125</v>
          </cell>
          <cell r="C97" t="str">
            <v xml:space="preserve">      Social sciences teachers, postsecondary</v>
          </cell>
          <cell r="D97" t="str">
            <v>Summary</v>
          </cell>
          <cell r="E97">
            <v>2.7</v>
          </cell>
          <cell r="F97" t="str">
            <v>25-1069</v>
          </cell>
        </row>
        <row r="98">
          <cell r="A98" t="str">
            <v>25-1069</v>
          </cell>
          <cell r="B98" t="str">
            <v>29-1161</v>
          </cell>
          <cell r="C98" t="str">
            <v xml:space="preserve">        Social sciences teachers, postsecondary, all other</v>
          </cell>
          <cell r="D98" t="str">
            <v>Line item</v>
          </cell>
          <cell r="E98">
            <v>1.7</v>
          </cell>
          <cell r="F98" t="str">
            <v>25-1070</v>
          </cell>
        </row>
        <row r="99">
          <cell r="A99" t="str">
            <v>25-1070</v>
          </cell>
          <cell r="B99" t="str">
            <v>29-1171</v>
          </cell>
          <cell r="C99" t="str">
            <v xml:space="preserve">      Health teachers, postsecondary</v>
          </cell>
          <cell r="D99" t="str">
            <v>Summary</v>
          </cell>
          <cell r="E99">
            <v>17.2</v>
          </cell>
          <cell r="F99" t="str">
            <v>25-1080</v>
          </cell>
        </row>
        <row r="100">
          <cell r="A100" t="str">
            <v>25-1080</v>
          </cell>
          <cell r="B100" t="str">
            <v>29-1216</v>
          </cell>
          <cell r="C100" t="str">
            <v xml:space="preserve">      Education and library science teachers, postsecondary</v>
          </cell>
          <cell r="D100" t="str">
            <v>Summary</v>
          </cell>
          <cell r="E100">
            <v>2.2000000000000002</v>
          </cell>
          <cell r="F100" t="str">
            <v>25-1110</v>
          </cell>
        </row>
        <row r="101">
          <cell r="A101" t="str">
            <v>25-1110</v>
          </cell>
          <cell r="B101" t="str">
            <v>29-1223</v>
          </cell>
          <cell r="C101" t="str">
            <v xml:space="preserve">      Law, criminal justice, and social work teachers, postsecondary</v>
          </cell>
          <cell r="D101" t="str">
            <v>Summary</v>
          </cell>
          <cell r="E101">
            <v>2.2000000000000002</v>
          </cell>
          <cell r="F101" t="str">
            <v>25-1120</v>
          </cell>
        </row>
        <row r="102">
          <cell r="A102" t="str">
            <v>25-1120</v>
          </cell>
          <cell r="B102" t="str">
            <v>29-1299</v>
          </cell>
          <cell r="C102" t="str">
            <v xml:space="preserve">      Arts, communications, history, and humanities teachers, postsecondary</v>
          </cell>
          <cell r="D102" t="str">
            <v>Summary</v>
          </cell>
          <cell r="E102">
            <v>0.9</v>
          </cell>
          <cell r="F102" t="str">
            <v>25-1190</v>
          </cell>
        </row>
        <row r="103">
          <cell r="A103" t="str">
            <v>25-1190</v>
          </cell>
          <cell r="B103" t="str">
            <v>29-2035</v>
          </cell>
          <cell r="C103" t="str">
            <v xml:space="preserve">      Miscellaneous postsecondary teachers</v>
          </cell>
          <cell r="D103" t="str">
            <v>Summary</v>
          </cell>
          <cell r="E103">
            <v>1.4</v>
          </cell>
          <cell r="F103" t="str">
            <v>25-1199</v>
          </cell>
        </row>
        <row r="104">
          <cell r="A104" t="str">
            <v>25-1199</v>
          </cell>
          <cell r="B104" t="str">
            <v>29-2053</v>
          </cell>
          <cell r="C104" t="str">
            <v xml:space="preserve">        Postsecondary teachers, all other</v>
          </cell>
          <cell r="D104" t="str">
            <v>Line item</v>
          </cell>
          <cell r="E104">
            <v>1.8</v>
          </cell>
          <cell r="F104" t="str">
            <v>25-2000</v>
          </cell>
        </row>
        <row r="105">
          <cell r="A105" t="str">
            <v>25-2000</v>
          </cell>
          <cell r="B105" t="str">
            <v>29-2055</v>
          </cell>
          <cell r="C105" t="str">
            <v xml:space="preserve">    Preschool, elementary, middle, secondary, and special education teachers</v>
          </cell>
          <cell r="D105" t="str">
            <v>Summary</v>
          </cell>
          <cell r="E105">
            <v>-1</v>
          </cell>
          <cell r="F105" t="str">
            <v>25-2010</v>
          </cell>
        </row>
        <row r="106">
          <cell r="A106" t="str">
            <v>25-2010</v>
          </cell>
          <cell r="B106" t="str">
            <v>29-2056</v>
          </cell>
          <cell r="C106" t="str">
            <v xml:space="preserve">      Preschool and kindergarten teachers</v>
          </cell>
          <cell r="D106" t="str">
            <v>Summary</v>
          </cell>
          <cell r="E106">
            <v>3.1</v>
          </cell>
          <cell r="F106" t="str">
            <v>25-2020</v>
          </cell>
        </row>
        <row r="107">
          <cell r="A107" t="str">
            <v>25-2020</v>
          </cell>
          <cell r="B107" t="str">
            <v>29-2072</v>
          </cell>
          <cell r="C107" t="str">
            <v xml:space="preserve">      Elementary and middle school teachers</v>
          </cell>
          <cell r="D107" t="str">
            <v>Summary</v>
          </cell>
          <cell r="E107">
            <v>-2</v>
          </cell>
          <cell r="F107" t="str">
            <v>25-2030</v>
          </cell>
        </row>
        <row r="108">
          <cell r="A108" t="str">
            <v>25-2030</v>
          </cell>
          <cell r="B108" t="str">
            <v>29-2099</v>
          </cell>
          <cell r="C108" t="str">
            <v xml:space="preserve">      Secondary school teachers</v>
          </cell>
          <cell r="D108" t="str">
            <v>Summary</v>
          </cell>
          <cell r="E108">
            <v>-1.6</v>
          </cell>
          <cell r="F108" t="str">
            <v>25-2050</v>
          </cell>
        </row>
        <row r="109">
          <cell r="A109" t="str">
            <v>25-2050</v>
          </cell>
          <cell r="B109" t="str">
            <v>29-9099</v>
          </cell>
          <cell r="C109" t="str">
            <v xml:space="preserve">      Special education teachers</v>
          </cell>
          <cell r="D109" t="str">
            <v>Summary</v>
          </cell>
          <cell r="E109">
            <v>-1.4</v>
          </cell>
          <cell r="F109" t="str">
            <v>25-3000</v>
          </cell>
        </row>
        <row r="110">
          <cell r="A110" t="str">
            <v>25-3000</v>
          </cell>
          <cell r="B110" t="str">
            <v>31-2012</v>
          </cell>
          <cell r="C110" t="str">
            <v xml:space="preserve">    Other teachers and instructors</v>
          </cell>
          <cell r="D110" t="str">
            <v>Summary</v>
          </cell>
          <cell r="E110">
            <v>1.4</v>
          </cell>
          <cell r="F110" t="str">
            <v>25-3031</v>
          </cell>
        </row>
        <row r="111">
          <cell r="A111" t="str">
            <v>25-3031</v>
          </cell>
          <cell r="B111" t="str">
            <v>31-9011</v>
          </cell>
          <cell r="C111" t="str">
            <v xml:space="preserve">      Substitute teachers, short-term</v>
          </cell>
          <cell r="D111" t="str">
            <v>Line item</v>
          </cell>
          <cell r="E111">
            <v>1.6</v>
          </cell>
          <cell r="F111" t="str">
            <v>25-3041</v>
          </cell>
        </row>
        <row r="112">
          <cell r="A112" t="str">
            <v>25-3041</v>
          </cell>
          <cell r="B112" t="str">
            <v>31-9091</v>
          </cell>
          <cell r="C112" t="str">
            <v xml:space="preserve">      Tutors</v>
          </cell>
          <cell r="D112" t="str">
            <v>Line item</v>
          </cell>
          <cell r="E112">
            <v>0.6</v>
          </cell>
          <cell r="F112" t="str">
            <v>25-4000</v>
          </cell>
        </row>
        <row r="113">
          <cell r="A113" t="str">
            <v>25-4000</v>
          </cell>
          <cell r="B113" t="str">
            <v>31-9093</v>
          </cell>
          <cell r="C113" t="str">
            <v xml:space="preserve">    Librarians, curators, and archivists</v>
          </cell>
          <cell r="D113" t="str">
            <v>Summary</v>
          </cell>
          <cell r="E113">
            <v>-0.3</v>
          </cell>
          <cell r="F113" t="str">
            <v>25-4010</v>
          </cell>
        </row>
        <row r="114">
          <cell r="A114" t="str">
            <v>25-4010</v>
          </cell>
          <cell r="B114" t="str">
            <v>31-9094</v>
          </cell>
          <cell r="C114" t="str">
            <v xml:space="preserve">      Archivists, curators, and museum technicians</v>
          </cell>
          <cell r="D114" t="str">
            <v>Summary</v>
          </cell>
          <cell r="E114">
            <v>5.6</v>
          </cell>
          <cell r="F114" t="str">
            <v>25-9000</v>
          </cell>
        </row>
        <row r="115">
          <cell r="A115" t="str">
            <v>25-9000</v>
          </cell>
          <cell r="B115" t="str">
            <v>33-1012</v>
          </cell>
          <cell r="C115" t="str">
            <v xml:space="preserve">    Other educational instruction and library occupations</v>
          </cell>
          <cell r="D115" t="str">
            <v>Summary</v>
          </cell>
          <cell r="E115">
            <v>-0.5</v>
          </cell>
          <cell r="F115" t="str">
            <v>25-9045</v>
          </cell>
        </row>
        <row r="116">
          <cell r="A116" t="str">
            <v>25-9045</v>
          </cell>
          <cell r="B116" t="str">
            <v>33-3011</v>
          </cell>
          <cell r="C116" t="str">
            <v xml:space="preserve">        Teaching assistants, except postsecondary</v>
          </cell>
          <cell r="D116" t="str">
            <v>Line item</v>
          </cell>
          <cell r="E116">
            <v>-1.5</v>
          </cell>
          <cell r="F116" t="str">
            <v>25-9099</v>
          </cell>
        </row>
        <row r="117">
          <cell r="A117" t="str">
            <v>25-9099</v>
          </cell>
          <cell r="B117" t="str">
            <v>33-3012</v>
          </cell>
          <cell r="C117" t="str">
            <v xml:space="preserve">      Educational instruction and library workers, all other</v>
          </cell>
          <cell r="D117" t="str">
            <v>Line item</v>
          </cell>
          <cell r="E117">
            <v>1.5</v>
          </cell>
          <cell r="F117" t="str">
            <v>27-0000</v>
          </cell>
        </row>
        <row r="118">
          <cell r="A118" t="str">
            <v>27-0000</v>
          </cell>
          <cell r="B118" t="str">
            <v>33-3021</v>
          </cell>
          <cell r="C118" t="str">
            <v xml:space="preserve">  Arts, design, entertainment, sports, and media occupations</v>
          </cell>
          <cell r="D118" t="str">
            <v>Summary</v>
          </cell>
          <cell r="E118">
            <v>2.8</v>
          </cell>
          <cell r="F118" t="str">
            <v>27-1000</v>
          </cell>
        </row>
        <row r="119">
          <cell r="A119" t="str">
            <v>27-1000</v>
          </cell>
          <cell r="B119" t="str">
            <v>33-3031</v>
          </cell>
          <cell r="C119" t="str">
            <v xml:space="preserve">    Art and design workers</v>
          </cell>
          <cell r="D119" t="str">
            <v>Summary</v>
          </cell>
          <cell r="E119">
            <v>2.2999999999999998</v>
          </cell>
          <cell r="F119" t="str">
            <v>27-1010</v>
          </cell>
        </row>
        <row r="120">
          <cell r="A120" t="str">
            <v>27-1010</v>
          </cell>
          <cell r="B120" t="str">
            <v>33-3041</v>
          </cell>
          <cell r="C120" t="str">
            <v xml:space="preserve">      Artists and related workers</v>
          </cell>
          <cell r="D120" t="str">
            <v>Summary</v>
          </cell>
          <cell r="E120">
            <v>2.7</v>
          </cell>
          <cell r="F120" t="str">
            <v>27-1019</v>
          </cell>
        </row>
        <row r="121">
          <cell r="A121" t="str">
            <v>27-1019</v>
          </cell>
          <cell r="B121" t="str">
            <v>33-9031</v>
          </cell>
          <cell r="C121" t="str">
            <v xml:space="preserve">        Artists and related workers, all other</v>
          </cell>
          <cell r="D121" t="str">
            <v>Line item</v>
          </cell>
          <cell r="E121">
            <v>0.8</v>
          </cell>
          <cell r="F121" t="str">
            <v>27-1020</v>
          </cell>
        </row>
        <row r="122">
          <cell r="A122" t="str">
            <v>27-1020</v>
          </cell>
          <cell r="B122" t="str">
            <v>33-9032</v>
          </cell>
          <cell r="C122" t="str">
            <v xml:space="preserve">      Designers</v>
          </cell>
          <cell r="D122" t="str">
            <v>Summary</v>
          </cell>
          <cell r="E122">
            <v>2.1</v>
          </cell>
          <cell r="F122" t="str">
            <v>27-1029</v>
          </cell>
        </row>
        <row r="123">
          <cell r="A123" t="str">
            <v>27-1029</v>
          </cell>
          <cell r="B123" t="str">
            <v>35-2011</v>
          </cell>
          <cell r="C123" t="str">
            <v xml:space="preserve">        Designers, all other</v>
          </cell>
          <cell r="D123" t="str">
            <v>Line item</v>
          </cell>
          <cell r="E123">
            <v>2</v>
          </cell>
          <cell r="F123" t="str">
            <v>27-2000</v>
          </cell>
        </row>
        <row r="124">
          <cell r="A124" t="str">
            <v>27-2000</v>
          </cell>
          <cell r="B124" t="str">
            <v>35-2012</v>
          </cell>
          <cell r="C124" t="str">
            <v xml:space="preserve">    Entertainers and performers, sports and related workers</v>
          </cell>
          <cell r="D124" t="str">
            <v>Summary</v>
          </cell>
          <cell r="E124">
            <v>4.0999999999999996</v>
          </cell>
          <cell r="F124" t="str">
            <v>27-2010</v>
          </cell>
        </row>
        <row r="125">
          <cell r="A125" t="str">
            <v>27-2010</v>
          </cell>
          <cell r="B125" t="str">
            <v>35-2013</v>
          </cell>
          <cell r="C125" t="str">
            <v xml:space="preserve">      Actors, producers, and directors</v>
          </cell>
          <cell r="D125" t="str">
            <v>Summary</v>
          </cell>
          <cell r="E125">
            <v>3.8</v>
          </cell>
          <cell r="F125" t="str">
            <v>27-2020</v>
          </cell>
        </row>
        <row r="126">
          <cell r="A126" t="str">
            <v>27-2020</v>
          </cell>
          <cell r="B126" t="str">
            <v>35-2021</v>
          </cell>
          <cell r="C126" t="str">
            <v xml:space="preserve">      Athletes, coaches, umpires, and related workers</v>
          </cell>
          <cell r="D126" t="str">
            <v>Summary</v>
          </cell>
          <cell r="E126">
            <v>6.3</v>
          </cell>
          <cell r="F126" t="str">
            <v>27-2030</v>
          </cell>
        </row>
        <row r="127">
          <cell r="A127" t="str">
            <v>27-2030</v>
          </cell>
          <cell r="B127" t="str">
            <v>35-9000</v>
          </cell>
          <cell r="C127" t="str">
            <v xml:space="preserve">      Dancers and choreographers</v>
          </cell>
          <cell r="D127" t="str">
            <v>Summary</v>
          </cell>
          <cell r="E127">
            <v>4.9000000000000004</v>
          </cell>
          <cell r="F127" t="str">
            <v>27-2040</v>
          </cell>
        </row>
        <row r="128">
          <cell r="A128" t="str">
            <v>27-2040</v>
          </cell>
          <cell r="B128" t="str">
            <v>35-9031</v>
          </cell>
          <cell r="C128" t="str">
            <v xml:space="preserve">      Musicians, singers, and related workers</v>
          </cell>
          <cell r="D128" t="str">
            <v>Summary</v>
          </cell>
          <cell r="E128">
            <v>0.8</v>
          </cell>
          <cell r="F128" t="str">
            <v>27-2090</v>
          </cell>
        </row>
        <row r="129">
          <cell r="A129" t="str">
            <v>27-2090</v>
          </cell>
          <cell r="B129" t="str">
            <v>37-2011</v>
          </cell>
          <cell r="C129" t="str">
            <v xml:space="preserve">      Miscellaneous entertainers and performers, sports and related workers</v>
          </cell>
          <cell r="D129" t="str">
            <v>Summary</v>
          </cell>
          <cell r="E129">
            <v>5.3</v>
          </cell>
          <cell r="F129" t="str">
            <v>27-2091</v>
          </cell>
        </row>
        <row r="130">
          <cell r="A130" t="str">
            <v>27-2091</v>
          </cell>
          <cell r="B130" t="str">
            <v>37-2012</v>
          </cell>
          <cell r="C130" t="str">
            <v xml:space="preserve">        Disc jockeys, except radio</v>
          </cell>
          <cell r="D130" t="str">
            <v>Line item</v>
          </cell>
          <cell r="E130">
            <v>3.8</v>
          </cell>
          <cell r="F130" t="str">
            <v>27-2099</v>
          </cell>
        </row>
        <row r="131">
          <cell r="A131" t="str">
            <v>27-2099</v>
          </cell>
          <cell r="B131" t="str">
            <v>37-2021</v>
          </cell>
          <cell r="C131" t="str">
            <v xml:space="preserve">        Entertainers and performers, sports and related workers, all other</v>
          </cell>
          <cell r="D131" t="str">
            <v>Line item</v>
          </cell>
          <cell r="E131">
            <v>6</v>
          </cell>
          <cell r="F131" t="str">
            <v>27-3000</v>
          </cell>
        </row>
        <row r="132">
          <cell r="A132" t="str">
            <v>27-3000</v>
          </cell>
          <cell r="B132" t="str">
            <v>37-3011</v>
          </cell>
          <cell r="C132" t="str">
            <v xml:space="preserve">    Media and communication workers</v>
          </cell>
          <cell r="D132" t="str">
            <v>Summary</v>
          </cell>
          <cell r="E132">
            <v>2.4</v>
          </cell>
          <cell r="F132" t="str">
            <v>27-3040</v>
          </cell>
        </row>
        <row r="133">
          <cell r="A133" t="str">
            <v>27-3040</v>
          </cell>
          <cell r="B133" t="str">
            <v>39-2021</v>
          </cell>
          <cell r="C133" t="str">
            <v xml:space="preserve">      Writers and editors</v>
          </cell>
          <cell r="D133" t="str">
            <v>Summary</v>
          </cell>
          <cell r="E133">
            <v>2</v>
          </cell>
          <cell r="F133" t="str">
            <v>27-3090</v>
          </cell>
        </row>
        <row r="134">
          <cell r="A134" t="str">
            <v>27-3090</v>
          </cell>
          <cell r="B134" t="str">
            <v>39-3031</v>
          </cell>
          <cell r="C134" t="str">
            <v xml:space="preserve">      Miscellaneous media and communication workers</v>
          </cell>
          <cell r="D134" t="str">
            <v>Summary</v>
          </cell>
          <cell r="E134">
            <v>1.7</v>
          </cell>
          <cell r="F134" t="str">
            <v>27-3099</v>
          </cell>
        </row>
        <row r="135">
          <cell r="A135" t="str">
            <v>27-3099</v>
          </cell>
          <cell r="B135" t="str">
            <v>39-3093</v>
          </cell>
          <cell r="C135" t="str">
            <v xml:space="preserve">        Media and communication workers, all other</v>
          </cell>
          <cell r="D135" t="str">
            <v>Line item</v>
          </cell>
          <cell r="E135">
            <v>2.7</v>
          </cell>
          <cell r="F135" t="str">
            <v>27-4000</v>
          </cell>
        </row>
        <row r="136">
          <cell r="A136" t="str">
            <v>27-4000</v>
          </cell>
          <cell r="B136" t="str">
            <v>39-4011</v>
          </cell>
          <cell r="C136" t="str">
            <v xml:space="preserve">    Media and communication equipment workers</v>
          </cell>
          <cell r="D136" t="str">
            <v>Summary</v>
          </cell>
          <cell r="E136">
            <v>1.7</v>
          </cell>
          <cell r="F136" t="str">
            <v>27-4010</v>
          </cell>
        </row>
        <row r="137">
          <cell r="A137" t="str">
            <v>27-4010</v>
          </cell>
          <cell r="B137" t="str">
            <v>39-4021</v>
          </cell>
          <cell r="C137" t="str">
            <v xml:space="preserve">      Broadcast, sound, and lighting technicians</v>
          </cell>
          <cell r="D137" t="str">
            <v>Summary</v>
          </cell>
          <cell r="E137">
            <v>1</v>
          </cell>
          <cell r="F137" t="str">
            <v>27-4015</v>
          </cell>
        </row>
        <row r="138">
          <cell r="A138" t="str">
            <v>27-4015</v>
          </cell>
          <cell r="B138" t="str">
            <v>39-5091</v>
          </cell>
          <cell r="C138" t="str">
            <v xml:space="preserve">        Lighting technicians</v>
          </cell>
          <cell r="D138" t="str">
            <v>Line item</v>
          </cell>
          <cell r="E138">
            <v>-4.5999999999999996</v>
          </cell>
          <cell r="F138" t="str">
            <v>27-4030</v>
          </cell>
        </row>
        <row r="139">
          <cell r="A139" t="str">
            <v>27-4030</v>
          </cell>
          <cell r="B139" t="str">
            <v>39-5093</v>
          </cell>
          <cell r="C139" t="str">
            <v xml:space="preserve">      Television, video, and film camera operators and editors</v>
          </cell>
          <cell r="D139" t="str">
            <v>Summary</v>
          </cell>
          <cell r="E139">
            <v>2.7</v>
          </cell>
          <cell r="F139" t="str">
            <v>27-4099</v>
          </cell>
        </row>
        <row r="140">
          <cell r="A140" t="str">
            <v>27-4099</v>
          </cell>
          <cell r="B140" t="str">
            <v>39-6012</v>
          </cell>
          <cell r="C140" t="str">
            <v xml:space="preserve">      Media and communication equipment workers, all other</v>
          </cell>
          <cell r="D140" t="str">
            <v>Line item</v>
          </cell>
          <cell r="E140">
            <v>0.6</v>
          </cell>
          <cell r="F140" t="str">
            <v>29-0000</v>
          </cell>
        </row>
        <row r="141">
          <cell r="A141" t="str">
            <v>29-0000</v>
          </cell>
          <cell r="B141" t="str">
            <v>39-7000</v>
          </cell>
          <cell r="C141" t="str">
            <v xml:space="preserve">  Healthcare practitioners and technical occupations</v>
          </cell>
          <cell r="D141" t="str">
            <v>Summary</v>
          </cell>
          <cell r="E141">
            <v>7.2</v>
          </cell>
          <cell r="F141" t="str">
            <v>29-1000</v>
          </cell>
        </row>
        <row r="142">
          <cell r="A142" t="str">
            <v>29-1000</v>
          </cell>
          <cell r="B142" t="str">
            <v>39-9011</v>
          </cell>
          <cell r="C142" t="str">
            <v xml:space="preserve">    Healthcare diagnosing or treating practitioners</v>
          </cell>
          <cell r="D142" t="str">
            <v>Summary</v>
          </cell>
          <cell r="E142">
            <v>7.8</v>
          </cell>
          <cell r="F142" t="str">
            <v>29-1020</v>
          </cell>
        </row>
        <row r="143">
          <cell r="A143" t="str">
            <v>29-1020</v>
          </cell>
          <cell r="B143" t="str">
            <v>39-9032</v>
          </cell>
          <cell r="C143" t="str">
            <v xml:space="preserve">      Dentists</v>
          </cell>
          <cell r="D143" t="str">
            <v>Summary</v>
          </cell>
          <cell r="E143">
            <v>4</v>
          </cell>
          <cell r="F143" t="str">
            <v>29-1029</v>
          </cell>
        </row>
        <row r="144">
          <cell r="A144" t="str">
            <v>29-1029</v>
          </cell>
          <cell r="B144" t="str">
            <v>41-1012</v>
          </cell>
          <cell r="C144" t="str">
            <v xml:space="preserve">        Dentists, all other specialists</v>
          </cell>
          <cell r="D144" t="str">
            <v>Line item</v>
          </cell>
          <cell r="E144">
            <v>0.3</v>
          </cell>
          <cell r="F144" t="str">
            <v>29-1120</v>
          </cell>
        </row>
        <row r="145">
          <cell r="A145" t="str">
            <v>29-1120</v>
          </cell>
          <cell r="B145" t="str">
            <v>41-3000</v>
          </cell>
          <cell r="C145" t="str">
            <v xml:space="preserve">      Therapists</v>
          </cell>
          <cell r="D145" t="str">
            <v>Summary</v>
          </cell>
          <cell r="E145">
            <v>12.2</v>
          </cell>
          <cell r="F145" t="str">
            <v>29-1129</v>
          </cell>
        </row>
        <row r="146">
          <cell r="A146" t="str">
            <v>29-1129</v>
          </cell>
          <cell r="B146" t="str">
            <v>41-9012</v>
          </cell>
          <cell r="C146" t="str">
            <v xml:space="preserve">        Therapists, all other</v>
          </cell>
          <cell r="D146" t="str">
            <v>Line item</v>
          </cell>
          <cell r="E146">
            <v>11.5</v>
          </cell>
          <cell r="F146" t="str">
            <v>29-1210</v>
          </cell>
        </row>
        <row r="147">
          <cell r="A147" t="str">
            <v>29-1210</v>
          </cell>
          <cell r="B147" t="str">
            <v>43-2011</v>
          </cell>
          <cell r="C147" t="str">
            <v xml:space="preserve">      Physicians</v>
          </cell>
          <cell r="D147" t="str">
            <v>Summary</v>
          </cell>
          <cell r="E147">
            <v>2.8</v>
          </cell>
          <cell r="F147" t="str">
            <v>29-1212</v>
          </cell>
        </row>
        <row r="148">
          <cell r="A148" t="str">
            <v>29-1212</v>
          </cell>
          <cell r="B148" t="str">
            <v>43-3011</v>
          </cell>
          <cell r="C148" t="str">
            <v xml:space="preserve">        Cardiologists</v>
          </cell>
          <cell r="D148" t="str">
            <v>Line item</v>
          </cell>
          <cell r="E148">
            <v>4.0999999999999996</v>
          </cell>
          <cell r="F148" t="str">
            <v>29-1213</v>
          </cell>
        </row>
        <row r="149">
          <cell r="A149" t="str">
            <v>29-1213</v>
          </cell>
          <cell r="B149" t="str">
            <v>43-3021</v>
          </cell>
          <cell r="C149" t="str">
            <v xml:space="preserve">        Dermatologists</v>
          </cell>
          <cell r="D149" t="str">
            <v>Line item</v>
          </cell>
          <cell r="E149">
            <v>6.4</v>
          </cell>
          <cell r="F149" t="str">
            <v>29-1214</v>
          </cell>
        </row>
        <row r="150">
          <cell r="A150" t="str">
            <v>29-1214</v>
          </cell>
          <cell r="B150" t="str">
            <v>43-3031</v>
          </cell>
          <cell r="C150" t="str">
            <v xml:space="preserve">        Emergency medicine physicians</v>
          </cell>
          <cell r="D150" t="str">
            <v>Line item</v>
          </cell>
          <cell r="E150">
            <v>2.7</v>
          </cell>
          <cell r="F150" t="str">
            <v>29-1215</v>
          </cell>
        </row>
        <row r="151">
          <cell r="A151" t="str">
            <v>29-1215</v>
          </cell>
          <cell r="B151" t="str">
            <v>43-3041</v>
          </cell>
          <cell r="C151" t="str">
            <v xml:space="preserve">        Family medicine physicians</v>
          </cell>
          <cell r="D151" t="str">
            <v>Line item</v>
          </cell>
          <cell r="E151">
            <v>2.7</v>
          </cell>
          <cell r="F151" t="str">
            <v>29-1217</v>
          </cell>
        </row>
        <row r="152">
          <cell r="A152" t="str">
            <v>29-1217</v>
          </cell>
          <cell r="B152" t="str">
            <v>43-3061</v>
          </cell>
          <cell r="C152" t="str">
            <v xml:space="preserve">        Neurologists</v>
          </cell>
          <cell r="D152" t="str">
            <v>Line item</v>
          </cell>
          <cell r="E152">
            <v>5.4</v>
          </cell>
          <cell r="F152" t="str">
            <v>29-1222</v>
          </cell>
        </row>
        <row r="153">
          <cell r="A153" t="str">
            <v>29-1222</v>
          </cell>
          <cell r="B153" t="str">
            <v>43-4021</v>
          </cell>
          <cell r="C153" t="str">
            <v xml:space="preserve">        Physicians, pathologists</v>
          </cell>
          <cell r="D153" t="str">
            <v>Line item</v>
          </cell>
          <cell r="E153">
            <v>4.2</v>
          </cell>
          <cell r="F153" t="str">
            <v>29-1224</v>
          </cell>
        </row>
        <row r="154">
          <cell r="A154" t="str">
            <v>29-1224</v>
          </cell>
          <cell r="B154" t="str">
            <v>43-4041</v>
          </cell>
          <cell r="C154" t="str">
            <v xml:space="preserve">        Radiologists</v>
          </cell>
          <cell r="D154" t="str">
            <v>Line item</v>
          </cell>
          <cell r="E154">
            <v>2.7</v>
          </cell>
          <cell r="F154" t="str">
            <v>29-1241</v>
          </cell>
        </row>
        <row r="155">
          <cell r="A155" t="str">
            <v>29-1241</v>
          </cell>
          <cell r="B155" t="str">
            <v>43-4071</v>
          </cell>
          <cell r="C155" t="str">
            <v xml:space="preserve">        Ophthalmologists, except pediatric</v>
          </cell>
          <cell r="D155" t="str">
            <v>Line item</v>
          </cell>
          <cell r="E155">
            <v>4.3</v>
          </cell>
          <cell r="F155" t="str">
            <v>29-1242</v>
          </cell>
        </row>
        <row r="156">
          <cell r="A156" t="str">
            <v>29-1242</v>
          </cell>
          <cell r="B156" t="str">
            <v>43-4081</v>
          </cell>
          <cell r="C156" t="str">
            <v xml:space="preserve">        Orthopedic surgeons, except pediatric</v>
          </cell>
          <cell r="D156" t="str">
            <v>Line item</v>
          </cell>
          <cell r="E156">
            <v>4.0999999999999996</v>
          </cell>
          <cell r="F156" t="str">
            <v>29-1243</v>
          </cell>
        </row>
        <row r="157">
          <cell r="A157" t="str">
            <v>29-1243</v>
          </cell>
          <cell r="B157" t="str">
            <v>43-4111</v>
          </cell>
          <cell r="C157" t="str">
            <v xml:space="preserve">        Pediatric surgeons</v>
          </cell>
          <cell r="D157" t="str">
            <v>Line item</v>
          </cell>
          <cell r="E157">
            <v>1.5</v>
          </cell>
          <cell r="F157" t="str">
            <v>29-1249</v>
          </cell>
        </row>
        <row r="158">
          <cell r="A158" t="str">
            <v>29-1249</v>
          </cell>
          <cell r="B158" t="str">
            <v>43-4121</v>
          </cell>
          <cell r="C158" t="str">
            <v xml:space="preserve">        Surgeons, all other</v>
          </cell>
          <cell r="D158" t="str">
            <v>Line item</v>
          </cell>
          <cell r="E158">
            <v>3.9</v>
          </cell>
          <cell r="F158" t="str">
            <v>29-1290</v>
          </cell>
        </row>
        <row r="159">
          <cell r="A159" t="str">
            <v>29-1290</v>
          </cell>
          <cell r="B159" t="str">
            <v>43-4131</v>
          </cell>
          <cell r="C159" t="str">
            <v xml:space="preserve">      Miscellaneous healthcare diagnosing or treating practitioners</v>
          </cell>
          <cell r="D159" t="str">
            <v>Summary</v>
          </cell>
          <cell r="E159">
            <v>6.3</v>
          </cell>
          <cell r="F159" t="str">
            <v>29-1291</v>
          </cell>
        </row>
        <row r="160">
          <cell r="A160" t="str">
            <v>29-1291</v>
          </cell>
          <cell r="B160" t="str">
            <v>43-4141</v>
          </cell>
          <cell r="C160" t="str">
            <v xml:space="preserve">        Acupuncturists</v>
          </cell>
          <cell r="D160" t="str">
            <v>Line item</v>
          </cell>
          <cell r="E160">
            <v>6.8</v>
          </cell>
          <cell r="F160" t="str">
            <v>29-2000</v>
          </cell>
        </row>
        <row r="161">
          <cell r="A161" t="str">
            <v>29-2000</v>
          </cell>
          <cell r="B161" t="str">
            <v>43-4171</v>
          </cell>
          <cell r="C161" t="str">
            <v xml:space="preserve">    Health technologists and technicians</v>
          </cell>
          <cell r="D161" t="str">
            <v>Summary</v>
          </cell>
          <cell r="E161">
            <v>5.8</v>
          </cell>
          <cell r="F161" t="str">
            <v>29-2036</v>
          </cell>
        </row>
        <row r="162">
          <cell r="A162" t="str">
            <v>29-2036</v>
          </cell>
          <cell r="B162" t="str">
            <v>43-5052</v>
          </cell>
          <cell r="C162" t="str">
            <v xml:space="preserve">        Medical dosimetrists</v>
          </cell>
          <cell r="D162" t="str">
            <v>Line item</v>
          </cell>
          <cell r="E162">
            <v>3.5</v>
          </cell>
          <cell r="F162" t="str">
            <v>29-2042</v>
          </cell>
        </row>
        <row r="163">
          <cell r="A163" t="str">
            <v>29-2042</v>
          </cell>
          <cell r="B163" t="str">
            <v>43-5061</v>
          </cell>
          <cell r="C163" t="str">
            <v xml:space="preserve">        Emergency medical technicians</v>
          </cell>
          <cell r="D163" t="str">
            <v>Line item</v>
          </cell>
          <cell r="E163">
            <v>5.0999999999999996</v>
          </cell>
          <cell r="F163" t="str">
            <v>29-2043</v>
          </cell>
        </row>
        <row r="164">
          <cell r="A164" t="str">
            <v>29-2043</v>
          </cell>
          <cell r="B164" t="str">
            <v>43-5071</v>
          </cell>
          <cell r="C164" t="str">
            <v xml:space="preserve">        Paramedics</v>
          </cell>
          <cell r="D164" t="str">
            <v>Line item</v>
          </cell>
          <cell r="E164">
            <v>5</v>
          </cell>
          <cell r="F164" t="str">
            <v>29-2050</v>
          </cell>
        </row>
        <row r="165">
          <cell r="A165" t="str">
            <v>29-2050</v>
          </cell>
          <cell r="B165" t="str">
            <v>43-5111</v>
          </cell>
          <cell r="C165" t="str">
            <v xml:space="preserve">      Health practitioner support technologists and technicians</v>
          </cell>
          <cell r="D165" t="str">
            <v>Summary</v>
          </cell>
          <cell r="E165">
            <v>9.5</v>
          </cell>
          <cell r="F165" t="str">
            <v>29-2090</v>
          </cell>
        </row>
        <row r="166">
          <cell r="A166" t="str">
            <v>29-2090</v>
          </cell>
          <cell r="B166" t="str">
            <v>43-9061</v>
          </cell>
          <cell r="C166" t="str">
            <v xml:space="preserve">      Miscellaneous health technologists and technicians</v>
          </cell>
          <cell r="D166" t="str">
            <v>Summary</v>
          </cell>
          <cell r="E166">
            <v>6.3</v>
          </cell>
          <cell r="F166" t="str">
            <v>29-9000</v>
          </cell>
        </row>
        <row r="167">
          <cell r="A167" t="str">
            <v>29-9000</v>
          </cell>
          <cell r="B167" t="str">
            <v>45-0000</v>
          </cell>
          <cell r="C167" t="str">
            <v xml:space="preserve">    Other healthcare practitioners and technical occupations</v>
          </cell>
          <cell r="D167" t="str">
            <v>Summary</v>
          </cell>
          <cell r="E167">
            <v>8.9</v>
          </cell>
          <cell r="F167" t="str">
            <v>29-9021</v>
          </cell>
        </row>
        <row r="168">
          <cell r="A168" t="str">
            <v>29-9021</v>
          </cell>
          <cell r="B168" t="str">
            <v>45-1011</v>
          </cell>
          <cell r="C168" t="str">
            <v xml:space="preserve">      Health information technologists and medical registrars</v>
          </cell>
          <cell r="D168" t="str">
            <v>Line item</v>
          </cell>
          <cell r="E168">
            <v>14.7</v>
          </cell>
          <cell r="F168" t="str">
            <v>29-9090</v>
          </cell>
        </row>
        <row r="169">
          <cell r="A169" t="str">
            <v>29-9090</v>
          </cell>
          <cell r="B169" t="str">
            <v>45-2011</v>
          </cell>
          <cell r="C169" t="str">
            <v xml:space="preserve">      Miscellaneous health practitioners and technical workers</v>
          </cell>
          <cell r="D169" t="str">
            <v>Summary</v>
          </cell>
          <cell r="E169">
            <v>6.6</v>
          </cell>
          <cell r="F169" t="str">
            <v>29-9093</v>
          </cell>
        </row>
        <row r="170">
          <cell r="A170" t="str">
            <v>29-9093</v>
          </cell>
          <cell r="B170" t="str">
            <v>45-2091</v>
          </cell>
          <cell r="C170" t="str">
            <v xml:space="preserve">        Surgical assistants</v>
          </cell>
          <cell r="D170" t="str">
            <v>Line item</v>
          </cell>
          <cell r="E170">
            <v>5.0999999999999996</v>
          </cell>
          <cell r="F170" t="str">
            <v>31-0000</v>
          </cell>
        </row>
        <row r="171">
          <cell r="A171" t="str">
            <v>31-0000</v>
          </cell>
          <cell r="B171" t="str">
            <v>45-2093</v>
          </cell>
          <cell r="C171" t="str">
            <v xml:space="preserve">  Healthcare support occupations</v>
          </cell>
          <cell r="D171" t="str">
            <v>Summary</v>
          </cell>
          <cell r="E171">
            <v>12.4</v>
          </cell>
          <cell r="F171" t="str">
            <v>31-1100</v>
          </cell>
        </row>
        <row r="172">
          <cell r="A172" t="str">
            <v>31-1100</v>
          </cell>
          <cell r="B172" t="str">
            <v>45-4011</v>
          </cell>
          <cell r="C172" t="str">
            <v xml:space="preserve">    Home health and personal care aides; and nursing assistants, orderlies, and psychiatric aides</v>
          </cell>
          <cell r="D172" t="str">
            <v>Summary</v>
          </cell>
          <cell r="E172">
            <v>13.2</v>
          </cell>
          <cell r="F172" t="str">
            <v>31-1130</v>
          </cell>
        </row>
        <row r="173">
          <cell r="A173" t="str">
            <v>31-1130</v>
          </cell>
          <cell r="B173" t="str">
            <v>45-4022</v>
          </cell>
          <cell r="C173" t="str">
            <v xml:space="preserve">      Nursing assistants, orderlies, and psychiatric aides</v>
          </cell>
          <cell r="D173" t="str">
            <v>Summary</v>
          </cell>
          <cell r="E173">
            <v>2.2000000000000002</v>
          </cell>
          <cell r="F173" t="str">
            <v>31-2000</v>
          </cell>
        </row>
        <row r="174">
          <cell r="A174" t="str">
            <v>31-2000</v>
          </cell>
          <cell r="B174" t="str">
            <v>47-2021</v>
          </cell>
          <cell r="C174" t="str">
            <v xml:space="preserve">    Occupational therapy and physical therapist assistants and aides</v>
          </cell>
          <cell r="D174" t="str">
            <v>Summary</v>
          </cell>
          <cell r="E174">
            <v>16.7</v>
          </cell>
          <cell r="F174" t="str">
            <v>31-2010</v>
          </cell>
        </row>
        <row r="175">
          <cell r="A175" t="str">
            <v>31-2010</v>
          </cell>
          <cell r="B175" t="str">
            <v>47-2022</v>
          </cell>
          <cell r="C175" t="str">
            <v xml:space="preserve">      Occupational therapy assistants and aides</v>
          </cell>
          <cell r="D175" t="str">
            <v>Summary</v>
          </cell>
          <cell r="E175">
            <v>17.600000000000001</v>
          </cell>
          <cell r="F175" t="str">
            <v>31-2020</v>
          </cell>
        </row>
        <row r="176">
          <cell r="A176" t="str">
            <v>31-2020</v>
          </cell>
          <cell r="B176" t="str">
            <v>47-2042</v>
          </cell>
          <cell r="C176" t="str">
            <v xml:space="preserve">      Physical therapist assistants and aides</v>
          </cell>
          <cell r="D176" t="str">
            <v>Summary</v>
          </cell>
          <cell r="E176">
            <v>16.399999999999999</v>
          </cell>
          <cell r="F176" t="str">
            <v>31-9000</v>
          </cell>
        </row>
        <row r="177">
          <cell r="A177" t="str">
            <v>31-9000</v>
          </cell>
          <cell r="B177" t="str">
            <v>47-2051</v>
          </cell>
          <cell r="C177" t="str">
            <v xml:space="preserve">    Other healthcare support occupations</v>
          </cell>
          <cell r="D177" t="str">
            <v>Summary</v>
          </cell>
          <cell r="E177">
            <v>9.5</v>
          </cell>
          <cell r="F177" t="str">
            <v>31-9090</v>
          </cell>
        </row>
        <row r="178">
          <cell r="A178" t="str">
            <v>31-9090</v>
          </cell>
          <cell r="B178" t="str">
            <v>47-2061</v>
          </cell>
          <cell r="C178" t="str">
            <v xml:space="preserve">      Miscellaneous healthcare support occupations</v>
          </cell>
          <cell r="D178" t="str">
            <v>Summary</v>
          </cell>
          <cell r="E178">
            <v>8.9</v>
          </cell>
          <cell r="F178" t="str">
            <v>33-0000</v>
          </cell>
        </row>
        <row r="179">
          <cell r="A179" t="str">
            <v>33-0000</v>
          </cell>
          <cell r="B179" t="str">
            <v>47-2131</v>
          </cell>
          <cell r="C179" t="str">
            <v xml:space="preserve">  Protective service occupations</v>
          </cell>
          <cell r="D179" t="str">
            <v>Summary</v>
          </cell>
          <cell r="E179">
            <v>0.8</v>
          </cell>
          <cell r="F179" t="str">
            <v>33-1000</v>
          </cell>
        </row>
        <row r="180">
          <cell r="A180" t="str">
            <v>33-1000</v>
          </cell>
          <cell r="B180" t="str">
            <v>47-2132</v>
          </cell>
          <cell r="C180" t="str">
            <v xml:space="preserve">    Supervisors of protective service workers</v>
          </cell>
          <cell r="D180" t="str">
            <v>Summary</v>
          </cell>
          <cell r="E180">
            <v>2.1</v>
          </cell>
          <cell r="F180" t="str">
            <v>33-1010</v>
          </cell>
        </row>
        <row r="181">
          <cell r="A181" t="str">
            <v>33-1010</v>
          </cell>
          <cell r="B181" t="str">
            <v>47-2141</v>
          </cell>
          <cell r="C181" t="str">
            <v xml:space="preserve">      First-line supervisors of law enforcement workers</v>
          </cell>
          <cell r="D181" t="str">
            <v>Summary</v>
          </cell>
          <cell r="E181">
            <v>1.4</v>
          </cell>
          <cell r="F181" t="str">
            <v>33-1090</v>
          </cell>
        </row>
        <row r="182">
          <cell r="A182" t="str">
            <v>33-1090</v>
          </cell>
          <cell r="B182" t="str">
            <v>47-2161</v>
          </cell>
          <cell r="C182" t="str">
            <v xml:space="preserve">      Miscellaneous first-line supervisors, protective service workers</v>
          </cell>
          <cell r="D182" t="str">
            <v>Summary</v>
          </cell>
          <cell r="E182">
            <v>2.5</v>
          </cell>
          <cell r="F182" t="str">
            <v>33-1091</v>
          </cell>
        </row>
        <row r="183">
          <cell r="A183" t="str">
            <v>33-1091</v>
          </cell>
          <cell r="B183" t="str">
            <v>47-2171</v>
          </cell>
          <cell r="C183" t="str">
            <v xml:space="preserve">        First-line supervisors of security workers</v>
          </cell>
          <cell r="D183" t="str">
            <v>Line item</v>
          </cell>
          <cell r="E183">
            <v>2.7</v>
          </cell>
          <cell r="F183" t="str">
            <v>33-1099</v>
          </cell>
        </row>
        <row r="184">
          <cell r="A184" t="str">
            <v>33-1099</v>
          </cell>
          <cell r="B184" t="str">
            <v>47-2181</v>
          </cell>
          <cell r="C184" t="str">
            <v xml:space="preserve">        First-line supervisors of protective service workers, all other</v>
          </cell>
          <cell r="D184" t="str">
            <v>Line item</v>
          </cell>
          <cell r="E184">
            <v>1.6</v>
          </cell>
          <cell r="F184" t="str">
            <v>33-2000</v>
          </cell>
        </row>
        <row r="185">
          <cell r="A185" t="str">
            <v>33-2000</v>
          </cell>
          <cell r="B185" t="str">
            <v>47-2211</v>
          </cell>
          <cell r="C185" t="str">
            <v xml:space="preserve">    Firefighting and prevention workers</v>
          </cell>
          <cell r="D185" t="str">
            <v>Summary</v>
          </cell>
          <cell r="E185">
            <v>3.5</v>
          </cell>
          <cell r="F185" t="str">
            <v>33-2020</v>
          </cell>
        </row>
        <row r="186">
          <cell r="A186" t="str">
            <v>33-2020</v>
          </cell>
          <cell r="B186" t="str">
            <v>47-2231</v>
          </cell>
          <cell r="C186" t="str">
            <v xml:space="preserve">      Fire inspectors</v>
          </cell>
          <cell r="D186" t="str">
            <v>Summary</v>
          </cell>
          <cell r="E186">
            <v>5.6</v>
          </cell>
          <cell r="F186" t="str">
            <v>33-3000</v>
          </cell>
        </row>
        <row r="187">
          <cell r="A187" t="str">
            <v>33-3000</v>
          </cell>
          <cell r="B187" t="str">
            <v>47-3013</v>
          </cell>
          <cell r="C187" t="str">
            <v xml:space="preserve">    Law enforcement workers</v>
          </cell>
          <cell r="D187" t="str">
            <v>Summary</v>
          </cell>
          <cell r="E187">
            <v>-0.8</v>
          </cell>
          <cell r="F187" t="str">
            <v>33-3010</v>
          </cell>
        </row>
        <row r="188">
          <cell r="A188" t="str">
            <v>33-3010</v>
          </cell>
          <cell r="B188" t="str">
            <v>47-3014</v>
          </cell>
          <cell r="C188" t="str">
            <v xml:space="preserve">      Bailiffs, correctional officers, and jailers</v>
          </cell>
          <cell r="D188" t="str">
            <v>Summary</v>
          </cell>
          <cell r="E188">
            <v>-7.5</v>
          </cell>
          <cell r="F188" t="str">
            <v>33-3050</v>
          </cell>
        </row>
        <row r="189">
          <cell r="A189" t="str">
            <v>33-3050</v>
          </cell>
          <cell r="B189" t="str">
            <v>47-4031</v>
          </cell>
          <cell r="C189" t="str">
            <v xml:space="preserve">      Police officers</v>
          </cell>
          <cell r="D189" t="str">
            <v>Summary</v>
          </cell>
          <cell r="E189">
            <v>3.1</v>
          </cell>
          <cell r="F189" t="str">
            <v>33-9000</v>
          </cell>
        </row>
        <row r="190">
          <cell r="A190" t="str">
            <v>33-9000</v>
          </cell>
          <cell r="B190" t="str">
            <v>47-4061</v>
          </cell>
          <cell r="C190" t="str">
            <v xml:space="preserve">    Other protective service workers</v>
          </cell>
          <cell r="D190" t="str">
            <v>Summary</v>
          </cell>
          <cell r="E190">
            <v>1</v>
          </cell>
          <cell r="F190" t="str">
            <v>33-9030</v>
          </cell>
        </row>
        <row r="191">
          <cell r="A191" t="str">
            <v>33-9030</v>
          </cell>
          <cell r="B191" t="str">
            <v>47-5012</v>
          </cell>
          <cell r="C191" t="str">
            <v xml:space="preserve">      Security guards and gambling surveillance officers</v>
          </cell>
          <cell r="D191" t="str">
            <v>Summary</v>
          </cell>
          <cell r="E191">
            <v>0.4</v>
          </cell>
          <cell r="F191" t="str">
            <v>33-9090</v>
          </cell>
        </row>
        <row r="192">
          <cell r="A192" t="str">
            <v>33-9090</v>
          </cell>
          <cell r="B192" t="str">
            <v>47-5022</v>
          </cell>
          <cell r="C192" t="str">
            <v xml:space="preserve">      Miscellaneous protective service workers</v>
          </cell>
          <cell r="D192" t="str">
            <v>Summary</v>
          </cell>
          <cell r="E192">
            <v>2.1</v>
          </cell>
          <cell r="F192" t="str">
            <v>33-9094</v>
          </cell>
        </row>
        <row r="193">
          <cell r="A193" t="str">
            <v>33-9094</v>
          </cell>
          <cell r="B193" t="str">
            <v>47-5043</v>
          </cell>
          <cell r="C193" t="str">
            <v xml:space="preserve">        School bus monitors</v>
          </cell>
          <cell r="D193" t="str">
            <v>Line item</v>
          </cell>
          <cell r="E193">
            <v>-2.7</v>
          </cell>
          <cell r="F193" t="str">
            <v>35-1000</v>
          </cell>
        </row>
        <row r="194">
          <cell r="A194" t="str">
            <v>35-1000</v>
          </cell>
          <cell r="B194" t="str">
            <v>47-5071</v>
          </cell>
          <cell r="C194" t="str">
            <v xml:space="preserve">    Supervisors of food preparation and serving workers</v>
          </cell>
          <cell r="D194" t="str">
            <v>Summary</v>
          </cell>
          <cell r="E194">
            <v>6.2</v>
          </cell>
          <cell r="F194" t="str">
            <v>35-2000</v>
          </cell>
        </row>
        <row r="195">
          <cell r="A195" t="str">
            <v>35-2000</v>
          </cell>
          <cell r="B195" t="str">
            <v>49-2011</v>
          </cell>
          <cell r="C195" t="str">
            <v xml:space="preserve">    Cooks and food preparation workers</v>
          </cell>
          <cell r="D195" t="str">
            <v>Summary</v>
          </cell>
          <cell r="E195">
            <v>2.7</v>
          </cell>
          <cell r="F195" t="str">
            <v>35-2010</v>
          </cell>
        </row>
        <row r="196">
          <cell r="A196" t="str">
            <v>35-2010</v>
          </cell>
          <cell r="B196" t="str">
            <v>49-2021</v>
          </cell>
          <cell r="C196" t="str">
            <v xml:space="preserve">      Cooks</v>
          </cell>
          <cell r="D196" t="str">
            <v>Summary</v>
          </cell>
          <cell r="E196">
            <v>4.7</v>
          </cell>
          <cell r="F196" t="str">
            <v>35-2019</v>
          </cell>
        </row>
        <row r="197">
          <cell r="A197" t="str">
            <v>35-2019</v>
          </cell>
          <cell r="B197" t="str">
            <v>49-2095</v>
          </cell>
          <cell r="C197" t="str">
            <v xml:space="preserve">        Cooks, all other</v>
          </cell>
          <cell r="D197" t="str">
            <v>Line item</v>
          </cell>
          <cell r="E197">
            <v>5.5</v>
          </cell>
          <cell r="F197" t="str">
            <v>35-3000</v>
          </cell>
        </row>
        <row r="198">
          <cell r="A198" t="str">
            <v>35-3000</v>
          </cell>
          <cell r="B198" t="str">
            <v>49-2097</v>
          </cell>
          <cell r="C198" t="str">
            <v xml:space="preserve">    Food and beverage serving workers</v>
          </cell>
          <cell r="D198" t="str">
            <v>Summary</v>
          </cell>
          <cell r="E198">
            <v>3.8</v>
          </cell>
          <cell r="F198" t="str">
            <v>35-3023</v>
          </cell>
        </row>
        <row r="199">
          <cell r="A199" t="str">
            <v>35-3023</v>
          </cell>
          <cell r="B199" t="str">
            <v>49-3011</v>
          </cell>
          <cell r="C199" t="str">
            <v xml:space="preserve">      Fast food and counter workers</v>
          </cell>
          <cell r="D199" t="str">
            <v>Line item</v>
          </cell>
          <cell r="E199">
            <v>6.1</v>
          </cell>
          <cell r="F199" t="str">
            <v>35-9099</v>
          </cell>
        </row>
        <row r="200">
          <cell r="A200" t="str">
            <v>35-9099</v>
          </cell>
          <cell r="B200" t="str">
            <v>49-3043</v>
          </cell>
          <cell r="C200" t="str">
            <v xml:space="preserve">      Food preparation and serving related workers, all other</v>
          </cell>
          <cell r="D200" t="str">
            <v>Line item</v>
          </cell>
          <cell r="E200">
            <v>6.4</v>
          </cell>
          <cell r="F200" t="str">
            <v>37-0000</v>
          </cell>
        </row>
        <row r="201">
          <cell r="A201" t="str">
            <v>37-0000</v>
          </cell>
          <cell r="B201" t="str">
            <v>49-3051</v>
          </cell>
          <cell r="C201" t="str">
            <v xml:space="preserve">  Building and grounds cleaning and maintenance occupations</v>
          </cell>
          <cell r="D201" t="str">
            <v>Summary</v>
          </cell>
          <cell r="E201">
            <v>2</v>
          </cell>
          <cell r="F201" t="str">
            <v>37-1000</v>
          </cell>
        </row>
        <row r="202">
          <cell r="A202" t="str">
            <v>37-1000</v>
          </cell>
          <cell r="B202" t="str">
            <v>49-3052</v>
          </cell>
          <cell r="C202" t="str">
            <v xml:space="preserve">    Supervisors of building and grounds cleaning and maintenance workers</v>
          </cell>
          <cell r="D202" t="str">
            <v>Summary</v>
          </cell>
          <cell r="E202">
            <v>2.4</v>
          </cell>
          <cell r="F202" t="str">
            <v>37-2000</v>
          </cell>
        </row>
        <row r="203">
          <cell r="A203" t="str">
            <v>37-2000</v>
          </cell>
          <cell r="B203" t="str">
            <v>49-3092</v>
          </cell>
          <cell r="C203" t="str">
            <v xml:space="preserve">    Building cleaning and pest control workers</v>
          </cell>
          <cell r="D203" t="str">
            <v>Summary</v>
          </cell>
          <cell r="E203">
            <v>1.5</v>
          </cell>
          <cell r="F203" t="str">
            <v>37-2010</v>
          </cell>
        </row>
        <row r="204">
          <cell r="A204" t="str">
            <v>37-2010</v>
          </cell>
          <cell r="B204" t="str">
            <v>49-3093</v>
          </cell>
          <cell r="C204" t="str">
            <v xml:space="preserve">      Building cleaning workers</v>
          </cell>
          <cell r="D204" t="str">
            <v>Summary</v>
          </cell>
          <cell r="E204">
            <v>1.4</v>
          </cell>
          <cell r="F204" t="str">
            <v>37-2019</v>
          </cell>
        </row>
        <row r="205">
          <cell r="A205" t="str">
            <v>37-2019</v>
          </cell>
          <cell r="B205" t="str">
            <v>49-9021</v>
          </cell>
          <cell r="C205" t="str">
            <v xml:space="preserve">        Building cleaning workers, all other</v>
          </cell>
          <cell r="D205" t="str">
            <v>Line item</v>
          </cell>
          <cell r="E205">
            <v>2.5</v>
          </cell>
          <cell r="F205" t="str">
            <v>37-3000</v>
          </cell>
        </row>
        <row r="206">
          <cell r="A206" t="str">
            <v>37-3000</v>
          </cell>
          <cell r="B206" t="str">
            <v>49-9041</v>
          </cell>
          <cell r="C206" t="str">
            <v xml:space="preserve">    Grounds maintenance workers</v>
          </cell>
          <cell r="D206" t="str">
            <v>Summary</v>
          </cell>
          <cell r="E206">
            <v>3.5</v>
          </cell>
          <cell r="F206" t="str">
            <v>37-3019</v>
          </cell>
        </row>
        <row r="207">
          <cell r="A207" t="str">
            <v>37-3019</v>
          </cell>
          <cell r="B207" t="str">
            <v>49-9051</v>
          </cell>
          <cell r="C207" t="str">
            <v xml:space="preserve">      Grounds maintenance workers, all other</v>
          </cell>
          <cell r="D207" t="str">
            <v>Line item</v>
          </cell>
          <cell r="E207">
            <v>2.4</v>
          </cell>
          <cell r="F207" t="str">
            <v>39-0000</v>
          </cell>
        </row>
        <row r="208">
          <cell r="A208" t="str">
            <v>39-0000</v>
          </cell>
          <cell r="B208" t="str">
            <v>49-9052</v>
          </cell>
          <cell r="C208" t="str">
            <v xml:space="preserve">  Personal care and service occupations</v>
          </cell>
          <cell r="D208" t="str">
            <v>Summary</v>
          </cell>
          <cell r="E208">
            <v>4.2</v>
          </cell>
          <cell r="F208" t="str">
            <v>39-1000</v>
          </cell>
        </row>
        <row r="209">
          <cell r="A209" t="str">
            <v>39-1000</v>
          </cell>
          <cell r="B209" t="str">
            <v>49-9061</v>
          </cell>
          <cell r="C209" t="str">
            <v xml:space="preserve">    Supervisors of personal care and service workers</v>
          </cell>
          <cell r="D209" t="str">
            <v>Summary</v>
          </cell>
          <cell r="E209">
            <v>6.1</v>
          </cell>
          <cell r="F209" t="str">
            <v>39-1010</v>
          </cell>
        </row>
        <row r="210">
          <cell r="A210" t="str">
            <v>39-1010</v>
          </cell>
          <cell r="B210" t="str">
            <v>49-9062</v>
          </cell>
          <cell r="C210" t="str">
            <v xml:space="preserve">      First-line supervisors of entertainment and recreation workers</v>
          </cell>
          <cell r="D210" t="str">
            <v>Summary</v>
          </cell>
          <cell r="E210">
            <v>5.4</v>
          </cell>
          <cell r="F210" t="str">
            <v>39-1013</v>
          </cell>
        </row>
        <row r="211">
          <cell r="A211" t="str">
            <v>39-1013</v>
          </cell>
          <cell r="B211" t="str">
            <v>49-9063</v>
          </cell>
          <cell r="C211" t="str">
            <v xml:space="preserve">        First-line supervisors of gambling services workers</v>
          </cell>
          <cell r="D211" t="str">
            <v>Line item</v>
          </cell>
          <cell r="E211">
            <v>2</v>
          </cell>
          <cell r="F211" t="str">
            <v>39-1014</v>
          </cell>
        </row>
        <row r="212">
          <cell r="A212" t="str">
            <v>39-1014</v>
          </cell>
          <cell r="B212" t="str">
            <v>49-9064</v>
          </cell>
          <cell r="C212" t="str">
            <v xml:space="preserve">        First-line supervisors of entertainment and recreation workers, except gambling services</v>
          </cell>
          <cell r="D212" t="str">
            <v>Line item</v>
          </cell>
          <cell r="E212">
            <v>6.3</v>
          </cell>
          <cell r="F212" t="str">
            <v>39-1022</v>
          </cell>
        </row>
        <row r="213">
          <cell r="A213" t="str">
            <v>39-1022</v>
          </cell>
          <cell r="B213" t="str">
            <v>49-9071</v>
          </cell>
          <cell r="C213" t="str">
            <v xml:space="preserve">      First-line supervisors of personal service workers</v>
          </cell>
          <cell r="D213" t="str">
            <v>Line item</v>
          </cell>
          <cell r="E213">
            <v>6.7</v>
          </cell>
          <cell r="F213" t="str">
            <v>39-2000</v>
          </cell>
        </row>
        <row r="214">
          <cell r="A214" t="str">
            <v>39-2000</v>
          </cell>
          <cell r="B214" t="str">
            <v>49-9081</v>
          </cell>
          <cell r="C214" t="str">
            <v xml:space="preserve">    Animal care and service workers</v>
          </cell>
          <cell r="D214" t="str">
            <v>Summary</v>
          </cell>
          <cell r="E214">
            <v>11.4</v>
          </cell>
          <cell r="F214" t="str">
            <v>39-3000</v>
          </cell>
        </row>
        <row r="215">
          <cell r="A215" t="str">
            <v>39-3000</v>
          </cell>
          <cell r="B215" t="str">
            <v>49-9094</v>
          </cell>
          <cell r="C215" t="str">
            <v xml:space="preserve">    Entertainment attendants and related workers</v>
          </cell>
          <cell r="D215" t="str">
            <v>Summary</v>
          </cell>
          <cell r="E215">
            <v>2.2999999999999998</v>
          </cell>
          <cell r="F215" t="str">
            <v>39-3010</v>
          </cell>
        </row>
        <row r="216">
          <cell r="A216" t="str">
            <v>39-3010</v>
          </cell>
          <cell r="B216" t="str">
            <v>49-9095</v>
          </cell>
          <cell r="C216" t="str">
            <v xml:space="preserve">      Gambling services workers</v>
          </cell>
          <cell r="D216" t="str">
            <v>Summary</v>
          </cell>
          <cell r="E216">
            <v>-1</v>
          </cell>
          <cell r="F216" t="str">
            <v>39-3019</v>
          </cell>
        </row>
        <row r="217">
          <cell r="A217" t="str">
            <v>39-3019</v>
          </cell>
          <cell r="B217" t="str">
            <v>49-9098</v>
          </cell>
          <cell r="C217" t="str">
            <v xml:space="preserve">        Gambling service workers, all other</v>
          </cell>
          <cell r="D217" t="str">
            <v>Line item</v>
          </cell>
          <cell r="E217">
            <v>-0.6</v>
          </cell>
          <cell r="F217" t="str">
            <v>39-3090</v>
          </cell>
        </row>
        <row r="218">
          <cell r="A218" t="str">
            <v>39-3090</v>
          </cell>
          <cell r="B218" t="str">
            <v>51-2011</v>
          </cell>
          <cell r="C218" t="str">
            <v xml:space="preserve">      Miscellaneous entertainment attendants and related workers</v>
          </cell>
          <cell r="D218" t="str">
            <v>Summary</v>
          </cell>
          <cell r="E218">
            <v>3.5</v>
          </cell>
          <cell r="F218" t="str">
            <v>39-3099</v>
          </cell>
        </row>
        <row r="219">
          <cell r="A219" t="str">
            <v>39-3099</v>
          </cell>
          <cell r="B219" t="str">
            <v>51-2041</v>
          </cell>
          <cell r="C219" t="str">
            <v xml:space="preserve">        Entertainment attendants and related workers, all other</v>
          </cell>
          <cell r="D219" t="str">
            <v>Line item</v>
          </cell>
          <cell r="E219">
            <v>3.6</v>
          </cell>
          <cell r="F219" t="str">
            <v>39-4000</v>
          </cell>
        </row>
        <row r="220">
          <cell r="A220" t="str">
            <v>39-4000</v>
          </cell>
          <cell r="B220" t="str">
            <v>51-2050</v>
          </cell>
          <cell r="C220" t="str">
            <v xml:space="preserve">    Funeral service workers</v>
          </cell>
          <cell r="D220" t="str">
            <v>Summary</v>
          </cell>
          <cell r="E220">
            <v>3</v>
          </cell>
          <cell r="F220" t="str">
            <v>39-4010</v>
          </cell>
        </row>
        <row r="221">
          <cell r="A221" t="str">
            <v>39-4010</v>
          </cell>
          <cell r="B221" t="str">
            <v>51-2090</v>
          </cell>
          <cell r="C221" t="str">
            <v xml:space="preserve">      Embalmers and crematory operators</v>
          </cell>
          <cell r="D221" t="str">
            <v>Summary</v>
          </cell>
          <cell r="E221">
            <v>2.2000000000000002</v>
          </cell>
          <cell r="F221" t="str">
            <v>39-4012</v>
          </cell>
        </row>
        <row r="222">
          <cell r="A222" t="str">
            <v>39-4012</v>
          </cell>
          <cell r="B222" t="str">
            <v>51-3021</v>
          </cell>
          <cell r="C222" t="str">
            <v xml:space="preserve">        Crematory operators</v>
          </cell>
          <cell r="D222" t="str">
            <v>Line item</v>
          </cell>
          <cell r="E222">
            <v>3.3</v>
          </cell>
          <cell r="F222" t="str">
            <v>39-5000</v>
          </cell>
        </row>
        <row r="223">
          <cell r="A223" t="str">
            <v>39-5000</v>
          </cell>
          <cell r="B223" t="str">
            <v>51-3091</v>
          </cell>
          <cell r="C223" t="str">
            <v xml:space="preserve">    Personal appearance workers</v>
          </cell>
          <cell r="D223" t="str">
            <v>Summary</v>
          </cell>
          <cell r="E223">
            <v>5.9</v>
          </cell>
          <cell r="F223" t="str">
            <v>39-5010</v>
          </cell>
        </row>
        <row r="224">
          <cell r="A224" t="str">
            <v>39-5010</v>
          </cell>
          <cell r="B224" t="str">
            <v>51-3092</v>
          </cell>
          <cell r="C224" t="str">
            <v xml:space="preserve">      Barbers, hairdressers, hairstylists and cosmetologists</v>
          </cell>
          <cell r="D224" t="str">
            <v>Summary</v>
          </cell>
          <cell r="E224">
            <v>5.4</v>
          </cell>
          <cell r="F224" t="str">
            <v>39-5090</v>
          </cell>
        </row>
        <row r="225">
          <cell r="A225" t="str">
            <v>39-5090</v>
          </cell>
          <cell r="B225" t="str">
            <v>51-4022</v>
          </cell>
          <cell r="C225" t="str">
            <v xml:space="preserve">      Miscellaneous personal appearance workers</v>
          </cell>
          <cell r="D225" t="str">
            <v>Summary</v>
          </cell>
          <cell r="E225">
            <v>6.9</v>
          </cell>
          <cell r="F225" t="str">
            <v>39-6000</v>
          </cell>
        </row>
        <row r="226">
          <cell r="A226" t="str">
            <v>39-6000</v>
          </cell>
          <cell r="B226" t="str">
            <v>51-4033</v>
          </cell>
          <cell r="C226" t="str">
            <v xml:space="preserve">    Baggage porters, bellhops, and concierges</v>
          </cell>
          <cell r="D226" t="str">
            <v>Summary</v>
          </cell>
          <cell r="E226">
            <v>0.7</v>
          </cell>
          <cell r="F226" t="str">
            <v>39-7010</v>
          </cell>
        </row>
        <row r="227">
          <cell r="A227" t="str">
            <v>39-7010</v>
          </cell>
          <cell r="B227" t="str">
            <v>51-4051</v>
          </cell>
          <cell r="C227" t="str">
            <v xml:space="preserve">      Tour and travel guides</v>
          </cell>
          <cell r="D227" t="str">
            <v>Line item</v>
          </cell>
          <cell r="E227">
            <v>8.1</v>
          </cell>
          <cell r="F227" t="str">
            <v>39-9000</v>
          </cell>
        </row>
        <row r="228">
          <cell r="A228" t="str">
            <v>39-9000</v>
          </cell>
          <cell r="B228" t="str">
            <v>51-4052</v>
          </cell>
          <cell r="C228" t="str">
            <v xml:space="preserve">    Other personal care and service workers</v>
          </cell>
          <cell r="D228" t="str">
            <v>Summary</v>
          </cell>
          <cell r="E228">
            <v>2</v>
          </cell>
          <cell r="F228" t="str">
            <v>39-9030</v>
          </cell>
        </row>
        <row r="229">
          <cell r="A229" t="str">
            <v>39-9030</v>
          </cell>
          <cell r="B229" t="str">
            <v>51-4062</v>
          </cell>
          <cell r="C229" t="str">
            <v xml:space="preserve">      Recreation and fitness workers</v>
          </cell>
          <cell r="D229" t="str">
            <v>Summary</v>
          </cell>
          <cell r="E229">
            <v>8.1999999999999993</v>
          </cell>
          <cell r="F229" t="str">
            <v>41-0000</v>
          </cell>
        </row>
        <row r="230">
          <cell r="A230" t="str">
            <v>41-0000</v>
          </cell>
          <cell r="B230" t="str">
            <v>51-4121</v>
          </cell>
          <cell r="C230" t="str">
            <v xml:space="preserve">  Sales and related occupations</v>
          </cell>
          <cell r="D230" t="str">
            <v>Summary</v>
          </cell>
          <cell r="E230">
            <v>-2</v>
          </cell>
          <cell r="F230" t="str">
            <v>41-1000</v>
          </cell>
        </row>
        <row r="231">
          <cell r="A231" t="str">
            <v>41-1000</v>
          </cell>
          <cell r="B231" t="str">
            <v>51-4122</v>
          </cell>
          <cell r="C231" t="str">
            <v xml:space="preserve">    Supervisors of sales workers</v>
          </cell>
          <cell r="D231" t="str">
            <v>Summary</v>
          </cell>
          <cell r="E231">
            <v>-4.0999999999999996</v>
          </cell>
          <cell r="F231" t="str">
            <v>41-2000</v>
          </cell>
        </row>
        <row r="232">
          <cell r="A232" t="str">
            <v>41-2000</v>
          </cell>
          <cell r="B232" t="str">
            <v>51-4193</v>
          </cell>
          <cell r="C232" t="str">
            <v xml:space="preserve">    Retail sales workers</v>
          </cell>
          <cell r="D232" t="str">
            <v>Summary</v>
          </cell>
          <cell r="E232">
            <v>-4</v>
          </cell>
          <cell r="F232" t="str">
            <v>41-2010</v>
          </cell>
        </row>
        <row r="233">
          <cell r="A233" t="str">
            <v>41-2010</v>
          </cell>
          <cell r="B233" t="str">
            <v>51-4194</v>
          </cell>
          <cell r="C233" t="str">
            <v xml:space="preserve">      Cashiers</v>
          </cell>
          <cell r="D233" t="str">
            <v>Summary</v>
          </cell>
          <cell r="E233">
            <v>-9.9</v>
          </cell>
          <cell r="F233" t="str">
            <v>41-2020</v>
          </cell>
        </row>
        <row r="234">
          <cell r="A234" t="str">
            <v>41-2020</v>
          </cell>
          <cell r="B234" t="str">
            <v>51-5113</v>
          </cell>
          <cell r="C234" t="str">
            <v xml:space="preserve">      Counter and rental clerks and parts salespersons</v>
          </cell>
          <cell r="D234" t="str">
            <v>Summary</v>
          </cell>
          <cell r="E234">
            <v>3.2</v>
          </cell>
          <cell r="F234" t="str">
            <v>41-3091</v>
          </cell>
        </row>
        <row r="235">
          <cell r="A235" t="str">
            <v>41-3091</v>
          </cell>
          <cell r="B235" t="str">
            <v>51-6062</v>
          </cell>
          <cell r="C235" t="str">
            <v xml:space="preserve">      Sales representatives of services, except advertising, insurance, financial services, and travel</v>
          </cell>
          <cell r="D235" t="str">
            <v>Line item</v>
          </cell>
          <cell r="E235">
            <v>3.1</v>
          </cell>
          <cell r="F235" t="str">
            <v>41-4000</v>
          </cell>
        </row>
        <row r="236">
          <cell r="A236" t="str">
            <v>41-4000</v>
          </cell>
          <cell r="B236" t="str">
            <v>51-6063</v>
          </cell>
          <cell r="C236" t="str">
            <v xml:space="preserve">    Sales representatives, wholesale and manufacturing</v>
          </cell>
          <cell r="D236" t="str">
            <v>Summary</v>
          </cell>
          <cell r="E236">
            <v>0.6</v>
          </cell>
          <cell r="F236" t="str">
            <v>41-9000</v>
          </cell>
        </row>
        <row r="237">
          <cell r="A237" t="str">
            <v>41-9000</v>
          </cell>
          <cell r="B237" t="str">
            <v>51-6092</v>
          </cell>
          <cell r="C237" t="str">
            <v xml:space="preserve">    Other sales and related workers</v>
          </cell>
          <cell r="D237" t="str">
            <v>Summary</v>
          </cell>
          <cell r="E237">
            <v>0.7</v>
          </cell>
          <cell r="F237" t="str">
            <v>41-9010</v>
          </cell>
        </row>
        <row r="238">
          <cell r="A238" t="str">
            <v>41-9010</v>
          </cell>
          <cell r="B238" t="str">
            <v>51-6092</v>
          </cell>
          <cell r="C238" t="str">
            <v xml:space="preserve">      Models, demonstrators, and product promoters</v>
          </cell>
          <cell r="D238" t="str">
            <v>Summary</v>
          </cell>
          <cell r="E238">
            <v>-0.2</v>
          </cell>
          <cell r="F238" t="str">
            <v>41-9020</v>
          </cell>
        </row>
        <row r="239">
          <cell r="A239" t="str">
            <v>41-9020</v>
          </cell>
          <cell r="B239" t="str">
            <v>51-7021</v>
          </cell>
          <cell r="C239" t="str">
            <v xml:space="preserve">      Real estate brokers and sales agents</v>
          </cell>
          <cell r="D239" t="str">
            <v>Summary</v>
          </cell>
          <cell r="E239">
            <v>3.1</v>
          </cell>
          <cell r="F239" t="str">
            <v>41-9090</v>
          </cell>
        </row>
        <row r="240">
          <cell r="A240" t="str">
            <v>41-9090</v>
          </cell>
          <cell r="B240" t="str">
            <v>51-8011</v>
          </cell>
          <cell r="C240" t="str">
            <v xml:space="preserve">      Miscellaneous sales and related workers</v>
          </cell>
          <cell r="D240" t="str">
            <v>Summary</v>
          </cell>
          <cell r="E240">
            <v>1.3</v>
          </cell>
          <cell r="F240" t="str">
            <v>41-9099</v>
          </cell>
        </row>
        <row r="241">
          <cell r="A241" t="str">
            <v>41-9099</v>
          </cell>
          <cell r="B241" t="str">
            <v>51-8013</v>
          </cell>
          <cell r="C241" t="str">
            <v xml:space="preserve">        Sales and related workers, all other</v>
          </cell>
          <cell r="D241" t="str">
            <v>Line item</v>
          </cell>
          <cell r="E241">
            <v>3.7</v>
          </cell>
          <cell r="F241" t="str">
            <v>43-0000</v>
          </cell>
        </row>
        <row r="242">
          <cell r="A242" t="str">
            <v>43-0000</v>
          </cell>
          <cell r="B242" t="str">
            <v>51-8021</v>
          </cell>
          <cell r="C242" t="str">
            <v xml:space="preserve">  Office and administrative support occupations</v>
          </cell>
          <cell r="D242" t="str">
            <v>Summary</v>
          </cell>
          <cell r="E242">
            <v>-3.9</v>
          </cell>
          <cell r="F242" t="str">
            <v>43-1000</v>
          </cell>
        </row>
        <row r="243">
          <cell r="A243" t="str">
            <v>43-1000</v>
          </cell>
          <cell r="B243" t="str">
            <v>51-8031</v>
          </cell>
          <cell r="C243" t="str">
            <v xml:space="preserve">    Supervisors of office and administrative support workers</v>
          </cell>
          <cell r="D243" t="str">
            <v>Summary</v>
          </cell>
          <cell r="E243">
            <v>-0.3</v>
          </cell>
          <cell r="F243" t="str">
            <v>43-2000</v>
          </cell>
        </row>
        <row r="244">
          <cell r="A244" t="str">
            <v>43-2000</v>
          </cell>
          <cell r="B244" t="str">
            <v>51-8092</v>
          </cell>
          <cell r="C244" t="str">
            <v xml:space="preserve">    Communications equipment operators</v>
          </cell>
          <cell r="D244" t="str">
            <v>Summary</v>
          </cell>
          <cell r="E244">
            <v>-25.4</v>
          </cell>
          <cell r="F244" t="str">
            <v>43-2099</v>
          </cell>
        </row>
        <row r="245">
          <cell r="A245" t="str">
            <v>43-2099</v>
          </cell>
          <cell r="B245" t="str">
            <v>51-9011</v>
          </cell>
          <cell r="C245" t="str">
            <v xml:space="preserve">      Communications equipment operators, all other</v>
          </cell>
          <cell r="D245" t="str">
            <v>Line item</v>
          </cell>
          <cell r="E245">
            <v>2.5</v>
          </cell>
          <cell r="F245" t="str">
            <v>43-3000</v>
          </cell>
        </row>
        <row r="246">
          <cell r="A246" t="str">
            <v>43-3000</v>
          </cell>
          <cell r="B246" t="str">
            <v>51-9012</v>
          </cell>
          <cell r="C246" t="str">
            <v xml:space="preserve">    Financial clerks</v>
          </cell>
          <cell r="D246" t="str">
            <v>Summary</v>
          </cell>
          <cell r="E246">
            <v>-6.7</v>
          </cell>
          <cell r="F246" t="str">
            <v>43-3099</v>
          </cell>
        </row>
        <row r="247">
          <cell r="A247" t="str">
            <v>43-3099</v>
          </cell>
          <cell r="B247" t="str">
            <v>51-9061</v>
          </cell>
          <cell r="C247" t="str">
            <v xml:space="preserve">      Financial clerks, all other</v>
          </cell>
          <cell r="D247" t="str">
            <v>Line item</v>
          </cell>
          <cell r="E247">
            <v>1.4</v>
          </cell>
          <cell r="F247" t="str">
            <v>43-4000</v>
          </cell>
        </row>
        <row r="248">
          <cell r="A248" t="str">
            <v>43-4000</v>
          </cell>
          <cell r="B248" t="str">
            <v>51-9071</v>
          </cell>
          <cell r="C248" t="str">
            <v xml:space="preserve">    Information and record clerks</v>
          </cell>
          <cell r="D248" t="str">
            <v>Summary</v>
          </cell>
          <cell r="E248">
            <v>-3.8</v>
          </cell>
          <cell r="F248" t="str">
            <v>43-4199</v>
          </cell>
        </row>
        <row r="249">
          <cell r="A249" t="str">
            <v>43-4199</v>
          </cell>
          <cell r="B249" t="str">
            <v>51-9197</v>
          </cell>
          <cell r="C249" t="str">
            <v xml:space="preserve">      Information and record clerks, all other</v>
          </cell>
          <cell r="D249" t="str">
            <v>Line item</v>
          </cell>
          <cell r="E249">
            <v>-0.2</v>
          </cell>
          <cell r="F249" t="str">
            <v>43-5000</v>
          </cell>
        </row>
        <row r="250">
          <cell r="A250" t="str">
            <v>43-5000</v>
          </cell>
          <cell r="B250" t="str">
            <v>51-9198</v>
          </cell>
          <cell r="C250" t="str">
            <v xml:space="preserve">    Material recording, scheduling, dispatching, and distributing workers</v>
          </cell>
          <cell r="D250" t="str">
            <v>Summary</v>
          </cell>
          <cell r="E250">
            <v>-2.8</v>
          </cell>
          <cell r="F250" t="str">
            <v>43-5030</v>
          </cell>
        </row>
        <row r="251">
          <cell r="A251" t="str">
            <v>43-5030</v>
          </cell>
          <cell r="B251" t="str">
            <v>53-1041</v>
          </cell>
          <cell r="C251" t="str">
            <v xml:space="preserve">      Dispatchers</v>
          </cell>
          <cell r="D251" t="str">
            <v>Summary</v>
          </cell>
          <cell r="E251">
            <v>0.5</v>
          </cell>
          <cell r="F251" t="str">
            <v>43-5050</v>
          </cell>
        </row>
        <row r="252">
          <cell r="A252" t="str">
            <v>43-5050</v>
          </cell>
          <cell r="B252" t="str">
            <v>53-2021</v>
          </cell>
          <cell r="C252" t="str">
            <v xml:space="preserve">      Postal service workers</v>
          </cell>
          <cell r="D252" t="str">
            <v>Summary</v>
          </cell>
          <cell r="E252">
            <v>-4.5999999999999996</v>
          </cell>
          <cell r="F252" t="str">
            <v>43-6000</v>
          </cell>
        </row>
        <row r="253">
          <cell r="A253" t="str">
            <v>43-6000</v>
          </cell>
          <cell r="B253" t="str">
            <v>53-3051</v>
          </cell>
          <cell r="C253" t="str">
            <v xml:space="preserve">    Secretaries and administrative assistants</v>
          </cell>
          <cell r="D253" t="str">
            <v>Summary</v>
          </cell>
          <cell r="E253">
            <v>-0.4</v>
          </cell>
          <cell r="F253" t="str">
            <v>43-9000</v>
          </cell>
        </row>
        <row r="254">
          <cell r="A254" t="str">
            <v>43-9000</v>
          </cell>
          <cell r="B254" t="str">
            <v>53-4011</v>
          </cell>
          <cell r="C254" t="str">
            <v xml:space="preserve">    Other office and administrative support workers</v>
          </cell>
          <cell r="D254" t="str">
            <v>Summary</v>
          </cell>
          <cell r="E254">
            <v>-7.7</v>
          </cell>
          <cell r="F254" t="str">
            <v>43-9020</v>
          </cell>
        </row>
        <row r="255">
          <cell r="A255" t="str">
            <v>43-9020</v>
          </cell>
          <cell r="B255" t="str">
            <v>53-4013</v>
          </cell>
          <cell r="C255" t="str">
            <v xml:space="preserve">      Data entry and information processing workers</v>
          </cell>
          <cell r="D255" t="str">
            <v>Summary</v>
          </cell>
          <cell r="E255">
            <v>-28.2</v>
          </cell>
          <cell r="F255" t="str">
            <v>43-9199</v>
          </cell>
        </row>
        <row r="256">
          <cell r="A256" t="str">
            <v>43-9199</v>
          </cell>
          <cell r="B256" t="str">
            <v>53-6031</v>
          </cell>
          <cell r="C256" t="str">
            <v xml:space="preserve">      Office and administrative support workers, all other</v>
          </cell>
          <cell r="D256" t="str">
            <v>Line item</v>
          </cell>
          <cell r="E256">
            <v>-7.8</v>
          </cell>
          <cell r="F256" t="str">
            <v>45-1000</v>
          </cell>
        </row>
        <row r="257">
          <cell r="A257" t="str">
            <v>45-1000</v>
          </cell>
          <cell r="B257" t="str">
            <v>53-6051</v>
          </cell>
          <cell r="C257" t="str">
            <v xml:space="preserve">    Supervisors of farming, fishing, and forestry workers</v>
          </cell>
          <cell r="D257" t="str">
            <v>Summary</v>
          </cell>
          <cell r="E257">
            <v>2.5</v>
          </cell>
          <cell r="F257" t="str">
            <v>45-2000</v>
          </cell>
        </row>
        <row r="258">
          <cell r="A258" t="str">
            <v>45-2000</v>
          </cell>
          <cell r="B258" t="str">
            <v>53-7011</v>
          </cell>
          <cell r="C258" t="str">
            <v xml:space="preserve">    Agricultural workers</v>
          </cell>
          <cell r="D258" t="str">
            <v>Summary</v>
          </cell>
          <cell r="E258">
            <v>-2.8</v>
          </cell>
          <cell r="F258" t="str">
            <v>45-2090</v>
          </cell>
        </row>
        <row r="259">
          <cell r="A259" t="str">
            <v>45-2090</v>
          </cell>
          <cell r="B259" t="str">
            <v>53-7051</v>
          </cell>
          <cell r="C259" t="str">
            <v xml:space="preserve">      Miscellaneous agricultural workers</v>
          </cell>
          <cell r="D259" t="str">
            <v>Summary</v>
          </cell>
          <cell r="E259">
            <v>-2.8</v>
          </cell>
          <cell r="F259" t="str">
            <v>45-2099</v>
          </cell>
        </row>
        <row r="260">
          <cell r="A260" t="str">
            <v>45-2099</v>
          </cell>
          <cell r="B260" t="str">
            <v>53-7064</v>
          </cell>
          <cell r="C260" t="str">
            <v xml:space="preserve">        Agricultural workers, all other</v>
          </cell>
          <cell r="D260" t="str">
            <v>Line item</v>
          </cell>
          <cell r="E260">
            <v>2.2999999999999998</v>
          </cell>
          <cell r="F260" t="str">
            <v>45-3000</v>
          </cell>
        </row>
        <row r="261">
          <cell r="A261" t="str">
            <v>45-3000</v>
          </cell>
          <cell r="B261" t="str">
            <v>53-7065</v>
          </cell>
          <cell r="C261" t="str">
            <v xml:space="preserve">    Fishing and hunting workers</v>
          </cell>
          <cell r="D261" t="str">
            <v>Summary</v>
          </cell>
          <cell r="E261">
            <v>-4.5999999999999996</v>
          </cell>
          <cell r="F261" t="str">
            <v>45-3031</v>
          </cell>
        </row>
        <row r="262">
          <cell r="A262" t="str">
            <v>45-3031</v>
          </cell>
          <cell r="B262" t="str">
            <v>53-7071</v>
          </cell>
          <cell r="C262" t="str">
            <v xml:space="preserve">      Fishing and hunting workers</v>
          </cell>
          <cell r="D262" t="str">
            <v>Line item</v>
          </cell>
          <cell r="E262">
            <v>-4.5999999999999996</v>
          </cell>
          <cell r="F262" t="str">
            <v>45-4000</v>
          </cell>
        </row>
        <row r="263">
          <cell r="A263" t="str">
            <v>45-4000</v>
          </cell>
          <cell r="B263" t="str">
            <v>53-7072</v>
          </cell>
          <cell r="C263" t="str">
            <v xml:space="preserve">    Forest, conservation, and logging workers</v>
          </cell>
          <cell r="D263" t="str">
            <v>Summary</v>
          </cell>
          <cell r="E263">
            <v>-2.8</v>
          </cell>
          <cell r="F263" t="str">
            <v>45-4020</v>
          </cell>
        </row>
        <row r="264">
          <cell r="A264" t="str">
            <v>45-4020</v>
          </cell>
          <cell r="B264" t="str">
            <v>53-7081</v>
          </cell>
          <cell r="C264" t="str">
            <v xml:space="preserve">      Logging workers</v>
          </cell>
          <cell r="D264" t="str">
            <v>Summary</v>
          </cell>
          <cell r="E264">
            <v>-2.2999999999999998</v>
          </cell>
          <cell r="F264" t="str">
            <v>45-4029</v>
          </cell>
        </row>
        <row r="265">
          <cell r="A265" t="str">
            <v>45-4029</v>
          </cell>
          <cell r="C265" t="str">
            <v xml:space="preserve">        Logging workers, all other</v>
          </cell>
          <cell r="D265" t="str">
            <v>Line item</v>
          </cell>
          <cell r="E265">
            <v>-4.7</v>
          </cell>
          <cell r="F265" t="str">
            <v>47-0000</v>
          </cell>
        </row>
        <row r="266">
          <cell r="A266" t="str">
            <v>47-0000</v>
          </cell>
          <cell r="C266" t="str">
            <v xml:space="preserve">  Construction and extraction occupations</v>
          </cell>
          <cell r="D266" t="str">
            <v>Summary</v>
          </cell>
          <cell r="E266">
            <v>5.2</v>
          </cell>
          <cell r="F266" t="str">
            <v>47-1000</v>
          </cell>
        </row>
        <row r="267">
          <cell r="A267" t="str">
            <v>47-1000</v>
          </cell>
          <cell r="C267" t="str">
            <v xml:space="preserve">    Supervisors of construction and extraction workers</v>
          </cell>
          <cell r="D267" t="str">
            <v>Summary</v>
          </cell>
          <cell r="E267">
            <v>5.3</v>
          </cell>
          <cell r="F267" t="str">
            <v>47-2000</v>
          </cell>
        </row>
        <row r="268">
          <cell r="A268" t="str">
            <v>47-2000</v>
          </cell>
          <cell r="C268" t="str">
            <v xml:space="preserve">    Construction trades workers</v>
          </cell>
          <cell r="D268" t="str">
            <v>Summary</v>
          </cell>
          <cell r="E268">
            <v>5.8</v>
          </cell>
          <cell r="F268" t="str">
            <v>47-2020</v>
          </cell>
        </row>
        <row r="269">
          <cell r="A269" t="str">
            <v>47-2020</v>
          </cell>
          <cell r="C269" t="str">
            <v xml:space="preserve">      Brickmasons, blockmasons, and stonemasons</v>
          </cell>
          <cell r="D269" t="str">
            <v>Summary</v>
          </cell>
          <cell r="E269">
            <v>2.2999999999999998</v>
          </cell>
          <cell r="F269" t="str">
            <v>47-2040</v>
          </cell>
        </row>
        <row r="270">
          <cell r="A270" t="str">
            <v>47-2040</v>
          </cell>
          <cell r="C270" t="str">
            <v xml:space="preserve">      Carpet, floor, and tile installers and finishers</v>
          </cell>
          <cell r="D270" t="str">
            <v>Summary</v>
          </cell>
          <cell r="E270">
            <v>6</v>
          </cell>
          <cell r="F270" t="str">
            <v>47-2050</v>
          </cell>
        </row>
        <row r="271">
          <cell r="A271" t="str">
            <v>47-2050</v>
          </cell>
          <cell r="C271" t="str">
            <v xml:space="preserve">      Cement masons, concrete finishers, and terrazzo workers</v>
          </cell>
          <cell r="D271" t="str">
            <v>Summary</v>
          </cell>
          <cell r="E271">
            <v>1.7</v>
          </cell>
          <cell r="F271" t="str">
            <v>47-2070</v>
          </cell>
        </row>
        <row r="272">
          <cell r="A272" t="str">
            <v>47-2070</v>
          </cell>
          <cell r="C272" t="str">
            <v xml:space="preserve">      Construction equipment operators</v>
          </cell>
          <cell r="D272" t="str">
            <v>Summary</v>
          </cell>
          <cell r="E272">
            <v>3.6</v>
          </cell>
          <cell r="F272" t="str">
            <v>47-2080</v>
          </cell>
        </row>
        <row r="273">
          <cell r="A273" t="str">
            <v>47-2080</v>
          </cell>
          <cell r="C273" t="str">
            <v xml:space="preserve">      Drywall installers, ceiling tile installers, and tapers</v>
          </cell>
          <cell r="D273" t="str">
            <v>Summary</v>
          </cell>
          <cell r="E273">
            <v>3.7</v>
          </cell>
          <cell r="F273" t="str">
            <v>47-2130</v>
          </cell>
        </row>
        <row r="274">
          <cell r="A274" t="str">
            <v>47-2130</v>
          </cell>
          <cell r="C274" t="str">
            <v xml:space="preserve">      Insulation workers</v>
          </cell>
          <cell r="D274" t="str">
            <v>Summary</v>
          </cell>
          <cell r="E274">
            <v>4.2</v>
          </cell>
          <cell r="F274" t="str">
            <v>47-2140</v>
          </cell>
        </row>
        <row r="275">
          <cell r="A275" t="str">
            <v>47-2140</v>
          </cell>
          <cell r="C275" t="str">
            <v xml:space="preserve">      Painters and paperhangers</v>
          </cell>
          <cell r="D275" t="str">
            <v>Summary</v>
          </cell>
          <cell r="E275">
            <v>3.8</v>
          </cell>
          <cell r="F275" t="str">
            <v>47-2150</v>
          </cell>
        </row>
        <row r="276">
          <cell r="A276" t="str">
            <v>47-2150</v>
          </cell>
          <cell r="C276" t="str">
            <v xml:space="preserve">      Pipelayers, plumbers, pipefitters, and steamfitters</v>
          </cell>
          <cell r="D276" t="str">
            <v>Summary</v>
          </cell>
          <cell r="E276">
            <v>3.9</v>
          </cell>
          <cell r="F276" t="str">
            <v>47-3000</v>
          </cell>
        </row>
        <row r="277">
          <cell r="A277" t="str">
            <v>47-3000</v>
          </cell>
          <cell r="C277" t="str">
            <v xml:space="preserve">    Helpers, construction trades</v>
          </cell>
          <cell r="D277" t="str">
            <v>Summary</v>
          </cell>
          <cell r="E277">
            <v>1.8</v>
          </cell>
          <cell r="F277" t="str">
            <v>47-3019</v>
          </cell>
        </row>
        <row r="278">
          <cell r="A278" t="str">
            <v>47-3019</v>
          </cell>
          <cell r="C278" t="str">
            <v xml:space="preserve">      Helpers, construction trades, all other</v>
          </cell>
          <cell r="D278" t="str">
            <v>Line item</v>
          </cell>
          <cell r="E278">
            <v>4.4000000000000004</v>
          </cell>
          <cell r="F278" t="str">
            <v>47-4090</v>
          </cell>
        </row>
        <row r="279">
          <cell r="A279" t="str">
            <v>47-4090</v>
          </cell>
          <cell r="C279" t="str">
            <v xml:space="preserve">      Miscellaneous construction and related workers</v>
          </cell>
          <cell r="D279" t="str">
            <v>Line item</v>
          </cell>
          <cell r="E279">
            <v>3.5</v>
          </cell>
          <cell r="F279" t="str">
            <v>47-5000</v>
          </cell>
        </row>
        <row r="280">
          <cell r="A280" t="str">
            <v>47-5000</v>
          </cell>
          <cell r="C280" t="str">
            <v xml:space="preserve">    Extraction workers</v>
          </cell>
          <cell r="D280" t="str">
            <v>Summary</v>
          </cell>
          <cell r="E280">
            <v>-0.3</v>
          </cell>
          <cell r="F280" t="str">
            <v>47-5010</v>
          </cell>
        </row>
        <row r="281">
          <cell r="A281" t="str">
            <v>47-5010</v>
          </cell>
          <cell r="C281" t="str">
            <v xml:space="preserve">      Derrick, rotary drill, and service unit operators, oil and gas</v>
          </cell>
          <cell r="D281" t="str">
            <v>Summary</v>
          </cell>
          <cell r="E281">
            <v>0.3</v>
          </cell>
          <cell r="F281" t="str">
            <v>47-5032</v>
          </cell>
        </row>
        <row r="282">
          <cell r="A282" t="str">
            <v>47-5032</v>
          </cell>
          <cell r="C282" t="str">
            <v xml:space="preserve">      Explosives workers, ordnance handling experts, and blasters</v>
          </cell>
          <cell r="D282" t="str">
            <v>Line item</v>
          </cell>
          <cell r="E282">
            <v>-0.9</v>
          </cell>
          <cell r="F282" t="str">
            <v>47-5040</v>
          </cell>
        </row>
        <row r="283">
          <cell r="A283" t="str">
            <v>47-5040</v>
          </cell>
          <cell r="C283" t="str">
            <v xml:space="preserve">      Underground mining machine operators</v>
          </cell>
          <cell r="D283" t="str">
            <v>Summary</v>
          </cell>
          <cell r="E283">
            <v>-8.6</v>
          </cell>
          <cell r="F283" t="str">
            <v>47-5049</v>
          </cell>
        </row>
        <row r="284">
          <cell r="A284" t="str">
            <v>47-5049</v>
          </cell>
          <cell r="C284" t="str">
            <v xml:space="preserve">        Underground mining machine operators, all other</v>
          </cell>
          <cell r="D284" t="str">
            <v>Line item</v>
          </cell>
          <cell r="E284">
            <v>-6.1</v>
          </cell>
          <cell r="F284" t="str">
            <v>47-5099</v>
          </cell>
        </row>
        <row r="285">
          <cell r="A285" t="str">
            <v>47-5099</v>
          </cell>
          <cell r="C285" t="str">
            <v xml:space="preserve">      Extraction workers, all other</v>
          </cell>
          <cell r="D285" t="str">
            <v>Line item</v>
          </cell>
          <cell r="E285">
            <v>1.4</v>
          </cell>
          <cell r="F285" t="str">
            <v>49-0000</v>
          </cell>
        </row>
        <row r="286">
          <cell r="A286" t="str">
            <v>49-0000</v>
          </cell>
          <cell r="C286" t="str">
            <v xml:space="preserve">  Installation, maintenance, and repair occupations</v>
          </cell>
          <cell r="D286" t="str">
            <v>Summary</v>
          </cell>
          <cell r="E286">
            <v>4.5999999999999996</v>
          </cell>
          <cell r="F286" t="str">
            <v>49-1000</v>
          </cell>
        </row>
        <row r="287">
          <cell r="A287" t="str">
            <v>49-1000</v>
          </cell>
          <cell r="C287" t="str">
            <v xml:space="preserve">    Supervisors of installation, maintenance, and repair workers</v>
          </cell>
          <cell r="D287" t="str">
            <v>Summary</v>
          </cell>
          <cell r="E287">
            <v>3.1</v>
          </cell>
          <cell r="F287" t="str">
            <v>49-2000</v>
          </cell>
        </row>
        <row r="288">
          <cell r="A288" t="str">
            <v>49-2000</v>
          </cell>
          <cell r="C288" t="str">
            <v xml:space="preserve">    Electrical and electronic equipment mechanics, installers, and repairers</v>
          </cell>
          <cell r="D288" t="str">
            <v>Summary</v>
          </cell>
          <cell r="E288">
            <v>1.3</v>
          </cell>
          <cell r="F288" t="str">
            <v>49-2020</v>
          </cell>
        </row>
        <row r="289">
          <cell r="A289" t="str">
            <v>49-2020</v>
          </cell>
          <cell r="C289" t="str">
            <v xml:space="preserve">      Radio and telecommunications equipment installers and repairers</v>
          </cell>
          <cell r="D289" t="str">
            <v>Summary</v>
          </cell>
          <cell r="E289">
            <v>-3.3</v>
          </cell>
          <cell r="F289" t="str">
            <v>49-2090</v>
          </cell>
        </row>
        <row r="290">
          <cell r="A290" t="str">
            <v>49-2090</v>
          </cell>
          <cell r="C290" t="str">
            <v xml:space="preserve">      Miscellaneous electrical and electronic equipment mechanics, installers, and repairers</v>
          </cell>
          <cell r="D290" t="str">
            <v>Summary</v>
          </cell>
          <cell r="E290">
            <v>5.0999999999999996</v>
          </cell>
          <cell r="F290" t="str">
            <v>49-3000</v>
          </cell>
        </row>
        <row r="291">
          <cell r="A291" t="str">
            <v>49-3000</v>
          </cell>
          <cell r="C291" t="str">
            <v xml:space="preserve">    Vehicle and mobile equipment mechanics, installers, and repairers</v>
          </cell>
          <cell r="D291" t="str">
            <v>Summary</v>
          </cell>
          <cell r="E291">
            <v>4</v>
          </cell>
          <cell r="F291" t="str">
            <v>49-3020</v>
          </cell>
        </row>
        <row r="292">
          <cell r="A292" t="str">
            <v>49-3020</v>
          </cell>
          <cell r="C292" t="str">
            <v xml:space="preserve">      Automotive technicians and repairers</v>
          </cell>
          <cell r="D292" t="str">
            <v>Summary</v>
          </cell>
          <cell r="E292">
            <v>3.7</v>
          </cell>
          <cell r="F292" t="str">
            <v>49-3040</v>
          </cell>
        </row>
        <row r="293">
          <cell r="A293" t="str">
            <v>49-3040</v>
          </cell>
          <cell r="C293" t="str">
            <v xml:space="preserve">      Heavy vehicle and mobile equipment service technicians and mechanics</v>
          </cell>
          <cell r="D293" t="str">
            <v>Summary</v>
          </cell>
          <cell r="E293">
            <v>6.4</v>
          </cell>
          <cell r="F293" t="str">
            <v>49-3050</v>
          </cell>
        </row>
        <row r="294">
          <cell r="A294" t="str">
            <v>49-3050</v>
          </cell>
          <cell r="C294" t="str">
            <v xml:space="preserve">      Small engine mechanics</v>
          </cell>
          <cell r="D294" t="str">
            <v>Summary</v>
          </cell>
          <cell r="E294">
            <v>4.2</v>
          </cell>
          <cell r="F294" t="str">
            <v>49-3090</v>
          </cell>
        </row>
        <row r="295">
          <cell r="A295" t="str">
            <v>49-3090</v>
          </cell>
          <cell r="C295" t="str">
            <v xml:space="preserve">      Miscellaneous vehicle and mobile equipment mechanics, installers, and repairers</v>
          </cell>
          <cell r="D295" t="str">
            <v>Summary</v>
          </cell>
          <cell r="E295">
            <v>5.8</v>
          </cell>
          <cell r="F295" t="str">
            <v>49-9000</v>
          </cell>
        </row>
        <row r="296">
          <cell r="A296" t="str">
            <v>49-9000</v>
          </cell>
          <cell r="C296" t="str">
            <v xml:space="preserve">    Other installation, maintenance, and repair occupations</v>
          </cell>
          <cell r="D296" t="str">
            <v>Summary</v>
          </cell>
          <cell r="E296">
            <v>5.7</v>
          </cell>
          <cell r="F296" t="str">
            <v>49-9010</v>
          </cell>
        </row>
        <row r="297">
          <cell r="A297" t="str">
            <v>49-9010</v>
          </cell>
          <cell r="C297" t="str">
            <v xml:space="preserve">      Control and valve installers and repairers</v>
          </cell>
          <cell r="D297" t="str">
            <v>Summary</v>
          </cell>
          <cell r="E297">
            <v>5.0999999999999996</v>
          </cell>
          <cell r="F297" t="str">
            <v>49-9040</v>
          </cell>
        </row>
        <row r="298">
          <cell r="A298" t="str">
            <v>49-9040</v>
          </cell>
          <cell r="C298" t="str">
            <v xml:space="preserve">      Industrial machinery installation, repair, and maintenance workers</v>
          </cell>
          <cell r="D298" t="str">
            <v>Summary</v>
          </cell>
          <cell r="E298">
            <v>12.8</v>
          </cell>
          <cell r="F298" t="str">
            <v>49-9050</v>
          </cell>
        </row>
        <row r="299">
          <cell r="A299" t="str">
            <v>49-9050</v>
          </cell>
          <cell r="C299" t="str">
            <v xml:space="preserve">      Line installers and repairers</v>
          </cell>
          <cell r="D299" t="str">
            <v>Summary</v>
          </cell>
          <cell r="E299">
            <v>2.4</v>
          </cell>
          <cell r="F299" t="str">
            <v>49-9060</v>
          </cell>
        </row>
        <row r="300">
          <cell r="A300" t="str">
            <v>49-9060</v>
          </cell>
          <cell r="C300" t="str">
            <v xml:space="preserve">      Precision instrument and equipment repairers</v>
          </cell>
          <cell r="D300" t="str">
            <v>Summary</v>
          </cell>
          <cell r="E300">
            <v>9.8000000000000007</v>
          </cell>
          <cell r="F300" t="str">
            <v>49-9069</v>
          </cell>
        </row>
        <row r="301">
          <cell r="A301" t="str">
            <v>49-9069</v>
          </cell>
          <cell r="C301" t="str">
            <v xml:space="preserve">        Precision instrument and equipment repairers, all other</v>
          </cell>
          <cell r="D301" t="str">
            <v>Line item</v>
          </cell>
          <cell r="E301">
            <v>2</v>
          </cell>
          <cell r="F301" t="str">
            <v>49-9090</v>
          </cell>
        </row>
        <row r="302">
          <cell r="A302" t="str">
            <v>49-9090</v>
          </cell>
          <cell r="C302" t="str">
            <v xml:space="preserve">      Miscellaneous installation, maintenance, and repair workers</v>
          </cell>
          <cell r="D302" t="str">
            <v>Summary</v>
          </cell>
          <cell r="E302">
            <v>1.6</v>
          </cell>
          <cell r="F302" t="str">
            <v>51-0000</v>
          </cell>
        </row>
        <row r="303">
          <cell r="A303" t="str">
            <v>51-0000</v>
          </cell>
          <cell r="C303" t="str">
            <v xml:space="preserve">  Production occupations</v>
          </cell>
          <cell r="D303" t="str">
            <v>Summary</v>
          </cell>
          <cell r="E303">
            <v>-1.1000000000000001</v>
          </cell>
          <cell r="F303" t="str">
            <v>51-1000</v>
          </cell>
        </row>
        <row r="304">
          <cell r="A304" t="str">
            <v>51-1000</v>
          </cell>
          <cell r="C304" t="str">
            <v xml:space="preserve">    Supervisors of production workers</v>
          </cell>
          <cell r="D304" t="str">
            <v>Summary</v>
          </cell>
          <cell r="E304">
            <v>1.2</v>
          </cell>
          <cell r="F304" t="str">
            <v>51-2000</v>
          </cell>
        </row>
        <row r="305">
          <cell r="A305" t="str">
            <v>51-2000</v>
          </cell>
          <cell r="C305" t="str">
            <v xml:space="preserve">    Assemblers and fabricators</v>
          </cell>
          <cell r="D305" t="str">
            <v>Summary</v>
          </cell>
          <cell r="E305">
            <v>-0.6</v>
          </cell>
          <cell r="F305" t="str">
            <v>51-2028</v>
          </cell>
        </row>
        <row r="306">
          <cell r="A306" t="str">
            <v>51-2028</v>
          </cell>
          <cell r="C306" t="str">
            <v xml:space="preserve">        Electrical, electronic, and electromechanical assemblers, except coil winders, tapers, and finishers</v>
          </cell>
          <cell r="D306" t="str">
            <v>Line item</v>
          </cell>
          <cell r="E306">
            <v>4.5999999999999996</v>
          </cell>
          <cell r="F306" t="str">
            <v>51-2051</v>
          </cell>
        </row>
        <row r="307">
          <cell r="A307" t="str">
            <v>51-2051</v>
          </cell>
          <cell r="C307" t="str">
            <v xml:space="preserve">      Fiberglass laminators and fabricators</v>
          </cell>
          <cell r="D307" t="str">
            <v>Line item</v>
          </cell>
          <cell r="E307">
            <v>4.2</v>
          </cell>
          <cell r="F307" t="str">
            <v>51-2061</v>
          </cell>
        </row>
        <row r="308">
          <cell r="A308" t="str">
            <v>51-2061</v>
          </cell>
          <cell r="C308" t="str">
            <v xml:space="preserve">      Timing device assemblers and adjusters</v>
          </cell>
          <cell r="D308" t="str">
            <v>Line item</v>
          </cell>
          <cell r="E308">
            <v>-17.5</v>
          </cell>
          <cell r="F308" t="str">
            <v>51-3000</v>
          </cell>
        </row>
        <row r="309">
          <cell r="A309" t="str">
            <v>51-3000</v>
          </cell>
          <cell r="C309" t="str">
            <v xml:space="preserve">    Food processing workers</v>
          </cell>
          <cell r="D309" t="str">
            <v>Summary</v>
          </cell>
          <cell r="E309">
            <v>4.5</v>
          </cell>
          <cell r="F309" t="str">
            <v>51-3020</v>
          </cell>
        </row>
        <row r="310">
          <cell r="A310" t="str">
            <v>51-3020</v>
          </cell>
          <cell r="C310" t="str">
            <v xml:space="preserve">      Butchers and other meat, poultry, and fish processing workers</v>
          </cell>
          <cell r="D310" t="str">
            <v>Summary</v>
          </cell>
          <cell r="E310">
            <v>3.1</v>
          </cell>
          <cell r="F310" t="str">
            <v>51-3090</v>
          </cell>
        </row>
        <row r="311">
          <cell r="A311" t="str">
            <v>51-3090</v>
          </cell>
          <cell r="C311" t="str">
            <v xml:space="preserve">      Miscellaneous food processing workers</v>
          </cell>
          <cell r="D311" t="str">
            <v>Summary</v>
          </cell>
          <cell r="E311">
            <v>5.4</v>
          </cell>
          <cell r="F311" t="str">
            <v>51-3099</v>
          </cell>
        </row>
        <row r="312">
          <cell r="A312" t="str">
            <v>51-3099</v>
          </cell>
          <cell r="C312" t="str">
            <v xml:space="preserve">        Food processing workers, all other</v>
          </cell>
          <cell r="D312" t="str">
            <v>Line item</v>
          </cell>
          <cell r="E312">
            <v>5.3</v>
          </cell>
          <cell r="F312" t="str">
            <v>51-4000</v>
          </cell>
        </row>
        <row r="313">
          <cell r="A313" t="str">
            <v>51-4000</v>
          </cell>
          <cell r="C313" t="str">
            <v xml:space="preserve">    Metal workers and plastic workers</v>
          </cell>
          <cell r="D313" t="str">
            <v>Summary</v>
          </cell>
          <cell r="E313">
            <v>-3.5</v>
          </cell>
          <cell r="F313" t="str">
            <v>51-4020</v>
          </cell>
        </row>
        <row r="314">
          <cell r="A314" t="str">
            <v>51-4020</v>
          </cell>
          <cell r="C314" t="str">
            <v xml:space="preserve">      Forming machine setters, operators, and tenders, metal and plastic</v>
          </cell>
          <cell r="D314" t="str">
            <v>Summary</v>
          </cell>
          <cell r="E314">
            <v>-2.8</v>
          </cell>
          <cell r="F314" t="str">
            <v>51-4050</v>
          </cell>
        </row>
        <row r="315">
          <cell r="A315" t="str">
            <v>51-4050</v>
          </cell>
          <cell r="C315" t="str">
            <v xml:space="preserve">      Metal furnace operators, tenders, pourers, and casters</v>
          </cell>
          <cell r="D315" t="str">
            <v>Summary</v>
          </cell>
          <cell r="E315">
            <v>-2.8</v>
          </cell>
          <cell r="F315" t="str">
            <v>51-4060</v>
          </cell>
        </row>
        <row r="316">
          <cell r="A316" t="str">
            <v>51-4060</v>
          </cell>
          <cell r="C316" t="str">
            <v xml:space="preserve">      Model makers and patternmakers, metal and plastic</v>
          </cell>
          <cell r="D316" t="str">
            <v>Summary</v>
          </cell>
          <cell r="E316">
            <v>-20.3</v>
          </cell>
          <cell r="F316" t="str">
            <v>51-4070</v>
          </cell>
        </row>
        <row r="317">
          <cell r="A317" t="str">
            <v>51-4070</v>
          </cell>
          <cell r="C317" t="str">
            <v xml:space="preserve">      Molders and molding machine setters, operators, and tenders, metal and plastic</v>
          </cell>
          <cell r="D317" t="str">
            <v>Summary</v>
          </cell>
          <cell r="E317">
            <v>-5.5</v>
          </cell>
          <cell r="F317" t="str">
            <v>51-4120</v>
          </cell>
        </row>
        <row r="318">
          <cell r="A318" t="str">
            <v>51-4120</v>
          </cell>
          <cell r="C318" t="str">
            <v xml:space="preserve">      Welding, soldering, and brazing workers</v>
          </cell>
          <cell r="D318" t="str">
            <v>Summary</v>
          </cell>
          <cell r="E318">
            <v>1.3</v>
          </cell>
          <cell r="F318" t="str">
            <v>51-4190</v>
          </cell>
        </row>
        <row r="319">
          <cell r="A319" t="str">
            <v>51-4190</v>
          </cell>
          <cell r="C319" t="str">
            <v xml:space="preserve">      Miscellaneous metal workers and plastic workers</v>
          </cell>
          <cell r="D319" t="str">
            <v>Summary</v>
          </cell>
          <cell r="E319">
            <v>-11.4</v>
          </cell>
          <cell r="F319" t="str">
            <v>51-4199</v>
          </cell>
        </row>
        <row r="320">
          <cell r="A320" t="str">
            <v>51-4199</v>
          </cell>
          <cell r="C320" t="str">
            <v xml:space="preserve">        Metal workers and plastic workers, all other</v>
          </cell>
          <cell r="D320" t="str">
            <v>Line item</v>
          </cell>
          <cell r="E320">
            <v>-9.5</v>
          </cell>
          <cell r="F320" t="str">
            <v>51-5100</v>
          </cell>
        </row>
        <row r="321">
          <cell r="A321" t="str">
            <v>51-5100</v>
          </cell>
          <cell r="C321" t="str">
            <v xml:space="preserve">    Printing workers</v>
          </cell>
          <cell r="D321" t="str">
            <v>Summary</v>
          </cell>
          <cell r="E321">
            <v>-10.3</v>
          </cell>
          <cell r="F321" t="str">
            <v>51-6000</v>
          </cell>
        </row>
        <row r="322">
          <cell r="A322" t="str">
            <v>51-6000</v>
          </cell>
          <cell r="C322" t="str">
            <v xml:space="preserve">    Textile, apparel, and furnishings workers</v>
          </cell>
          <cell r="D322" t="str">
            <v>Summary</v>
          </cell>
          <cell r="E322">
            <v>-3.2</v>
          </cell>
          <cell r="F322" t="str">
            <v>51-6040</v>
          </cell>
        </row>
        <row r="323">
          <cell r="A323" t="str">
            <v>51-6040</v>
          </cell>
          <cell r="C323" t="str">
            <v xml:space="preserve">      Shoe and leather workers</v>
          </cell>
          <cell r="D323" t="str">
            <v>Summary</v>
          </cell>
          <cell r="E323">
            <v>-3.8</v>
          </cell>
          <cell r="F323" t="str">
            <v>51-6050</v>
          </cell>
        </row>
        <row r="324">
          <cell r="A324" t="str">
            <v>51-6050</v>
          </cell>
          <cell r="C324" t="str">
            <v xml:space="preserve">      Tailors, dressmakers, and sewers</v>
          </cell>
          <cell r="D324" t="str">
            <v>Summary</v>
          </cell>
          <cell r="E324">
            <v>-4.8</v>
          </cell>
          <cell r="F324" t="str">
            <v>51-6060</v>
          </cell>
        </row>
        <row r="325">
          <cell r="A325" t="str">
            <v>51-6060</v>
          </cell>
          <cell r="C325" t="str">
            <v xml:space="preserve">      Textile machine setters, operators, and tenders</v>
          </cell>
          <cell r="D325" t="str">
            <v>Summary</v>
          </cell>
          <cell r="E325">
            <v>-10.199999999999999</v>
          </cell>
          <cell r="F325" t="str">
            <v>51-6090</v>
          </cell>
        </row>
        <row r="326">
          <cell r="A326" t="str">
            <v>51-6090</v>
          </cell>
          <cell r="C326" t="str">
            <v xml:space="preserve">      Miscellaneous textile, apparel, and furnishings workers</v>
          </cell>
          <cell r="D326" t="str">
            <v>Summary</v>
          </cell>
          <cell r="E326">
            <v>-4</v>
          </cell>
          <cell r="F326" t="str">
            <v>51-6099</v>
          </cell>
        </row>
        <row r="327">
          <cell r="A327" t="str">
            <v>51-6099</v>
          </cell>
          <cell r="C327" t="str">
            <v xml:space="preserve">        Textile, apparel, and furnishings workers, all other</v>
          </cell>
          <cell r="D327" t="str">
            <v>Line item</v>
          </cell>
          <cell r="E327">
            <v>-9.4</v>
          </cell>
          <cell r="F327" t="str">
            <v>51-7000</v>
          </cell>
        </row>
        <row r="328">
          <cell r="A328" t="str">
            <v>51-7000</v>
          </cell>
          <cell r="C328" t="str">
            <v xml:space="preserve">    Woodworkers</v>
          </cell>
          <cell r="D328" t="str">
            <v>Summary</v>
          </cell>
          <cell r="E328">
            <v>-1.8</v>
          </cell>
          <cell r="F328" t="str">
            <v>51-7030</v>
          </cell>
        </row>
        <row r="329">
          <cell r="A329" t="str">
            <v>51-7030</v>
          </cell>
          <cell r="C329" t="str">
            <v xml:space="preserve">      Model makers and patternmakers, wood</v>
          </cell>
          <cell r="D329" t="str">
            <v>Summary</v>
          </cell>
          <cell r="E329">
            <v>-4.5999999999999996</v>
          </cell>
          <cell r="F329" t="str">
            <v>51-7040</v>
          </cell>
        </row>
        <row r="330">
          <cell r="A330" t="str">
            <v>51-7040</v>
          </cell>
          <cell r="C330" t="str">
            <v xml:space="preserve">      Woodworking machine setters, operators, and tenders</v>
          </cell>
          <cell r="D330" t="str">
            <v>Summary</v>
          </cell>
          <cell r="E330">
            <v>-1.3</v>
          </cell>
          <cell r="F330" t="str">
            <v>51-7099</v>
          </cell>
        </row>
        <row r="331">
          <cell r="A331" t="str">
            <v>51-7099</v>
          </cell>
          <cell r="C331" t="str">
            <v xml:space="preserve">      Woodworkers, all other</v>
          </cell>
          <cell r="D331" t="str">
            <v>Line item</v>
          </cell>
          <cell r="E331">
            <v>-4.4000000000000004</v>
          </cell>
          <cell r="F331" t="str">
            <v>51-8000</v>
          </cell>
        </row>
        <row r="332">
          <cell r="A332" t="str">
            <v>51-8000</v>
          </cell>
          <cell r="C332" t="str">
            <v xml:space="preserve">    Plant and system operators</v>
          </cell>
          <cell r="D332" t="str">
            <v>Summary</v>
          </cell>
          <cell r="E332">
            <v>-5.3</v>
          </cell>
          <cell r="F332" t="str">
            <v>51-8010</v>
          </cell>
        </row>
        <row r="333">
          <cell r="A333" t="str">
            <v>51-8010</v>
          </cell>
          <cell r="C333" t="str">
            <v xml:space="preserve">      Power plant operators, distributors, and dispatchers</v>
          </cell>
          <cell r="D333" t="str">
            <v>Summary</v>
          </cell>
          <cell r="E333">
            <v>-10.1</v>
          </cell>
          <cell r="F333" t="str">
            <v>51-8090</v>
          </cell>
        </row>
        <row r="334">
          <cell r="A334" t="str">
            <v>51-8090</v>
          </cell>
          <cell r="C334" t="str">
            <v xml:space="preserve">      Miscellaneous plant and system operators</v>
          </cell>
          <cell r="D334" t="str">
            <v>Summary</v>
          </cell>
          <cell r="E334">
            <v>-3.8</v>
          </cell>
          <cell r="F334" t="str">
            <v>51-9000</v>
          </cell>
        </row>
        <row r="335">
          <cell r="A335" t="str">
            <v>51-9000</v>
          </cell>
          <cell r="C335" t="str">
            <v xml:space="preserve">    Other production occupations</v>
          </cell>
          <cell r="D335" t="str">
            <v>Summary</v>
          </cell>
          <cell r="E335">
            <v>-0.8</v>
          </cell>
          <cell r="F335" t="str">
            <v>51-9010</v>
          </cell>
        </row>
        <row r="336">
          <cell r="A336" t="str">
            <v>51-9010</v>
          </cell>
          <cell r="C336" t="str">
            <v xml:space="preserve">      Chemical processing machine setters, operators, and tenders</v>
          </cell>
          <cell r="D336" t="str">
            <v>Summary</v>
          </cell>
          <cell r="E336">
            <v>1</v>
          </cell>
          <cell r="F336" t="str">
            <v>51-9020</v>
          </cell>
        </row>
        <row r="337">
          <cell r="A337" t="str">
            <v>51-9020</v>
          </cell>
          <cell r="C337" t="str">
            <v xml:space="preserve">      Crushing, grinding, polishing, mixing, and blending workers</v>
          </cell>
          <cell r="D337" t="str">
            <v>Summary</v>
          </cell>
          <cell r="E337">
            <v>-7.1</v>
          </cell>
          <cell r="F337" t="str">
            <v>51-9030</v>
          </cell>
        </row>
        <row r="338">
          <cell r="A338" t="str">
            <v>51-9030</v>
          </cell>
          <cell r="C338" t="str">
            <v xml:space="preserve">      Cutting workers</v>
          </cell>
          <cell r="D338" t="str">
            <v>Summary</v>
          </cell>
          <cell r="E338">
            <v>-4.3</v>
          </cell>
          <cell r="F338" t="str">
            <v>51-9080</v>
          </cell>
        </row>
        <row r="339">
          <cell r="A339" t="str">
            <v>51-9080</v>
          </cell>
          <cell r="C339" t="str">
            <v xml:space="preserve">      Dental and ophthalmic laboratory technicians and medical appliance technicians</v>
          </cell>
          <cell r="D339" t="str">
            <v>Summary</v>
          </cell>
          <cell r="E339">
            <v>-1.1000000000000001</v>
          </cell>
          <cell r="F339" t="str">
            <v>51-9120</v>
          </cell>
        </row>
        <row r="340">
          <cell r="A340" t="str">
            <v>51-9120</v>
          </cell>
          <cell r="C340" t="str">
            <v xml:space="preserve">      Painting workers</v>
          </cell>
          <cell r="D340" t="str">
            <v>Summary</v>
          </cell>
          <cell r="E340">
            <v>0.7</v>
          </cell>
          <cell r="F340" t="str">
            <v>51-9160</v>
          </cell>
        </row>
        <row r="341">
          <cell r="A341" t="str">
            <v>51-9160</v>
          </cell>
          <cell r="C341" t="str">
            <v xml:space="preserve">      Computer numerically controlled tool operators and programmers</v>
          </cell>
          <cell r="D341" t="str">
            <v>Summary</v>
          </cell>
          <cell r="E341">
            <v>-7.5</v>
          </cell>
          <cell r="F341" t="str">
            <v>51-9162</v>
          </cell>
        </row>
        <row r="342">
          <cell r="A342" t="str">
            <v>51-9162</v>
          </cell>
          <cell r="C342" t="str">
            <v xml:space="preserve">        Computer numerically controlled tool programmers</v>
          </cell>
          <cell r="D342" t="str">
            <v>Line item</v>
          </cell>
          <cell r="E342">
            <v>12.8</v>
          </cell>
          <cell r="F342" t="str">
            <v>51-9190</v>
          </cell>
        </row>
        <row r="343">
          <cell r="A343" t="str">
            <v>51-9190</v>
          </cell>
          <cell r="C343" t="str">
            <v xml:space="preserve">      Miscellaneous production workers</v>
          </cell>
          <cell r="D343" t="str">
            <v>Summary</v>
          </cell>
          <cell r="E343">
            <v>-2.2999999999999998</v>
          </cell>
          <cell r="F343" t="str">
            <v>53-0000</v>
          </cell>
        </row>
        <row r="344">
          <cell r="A344" t="str">
            <v>53-0000</v>
          </cell>
          <cell r="C344" t="str">
            <v xml:space="preserve">  Transportation and material moving occupations</v>
          </cell>
          <cell r="D344" t="str">
            <v>Summary</v>
          </cell>
          <cell r="E344">
            <v>4.0999999999999996</v>
          </cell>
          <cell r="F344" t="str">
            <v>53-1000</v>
          </cell>
        </row>
        <row r="345">
          <cell r="A345" t="str">
            <v>53-1000</v>
          </cell>
          <cell r="C345" t="str">
            <v xml:space="preserve">    Supervisors of transportation and material moving workers</v>
          </cell>
          <cell r="D345" t="str">
            <v>Summary</v>
          </cell>
          <cell r="E345">
            <v>3.7</v>
          </cell>
          <cell r="F345" t="str">
            <v>53-2000</v>
          </cell>
        </row>
        <row r="346">
          <cell r="A346" t="str">
            <v>53-2000</v>
          </cell>
          <cell r="C346" t="str">
            <v xml:space="preserve">    Air transportation workers</v>
          </cell>
          <cell r="D346" t="str">
            <v>Summary</v>
          </cell>
          <cell r="E346">
            <v>6</v>
          </cell>
          <cell r="F346" t="str">
            <v>53-2010</v>
          </cell>
        </row>
        <row r="347">
          <cell r="A347" t="str">
            <v>53-2010</v>
          </cell>
          <cell r="C347" t="str">
            <v xml:space="preserve">      Aircraft pilots and flight engineers</v>
          </cell>
          <cell r="D347" t="str">
            <v>Summary</v>
          </cell>
          <cell r="E347">
            <v>4.3</v>
          </cell>
          <cell r="F347" t="str">
            <v>53-2020</v>
          </cell>
        </row>
        <row r="348">
          <cell r="A348" t="str">
            <v>53-2020</v>
          </cell>
          <cell r="C348" t="str">
            <v xml:space="preserve">      Air traffic controllers and airfield operations specialists</v>
          </cell>
          <cell r="D348" t="str">
            <v>Summary</v>
          </cell>
          <cell r="E348">
            <v>2.5</v>
          </cell>
          <cell r="F348" t="str">
            <v>53-3000</v>
          </cell>
        </row>
        <row r="349">
          <cell r="A349" t="str">
            <v>53-3000</v>
          </cell>
          <cell r="C349" t="str">
            <v xml:space="preserve">    Motor vehicle operators</v>
          </cell>
          <cell r="D349" t="str">
            <v>Summary</v>
          </cell>
          <cell r="E349">
            <v>5.3</v>
          </cell>
          <cell r="F349" t="str">
            <v>53-3030</v>
          </cell>
        </row>
        <row r="350">
          <cell r="A350" t="str">
            <v>53-3030</v>
          </cell>
          <cell r="C350" t="str">
            <v xml:space="preserve">      Driver/sales workers and truck drivers</v>
          </cell>
          <cell r="D350" t="str">
            <v>Summary</v>
          </cell>
          <cell r="E350">
            <v>5.5</v>
          </cell>
          <cell r="F350" t="str">
            <v>53-3050</v>
          </cell>
        </row>
        <row r="351">
          <cell r="A351" t="str">
            <v>53-3050</v>
          </cell>
          <cell r="C351" t="str">
            <v xml:space="preserve">      Passenger vehicle drivers</v>
          </cell>
          <cell r="D351" t="str">
            <v>Summary</v>
          </cell>
          <cell r="E351">
            <v>4.7</v>
          </cell>
          <cell r="F351" t="str">
            <v>53-3099</v>
          </cell>
        </row>
        <row r="352">
          <cell r="A352" t="str">
            <v>53-3099</v>
          </cell>
          <cell r="C352" t="str">
            <v xml:space="preserve">      Motor vehicle operators, all other</v>
          </cell>
          <cell r="D352" t="str">
            <v>Line item</v>
          </cell>
          <cell r="E352">
            <v>6</v>
          </cell>
          <cell r="F352" t="str">
            <v>53-4000</v>
          </cell>
        </row>
        <row r="353">
          <cell r="A353" t="str">
            <v>53-4000</v>
          </cell>
          <cell r="C353" t="str">
            <v xml:space="preserve">    Rail transportation workers</v>
          </cell>
          <cell r="D353" t="str">
            <v>Summary</v>
          </cell>
          <cell r="E353">
            <v>1.2</v>
          </cell>
          <cell r="F353" t="str">
            <v>53-4022</v>
          </cell>
        </row>
        <row r="354">
          <cell r="A354" t="str">
            <v>53-4022</v>
          </cell>
          <cell r="C354" t="str">
            <v xml:space="preserve">      Railroad brake, signal, and switch operators and locomotive firers</v>
          </cell>
          <cell r="D354" t="str">
            <v>Line item</v>
          </cell>
          <cell r="E354">
            <v>1</v>
          </cell>
          <cell r="F354" t="str">
            <v>53-4099</v>
          </cell>
        </row>
        <row r="355">
          <cell r="A355" t="str">
            <v>53-4099</v>
          </cell>
          <cell r="C355" t="str">
            <v xml:space="preserve">      Rail transportation workers, all other</v>
          </cell>
          <cell r="D355" t="str">
            <v>Line item</v>
          </cell>
          <cell r="E355">
            <v>3.9</v>
          </cell>
          <cell r="F355" t="str">
            <v>53-5000</v>
          </cell>
        </row>
        <row r="356">
          <cell r="A356" t="str">
            <v>53-5000</v>
          </cell>
          <cell r="C356" t="str">
            <v xml:space="preserve">    Water transportation workers</v>
          </cell>
          <cell r="D356" t="str">
            <v>Summary</v>
          </cell>
          <cell r="E356">
            <v>1.3</v>
          </cell>
          <cell r="F356" t="str">
            <v>53-5020</v>
          </cell>
        </row>
        <row r="357">
          <cell r="A357" t="str">
            <v>53-5020</v>
          </cell>
          <cell r="C357" t="str">
            <v xml:space="preserve">      Ship and boat captains and operators</v>
          </cell>
          <cell r="D357" t="str">
            <v>Summary</v>
          </cell>
          <cell r="E357">
            <v>0.5</v>
          </cell>
          <cell r="F357" t="str">
            <v>53-6000</v>
          </cell>
        </row>
        <row r="358">
          <cell r="A358" t="str">
            <v>53-6000</v>
          </cell>
          <cell r="C358" t="str">
            <v xml:space="preserve">    Other transportation workers</v>
          </cell>
          <cell r="D358" t="str">
            <v>Summary</v>
          </cell>
          <cell r="E358">
            <v>2</v>
          </cell>
          <cell r="F358" t="str">
            <v>53-6030</v>
          </cell>
        </row>
        <row r="359">
          <cell r="A359" t="str">
            <v>53-6030</v>
          </cell>
          <cell r="C359" t="str">
            <v xml:space="preserve">      Transportation service attendants</v>
          </cell>
          <cell r="D359" t="str">
            <v>Summary</v>
          </cell>
          <cell r="E359">
            <v>0.3</v>
          </cell>
          <cell r="F359" t="str">
            <v>53-6032</v>
          </cell>
        </row>
        <row r="360">
          <cell r="A360" t="str">
            <v>53-6032</v>
          </cell>
          <cell r="C360" t="str">
            <v xml:space="preserve">        Aircraft service attendants</v>
          </cell>
          <cell r="D360" t="str">
            <v>Line item</v>
          </cell>
          <cell r="E360">
            <v>5.0999999999999996</v>
          </cell>
          <cell r="F360" t="str">
            <v>53-6099</v>
          </cell>
        </row>
        <row r="361">
          <cell r="A361" t="str">
            <v>53-6099</v>
          </cell>
          <cell r="C361" t="str">
            <v xml:space="preserve">      Transportation workers, all other</v>
          </cell>
          <cell r="D361" t="str">
            <v>Line item</v>
          </cell>
          <cell r="E361">
            <v>3.8</v>
          </cell>
          <cell r="F361" t="str">
            <v>53-7000</v>
          </cell>
        </row>
        <row r="362">
          <cell r="A362" t="str">
            <v>53-7000</v>
          </cell>
          <cell r="C362" t="str">
            <v xml:space="preserve">    Material moving workers</v>
          </cell>
          <cell r="D362" t="str">
            <v>Summary</v>
          </cell>
          <cell r="E362">
            <v>3.4</v>
          </cell>
          <cell r="F362" t="str">
            <v>53-7060</v>
          </cell>
        </row>
        <row r="363">
          <cell r="A363" t="str">
            <v>53-7060</v>
          </cell>
          <cell r="C363" t="str">
            <v xml:space="preserve">      Laborers and material movers</v>
          </cell>
          <cell r="D363" t="str">
            <v>Summary</v>
          </cell>
          <cell r="E363">
            <v>3.8</v>
          </cell>
          <cell r="F363" t="str">
            <v>53-7070</v>
          </cell>
        </row>
        <row r="364">
          <cell r="A364" t="str">
            <v>53-7070</v>
          </cell>
          <cell r="C364" t="str">
            <v xml:space="preserve">      Pumping station operators</v>
          </cell>
          <cell r="D364" t="str">
            <v>Summary</v>
          </cell>
          <cell r="E364">
            <v>-1.7</v>
          </cell>
          <cell r="F364" t="str">
            <v>53-7199</v>
          </cell>
        </row>
        <row r="365">
          <cell r="A365" t="str">
            <v>53-7199</v>
          </cell>
          <cell r="C365" t="str">
            <v xml:space="preserve">      Material moving workers, all other</v>
          </cell>
          <cell r="D365" t="str">
            <v>Line item</v>
          </cell>
          <cell r="E365">
            <v>4.3</v>
          </cell>
        </row>
        <row r="366">
          <cell r="A366" t="str">
            <v>11-1011</v>
          </cell>
          <cell r="B366" t="str">
            <v>11-2021</v>
          </cell>
          <cell r="C366" t="str">
            <v xml:space="preserve">      Chief executives</v>
          </cell>
          <cell r="D366" t="str">
            <v>Line item</v>
          </cell>
          <cell r="E366">
            <v>4.3</v>
          </cell>
        </row>
        <row r="367">
          <cell r="A367" t="str">
            <v>11-1021</v>
          </cell>
          <cell r="B367" t="str">
            <v>11-2022</v>
          </cell>
          <cell r="C367" t="str">
            <v xml:space="preserve">      General and operations managers</v>
          </cell>
          <cell r="D367" t="str">
            <v>Line item</v>
          </cell>
          <cell r="E367">
            <v>4.4000000000000004</v>
          </cell>
        </row>
        <row r="368">
          <cell r="A368" t="str">
            <v>11-2011</v>
          </cell>
          <cell r="B368" t="str">
            <v>11-3021</v>
          </cell>
          <cell r="C368" t="str">
            <v xml:space="preserve">      Advertising and promotions managers</v>
          </cell>
          <cell r="D368" t="str">
            <v>Line item</v>
          </cell>
          <cell r="E368">
            <v>-2.2000000000000002</v>
          </cell>
        </row>
        <row r="369">
          <cell r="A369" t="str">
            <v>11-2021</v>
          </cell>
          <cell r="B369" t="str">
            <v>11-3051</v>
          </cell>
          <cell r="C369" t="str">
            <v xml:space="preserve">        Marketing managers</v>
          </cell>
          <cell r="D369" t="str">
            <v>Line item</v>
          </cell>
          <cell r="E369">
            <v>6.6</v>
          </cell>
        </row>
        <row r="370">
          <cell r="A370" t="str">
            <v>11-2022</v>
          </cell>
          <cell r="B370" t="str">
            <v>11-3061</v>
          </cell>
          <cell r="C370" t="str">
            <v xml:space="preserve">        Sales managers</v>
          </cell>
          <cell r="D370" t="str">
            <v>Line item</v>
          </cell>
          <cell r="E370">
            <v>4.7</v>
          </cell>
        </row>
        <row r="371">
          <cell r="A371" t="str">
            <v>11-2032</v>
          </cell>
          <cell r="B371" t="str">
            <v>11-3111</v>
          </cell>
          <cell r="C371" t="str">
            <v xml:space="preserve">        Public relations managers</v>
          </cell>
          <cell r="D371" t="str">
            <v>Line item</v>
          </cell>
          <cell r="E371">
            <v>5</v>
          </cell>
        </row>
        <row r="372">
          <cell r="A372" t="str">
            <v>11-3012</v>
          </cell>
          <cell r="B372" t="str">
            <v>11-9021</v>
          </cell>
          <cell r="C372" t="str">
            <v xml:space="preserve">        Administrative services managers</v>
          </cell>
          <cell r="D372" t="str">
            <v>Line item</v>
          </cell>
          <cell r="E372">
            <v>4.5999999999999996</v>
          </cell>
        </row>
        <row r="373">
          <cell r="A373" t="str">
            <v>11-3021</v>
          </cell>
          <cell r="B373" t="str">
            <v>11-9032</v>
          </cell>
          <cell r="C373" t="str">
            <v xml:space="preserve">      Computer and information systems managers</v>
          </cell>
          <cell r="D373" t="str">
            <v>Line item</v>
          </cell>
          <cell r="E373">
            <v>15.2</v>
          </cell>
        </row>
        <row r="374">
          <cell r="A374" t="str">
            <v>11-3031</v>
          </cell>
          <cell r="B374" t="str">
            <v>11-9033</v>
          </cell>
          <cell r="C374" t="str">
            <v xml:space="preserve">      Financial managers</v>
          </cell>
          <cell r="D374" t="str">
            <v>Line item</v>
          </cell>
          <cell r="E374">
            <v>14.8</v>
          </cell>
        </row>
        <row r="375">
          <cell r="A375" t="str">
            <v>11-3051</v>
          </cell>
          <cell r="B375" t="str">
            <v>11-9039</v>
          </cell>
          <cell r="C375" t="str">
            <v xml:space="preserve">      Industrial production managers</v>
          </cell>
          <cell r="D375" t="str">
            <v>Line item</v>
          </cell>
          <cell r="E375">
            <v>1.9</v>
          </cell>
        </row>
        <row r="376">
          <cell r="A376" t="str">
            <v>11-3061</v>
          </cell>
          <cell r="B376" t="str">
            <v>11-9041</v>
          </cell>
          <cell r="C376" t="str">
            <v xml:space="preserve">      Purchasing managers</v>
          </cell>
          <cell r="D376" t="str">
            <v>Line item</v>
          </cell>
          <cell r="E376">
            <v>3.1</v>
          </cell>
        </row>
        <row r="377">
          <cell r="A377" t="str">
            <v>11-3071</v>
          </cell>
          <cell r="B377" t="str">
            <v>11-9051</v>
          </cell>
          <cell r="C377" t="str">
            <v xml:space="preserve">      Transportation, storage, and distribution managers</v>
          </cell>
          <cell r="D377" t="str">
            <v>Line item</v>
          </cell>
          <cell r="E377">
            <v>6.1</v>
          </cell>
        </row>
        <row r="378">
          <cell r="A378" t="str">
            <v>11-3111</v>
          </cell>
          <cell r="B378" t="str">
            <v>11-9071</v>
          </cell>
          <cell r="C378" t="str">
            <v xml:space="preserve">      Compensation and benefits managers</v>
          </cell>
          <cell r="D378" t="str">
            <v>Line item</v>
          </cell>
          <cell r="E378">
            <v>0.2</v>
          </cell>
        </row>
        <row r="379">
          <cell r="A379" t="str">
            <v>11-3121</v>
          </cell>
          <cell r="B379" t="str">
            <v>11-9081</v>
          </cell>
          <cell r="C379" t="str">
            <v xml:space="preserve">      Human resources managers</v>
          </cell>
          <cell r="D379" t="str">
            <v>Line item</v>
          </cell>
          <cell r="E379">
            <v>5</v>
          </cell>
        </row>
        <row r="380">
          <cell r="A380" t="str">
            <v>11-3131</v>
          </cell>
          <cell r="B380" t="str">
            <v>11-9111</v>
          </cell>
          <cell r="C380" t="str">
            <v xml:space="preserve">      Training and development managers</v>
          </cell>
          <cell r="D380" t="str">
            <v>Line item</v>
          </cell>
          <cell r="E380">
            <v>5.8</v>
          </cell>
        </row>
        <row r="381">
          <cell r="A381" t="str">
            <v>11-9013</v>
          </cell>
          <cell r="B381" t="str">
            <v>11-9131</v>
          </cell>
          <cell r="C381" t="str">
            <v xml:space="preserve">      Farmers, ranchers, and other agricultural managers</v>
          </cell>
          <cell r="D381" t="str">
            <v>Line item</v>
          </cell>
          <cell r="E381">
            <v>-1.3</v>
          </cell>
        </row>
        <row r="382">
          <cell r="A382" t="str">
            <v>11-9021</v>
          </cell>
          <cell r="B382" t="str">
            <v>11-9141</v>
          </cell>
          <cell r="C382" t="str">
            <v xml:space="preserve">      Construction managers</v>
          </cell>
          <cell r="D382" t="str">
            <v>Line item</v>
          </cell>
          <cell r="E382">
            <v>8.6999999999999993</v>
          </cell>
        </row>
        <row r="383">
          <cell r="A383" t="str">
            <v>11-9031</v>
          </cell>
          <cell r="B383" t="str">
            <v>11-9161</v>
          </cell>
          <cell r="C383" t="str">
            <v xml:space="preserve">        Education and childcare administrators, preschool and daycare</v>
          </cell>
          <cell r="D383" t="str">
            <v>Line item</v>
          </cell>
          <cell r="E383">
            <v>-2.5</v>
          </cell>
        </row>
        <row r="384">
          <cell r="A384" t="str">
            <v>11-9032</v>
          </cell>
          <cell r="B384" t="str">
            <v>11-9171</v>
          </cell>
          <cell r="C384" t="str">
            <v xml:space="preserve">        Education administrators, kindergarten through secondary</v>
          </cell>
          <cell r="D384" t="str">
            <v>Line item</v>
          </cell>
          <cell r="E384">
            <v>-1.5</v>
          </cell>
        </row>
        <row r="385">
          <cell r="A385" t="str">
            <v>11-9033</v>
          </cell>
          <cell r="B385" t="str">
            <v>11-9199</v>
          </cell>
          <cell r="C385" t="str">
            <v xml:space="preserve">        Education administrators, postsecondary</v>
          </cell>
          <cell r="D385" t="str">
            <v>Line item</v>
          </cell>
          <cell r="E385">
            <v>1.7</v>
          </cell>
        </row>
        <row r="386">
          <cell r="A386" t="str">
            <v>11-9039</v>
          </cell>
          <cell r="B386" t="str">
            <v>13-1011</v>
          </cell>
          <cell r="C386" t="str">
            <v xml:space="preserve">        Education administrators, all other</v>
          </cell>
          <cell r="D386" t="str">
            <v>Line item</v>
          </cell>
          <cell r="E386">
            <v>2.5</v>
          </cell>
        </row>
        <row r="387">
          <cell r="A387" t="str">
            <v>11-9041</v>
          </cell>
          <cell r="B387" t="str">
            <v>13-1020</v>
          </cell>
          <cell r="C387" t="str">
            <v xml:space="preserve">      Architectural and engineering managers</v>
          </cell>
          <cell r="D387" t="str">
            <v>Line item</v>
          </cell>
          <cell r="E387">
            <v>3.8</v>
          </cell>
        </row>
        <row r="388">
          <cell r="A388" t="str">
            <v>11-9051</v>
          </cell>
          <cell r="B388" t="str">
            <v>13-1031</v>
          </cell>
          <cell r="C388" t="str">
            <v xml:space="preserve">      Food service managers</v>
          </cell>
          <cell r="D388" t="str">
            <v>Line item</v>
          </cell>
          <cell r="E388">
            <v>6.4</v>
          </cell>
        </row>
        <row r="389">
          <cell r="A389" t="str">
            <v>11-9071</v>
          </cell>
          <cell r="B389" t="str">
            <v>13-1041</v>
          </cell>
          <cell r="C389" t="str">
            <v xml:space="preserve">        Gambling managers</v>
          </cell>
          <cell r="D389" t="str">
            <v>Line item</v>
          </cell>
          <cell r="E389">
            <v>1.2</v>
          </cell>
        </row>
        <row r="390">
          <cell r="A390" t="str">
            <v>11-9081</v>
          </cell>
          <cell r="B390" t="str">
            <v>13-1071</v>
          </cell>
          <cell r="C390" t="str">
            <v xml:space="preserve">      Lodging managers</v>
          </cell>
          <cell r="D390" t="str">
            <v>Line item</v>
          </cell>
          <cell r="E390">
            <v>3.4</v>
          </cell>
        </row>
        <row r="391">
          <cell r="A391" t="str">
            <v>11-9111</v>
          </cell>
          <cell r="B391" t="str">
            <v>13-1074</v>
          </cell>
          <cell r="C391" t="str">
            <v xml:space="preserve">      Medical and health services managers</v>
          </cell>
          <cell r="D391" t="str">
            <v>Line item</v>
          </cell>
          <cell r="E391">
            <v>23.2</v>
          </cell>
        </row>
        <row r="392">
          <cell r="A392" t="str">
            <v>11-9121</v>
          </cell>
          <cell r="B392" t="str">
            <v>13-1075</v>
          </cell>
          <cell r="C392" t="str">
            <v xml:space="preserve">      Natural sciences managers</v>
          </cell>
          <cell r="D392" t="str">
            <v>Line item</v>
          </cell>
          <cell r="E392">
            <v>3.7</v>
          </cell>
        </row>
        <row r="393">
          <cell r="A393" t="str">
            <v>11-9131</v>
          </cell>
          <cell r="B393" t="str">
            <v>13-1081</v>
          </cell>
          <cell r="C393" t="str">
            <v xml:space="preserve">      Postmasters and mail superintendents</v>
          </cell>
          <cell r="D393" t="str">
            <v>Line item</v>
          </cell>
          <cell r="E393">
            <v>-3.5</v>
          </cell>
        </row>
        <row r="394">
          <cell r="A394" t="str">
            <v>11-9141</v>
          </cell>
          <cell r="B394" t="str">
            <v>13-1111</v>
          </cell>
          <cell r="C394" t="str">
            <v xml:space="preserve">      Property, real estate, and community association managers</v>
          </cell>
          <cell r="D394" t="str">
            <v>Line item</v>
          </cell>
          <cell r="E394">
            <v>3.6</v>
          </cell>
        </row>
        <row r="395">
          <cell r="A395" t="str">
            <v>11-9151</v>
          </cell>
          <cell r="B395" t="str">
            <v>13-1121</v>
          </cell>
          <cell r="C395" t="str">
            <v xml:space="preserve">      Social and community service managers</v>
          </cell>
          <cell r="D395" t="str">
            <v>Line item</v>
          </cell>
          <cell r="E395">
            <v>6.4</v>
          </cell>
        </row>
        <row r="396">
          <cell r="A396" t="str">
            <v>11-9161</v>
          </cell>
          <cell r="B396" t="str">
            <v>13-1131</v>
          </cell>
          <cell r="C396" t="str">
            <v xml:space="preserve">      Emergency management directors</v>
          </cell>
          <cell r="D396" t="str">
            <v>Line item</v>
          </cell>
          <cell r="E396">
            <v>3</v>
          </cell>
        </row>
        <row r="397">
          <cell r="A397" t="str">
            <v>11-9171</v>
          </cell>
          <cell r="B397" t="str">
            <v>13-1151</v>
          </cell>
          <cell r="C397" t="str">
            <v xml:space="preserve">        Funeral home managers</v>
          </cell>
          <cell r="D397" t="str">
            <v>Line item</v>
          </cell>
          <cell r="E397">
            <v>4.0999999999999996</v>
          </cell>
        </row>
        <row r="398">
          <cell r="A398" t="str">
            <v>11-9199</v>
          </cell>
          <cell r="B398" t="str">
            <v>13-1199</v>
          </cell>
          <cell r="C398" t="str">
            <v xml:space="preserve">      Managers, all other</v>
          </cell>
          <cell r="D398" t="str">
            <v>Line item</v>
          </cell>
          <cell r="E398">
            <v>4.5</v>
          </cell>
        </row>
        <row r="399">
          <cell r="A399" t="str">
            <v>13-1011</v>
          </cell>
          <cell r="B399" t="str">
            <v>13-2031</v>
          </cell>
          <cell r="C399" t="str">
            <v xml:space="preserve">      Agents and business managers of artists, performers, and athletes</v>
          </cell>
          <cell r="D399" t="str">
            <v>Line item</v>
          </cell>
          <cell r="E399">
            <v>8.6999999999999993</v>
          </cell>
        </row>
        <row r="400">
          <cell r="A400" t="str">
            <v>13-1020</v>
          </cell>
          <cell r="B400" t="str">
            <v>13-2041</v>
          </cell>
          <cell r="C400" t="str">
            <v xml:space="preserve">      Buyers and purchasing agents</v>
          </cell>
          <cell r="D400" t="str">
            <v>Line item</v>
          </cell>
          <cell r="E400">
            <v>5.8</v>
          </cell>
        </row>
        <row r="401">
          <cell r="A401" t="str">
            <v>13-1031</v>
          </cell>
          <cell r="B401" t="str">
            <v>13-2052</v>
          </cell>
          <cell r="C401" t="str">
            <v xml:space="preserve">        Claims adjusters, examiners, and investigators</v>
          </cell>
          <cell r="D401" t="str">
            <v>Line item</v>
          </cell>
          <cell r="E401">
            <v>-5.0999999999999996</v>
          </cell>
        </row>
        <row r="402">
          <cell r="A402" t="str">
            <v>13-1032</v>
          </cell>
          <cell r="B402" t="str">
            <v>13-2053</v>
          </cell>
          <cell r="C402" t="str">
            <v xml:space="preserve">        Insurance appraisers, auto damage</v>
          </cell>
          <cell r="D402" t="str">
            <v>Line item</v>
          </cell>
          <cell r="E402">
            <v>-8.1999999999999993</v>
          </cell>
        </row>
        <row r="403">
          <cell r="A403" t="str">
            <v>13-1041</v>
          </cell>
          <cell r="B403" t="str">
            <v>13-2061</v>
          </cell>
          <cell r="C403" t="str">
            <v xml:space="preserve">      Compliance officers</v>
          </cell>
          <cell r="D403" t="str">
            <v>Line item</v>
          </cell>
          <cell r="E403">
            <v>3</v>
          </cell>
        </row>
        <row r="404">
          <cell r="A404" t="str">
            <v>13-1051</v>
          </cell>
          <cell r="B404" t="str">
            <v>13-2071</v>
          </cell>
          <cell r="C404" t="str">
            <v xml:space="preserve">      Cost estimators</v>
          </cell>
          <cell r="D404" t="str">
            <v>Line item</v>
          </cell>
          <cell r="E404">
            <v>-4.2</v>
          </cell>
        </row>
        <row r="405">
          <cell r="A405" t="str">
            <v>13-1071</v>
          </cell>
          <cell r="B405" t="str">
            <v>13-2081</v>
          </cell>
          <cell r="C405" t="str">
            <v xml:space="preserve">        Human resources specialists</v>
          </cell>
          <cell r="D405" t="str">
            <v>Line item</v>
          </cell>
          <cell r="E405">
            <v>6.2</v>
          </cell>
        </row>
        <row r="406">
          <cell r="A406" t="str">
            <v>13-1074</v>
          </cell>
          <cell r="B406" t="str">
            <v>13-2082</v>
          </cell>
          <cell r="C406" t="str">
            <v xml:space="preserve">        Farm labor contractors</v>
          </cell>
          <cell r="D406" t="str">
            <v>Line item</v>
          </cell>
          <cell r="E406">
            <v>6</v>
          </cell>
        </row>
        <row r="407">
          <cell r="A407" t="str">
            <v>13-1075</v>
          </cell>
          <cell r="B407" t="str">
            <v>13-2099</v>
          </cell>
          <cell r="C407" t="str">
            <v xml:space="preserve">        Labor relations specialists</v>
          </cell>
          <cell r="D407" t="str">
            <v>Line item</v>
          </cell>
          <cell r="E407">
            <v>-0.1</v>
          </cell>
        </row>
        <row r="408">
          <cell r="A408" t="str">
            <v>13-1081</v>
          </cell>
          <cell r="B408" t="str">
            <v>15-1212</v>
          </cell>
          <cell r="C408" t="str">
            <v xml:space="preserve">        Logisticians</v>
          </cell>
          <cell r="D408" t="str">
            <v>Line item</v>
          </cell>
          <cell r="E408">
            <v>16.7</v>
          </cell>
        </row>
        <row r="409">
          <cell r="A409" t="str">
            <v>13-1111</v>
          </cell>
          <cell r="B409" t="str">
            <v>15-1231</v>
          </cell>
          <cell r="C409" t="str">
            <v xml:space="preserve">      Management analysts</v>
          </cell>
          <cell r="D409" t="str">
            <v>Line item</v>
          </cell>
          <cell r="E409">
            <v>8.8000000000000007</v>
          </cell>
        </row>
        <row r="410">
          <cell r="A410" t="str">
            <v>13-1121</v>
          </cell>
          <cell r="B410" t="str">
            <v>15-1232</v>
          </cell>
          <cell r="C410" t="str">
            <v xml:space="preserve">      Meeting, convention, and event planners</v>
          </cell>
          <cell r="D410" t="str">
            <v>Line item</v>
          </cell>
          <cell r="E410">
            <v>4.8</v>
          </cell>
        </row>
        <row r="411">
          <cell r="A411" t="str">
            <v>13-1131</v>
          </cell>
          <cell r="B411" t="str">
            <v>15-1241</v>
          </cell>
          <cell r="C411" t="str">
            <v xml:space="preserve">      Fundraisers</v>
          </cell>
          <cell r="D411" t="str">
            <v>Line item</v>
          </cell>
          <cell r="E411">
            <v>4.3</v>
          </cell>
        </row>
        <row r="412">
          <cell r="A412" t="str">
            <v>13-1141</v>
          </cell>
          <cell r="B412" t="str">
            <v>15-1242</v>
          </cell>
          <cell r="C412" t="str">
            <v xml:space="preserve">      Compensation, benefits, and job analysis specialists</v>
          </cell>
          <cell r="D412" t="str">
            <v>Line item</v>
          </cell>
          <cell r="E412">
            <v>5.3</v>
          </cell>
        </row>
        <row r="413">
          <cell r="A413" t="str">
            <v>13-1151</v>
          </cell>
          <cell r="B413" t="str">
            <v>15-1244</v>
          </cell>
          <cell r="C413" t="str">
            <v xml:space="preserve">      Training and development specialists</v>
          </cell>
          <cell r="D413" t="str">
            <v>Line item</v>
          </cell>
          <cell r="E413">
            <v>10.8</v>
          </cell>
        </row>
        <row r="414">
          <cell r="A414" t="str">
            <v>13-1161</v>
          </cell>
          <cell r="B414" t="str">
            <v>15-1251</v>
          </cell>
          <cell r="C414" t="str">
            <v xml:space="preserve">      Market research analysts and marketing specialists</v>
          </cell>
          <cell r="D414" t="str">
            <v>Line item</v>
          </cell>
          <cell r="E414">
            <v>6.7</v>
          </cell>
        </row>
        <row r="415">
          <cell r="A415" t="str">
            <v>13-1199</v>
          </cell>
          <cell r="B415" t="str">
            <v>15-1252</v>
          </cell>
          <cell r="C415" t="str">
            <v xml:space="preserve">      Business operations specialists, all other</v>
          </cell>
          <cell r="D415" t="str">
            <v>Line item</v>
          </cell>
          <cell r="E415">
            <v>3</v>
          </cell>
        </row>
        <row r="416">
          <cell r="A416" t="str">
            <v>13-2011</v>
          </cell>
          <cell r="B416" t="str">
            <v>15-1299</v>
          </cell>
          <cell r="C416" t="str">
            <v xml:space="preserve">      Accountants and auditors</v>
          </cell>
          <cell r="D416" t="str">
            <v>Line item</v>
          </cell>
          <cell r="E416">
            <v>4.5999999999999996</v>
          </cell>
        </row>
        <row r="417">
          <cell r="A417" t="str">
            <v>13-2020</v>
          </cell>
          <cell r="B417" t="str">
            <v>15-2000</v>
          </cell>
          <cell r="C417" t="str">
            <v xml:space="preserve">      Property appraisers and assessors</v>
          </cell>
          <cell r="D417" t="str">
            <v>Line item</v>
          </cell>
          <cell r="E417">
            <v>3.8</v>
          </cell>
        </row>
        <row r="418">
          <cell r="A418" t="str">
            <v>13-2031</v>
          </cell>
          <cell r="B418" t="str">
            <v>15-2011</v>
          </cell>
          <cell r="C418" t="str">
            <v xml:space="preserve">      Budget analysts</v>
          </cell>
          <cell r="D418" t="str">
            <v>Line item</v>
          </cell>
          <cell r="E418">
            <v>1</v>
          </cell>
        </row>
        <row r="419">
          <cell r="A419" t="str">
            <v>13-2041</v>
          </cell>
          <cell r="B419" t="str">
            <v>15-2021</v>
          </cell>
          <cell r="C419" t="str">
            <v xml:space="preserve">      Credit analysts</v>
          </cell>
          <cell r="D419" t="str">
            <v>Line item</v>
          </cell>
          <cell r="E419">
            <v>-4.4000000000000004</v>
          </cell>
        </row>
        <row r="420">
          <cell r="A420" t="str">
            <v>13-2051</v>
          </cell>
          <cell r="B420" t="str">
            <v>15-2041</v>
          </cell>
          <cell r="C420" t="str">
            <v xml:space="preserve">        Financial and investment analysts</v>
          </cell>
          <cell r="D420" t="str">
            <v>Line item</v>
          </cell>
          <cell r="E420">
            <v>5.7</v>
          </cell>
        </row>
        <row r="421">
          <cell r="A421" t="str">
            <v>13-2052</v>
          </cell>
          <cell r="B421" t="str">
            <v>17-1011</v>
          </cell>
          <cell r="C421" t="str">
            <v xml:space="preserve">        Personal financial advisors</v>
          </cell>
          <cell r="D421" t="str">
            <v>Line item</v>
          </cell>
          <cell r="E421">
            <v>9.6</v>
          </cell>
        </row>
        <row r="422">
          <cell r="A422" t="str">
            <v>13-2053</v>
          </cell>
          <cell r="B422" t="str">
            <v>17-1012</v>
          </cell>
          <cell r="C422" t="str">
            <v xml:space="preserve">        Insurance underwriters</v>
          </cell>
          <cell r="D422" t="str">
            <v>Line item</v>
          </cell>
          <cell r="E422">
            <v>-2.6</v>
          </cell>
        </row>
        <row r="423">
          <cell r="A423" t="str">
            <v>13-2061</v>
          </cell>
          <cell r="B423" t="str">
            <v>17-1022</v>
          </cell>
          <cell r="C423" t="str">
            <v xml:space="preserve">      Financial examiners</v>
          </cell>
          <cell r="D423" t="str">
            <v>Line item</v>
          </cell>
          <cell r="E423">
            <v>18.5</v>
          </cell>
        </row>
        <row r="424">
          <cell r="A424" t="str">
            <v>13-2071</v>
          </cell>
          <cell r="B424" t="str">
            <v>17-2021</v>
          </cell>
          <cell r="C424" t="str">
            <v xml:space="preserve">        Credit counselors</v>
          </cell>
          <cell r="D424" t="str">
            <v>Line item</v>
          </cell>
          <cell r="E424">
            <v>3.3</v>
          </cell>
        </row>
        <row r="425">
          <cell r="A425" t="str">
            <v>13-2072</v>
          </cell>
          <cell r="B425" t="str">
            <v>17-2031</v>
          </cell>
          <cell r="C425" t="str">
            <v xml:space="preserve">        Loan officers</v>
          </cell>
          <cell r="D425" t="str">
            <v>Line item</v>
          </cell>
          <cell r="E425">
            <v>1.7</v>
          </cell>
        </row>
        <row r="426">
          <cell r="A426" t="str">
            <v>13-2081</v>
          </cell>
          <cell r="B426" t="str">
            <v>17-2051</v>
          </cell>
          <cell r="C426" t="str">
            <v xml:space="preserve">        Tax examiners and collectors, and revenue agents</v>
          </cell>
          <cell r="D426" t="str">
            <v>Line item</v>
          </cell>
          <cell r="E426">
            <v>-1.8</v>
          </cell>
        </row>
        <row r="427">
          <cell r="A427" t="str">
            <v>13-2082</v>
          </cell>
          <cell r="B427" t="str">
            <v>17-2061</v>
          </cell>
          <cell r="C427" t="str">
            <v xml:space="preserve">        Tax preparers</v>
          </cell>
          <cell r="D427" t="str">
            <v>Line item</v>
          </cell>
          <cell r="E427">
            <v>4.5</v>
          </cell>
        </row>
        <row r="428">
          <cell r="A428" t="str">
            <v>13-2099</v>
          </cell>
          <cell r="B428" t="str">
            <v>17-2071</v>
          </cell>
          <cell r="C428" t="str">
            <v xml:space="preserve">      Financial specialists, all other</v>
          </cell>
          <cell r="D428" t="str">
            <v>Line item</v>
          </cell>
          <cell r="E428">
            <v>3.1</v>
          </cell>
        </row>
        <row r="429">
          <cell r="A429" t="str">
            <v>15-1211</v>
          </cell>
          <cell r="B429" t="str">
            <v>17-2112</v>
          </cell>
          <cell r="C429" t="str">
            <v xml:space="preserve">        Computer systems analysts</v>
          </cell>
          <cell r="D429" t="str">
            <v>Line item</v>
          </cell>
          <cell r="E429">
            <v>8.6999999999999993</v>
          </cell>
        </row>
        <row r="430">
          <cell r="A430" t="str">
            <v>15-1212</v>
          </cell>
          <cell r="B430" t="str">
            <v>17-2121</v>
          </cell>
          <cell r="C430" t="str">
            <v xml:space="preserve">        Information security analysts</v>
          </cell>
          <cell r="D430" t="str">
            <v>Line item</v>
          </cell>
          <cell r="E430">
            <v>28.5</v>
          </cell>
        </row>
        <row r="431">
          <cell r="A431" t="str">
            <v>15-1221</v>
          </cell>
          <cell r="B431" t="str">
            <v>17-2131</v>
          </cell>
          <cell r="C431" t="str">
            <v xml:space="preserve">      Computer and information research scientists</v>
          </cell>
          <cell r="D431" t="str">
            <v>Line item</v>
          </cell>
          <cell r="E431">
            <v>19.7</v>
          </cell>
        </row>
        <row r="432">
          <cell r="A432" t="str">
            <v>15-1231</v>
          </cell>
          <cell r="B432" t="str">
            <v>17-2151</v>
          </cell>
          <cell r="C432" t="str">
            <v xml:space="preserve">        Computer network support specialists</v>
          </cell>
          <cell r="D432" t="str">
            <v>Line item</v>
          </cell>
          <cell r="E432">
            <v>1.8</v>
          </cell>
        </row>
        <row r="433">
          <cell r="A433" t="str">
            <v>15-1232</v>
          </cell>
          <cell r="B433" t="str">
            <v>17-2161</v>
          </cell>
          <cell r="C433" t="str">
            <v xml:space="preserve">        Computer user support specialists</v>
          </cell>
          <cell r="D433" t="str">
            <v>Line item</v>
          </cell>
          <cell r="E433">
            <v>-3.7</v>
          </cell>
        </row>
        <row r="434">
          <cell r="A434" t="str">
            <v>15-1241</v>
          </cell>
          <cell r="B434" t="str">
            <v>17-2199</v>
          </cell>
          <cell r="C434" t="str">
            <v xml:space="preserve">        Computer network architects</v>
          </cell>
          <cell r="D434" t="str">
            <v>Line item</v>
          </cell>
          <cell r="E434">
            <v>11.9</v>
          </cell>
        </row>
        <row r="435">
          <cell r="A435" t="str">
            <v>15-1242</v>
          </cell>
          <cell r="B435" t="str">
            <v>17-3011</v>
          </cell>
          <cell r="C435" t="str">
            <v xml:space="preserve">        Database administrators</v>
          </cell>
          <cell r="D435" t="str">
            <v>Line item</v>
          </cell>
          <cell r="E435">
            <v>-0.7</v>
          </cell>
        </row>
        <row r="436">
          <cell r="A436" t="str">
            <v>15-1244</v>
          </cell>
          <cell r="B436" t="str">
            <v>17-3013</v>
          </cell>
          <cell r="C436" t="str">
            <v xml:space="preserve">        Network and computer systems administrators</v>
          </cell>
          <cell r="D436" t="str">
            <v>Line item</v>
          </cell>
          <cell r="E436">
            <v>-4.2</v>
          </cell>
        </row>
        <row r="437">
          <cell r="A437" t="str">
            <v>15-1251</v>
          </cell>
          <cell r="B437" t="str">
            <v>17-3022</v>
          </cell>
          <cell r="C437" t="str">
            <v xml:space="preserve">        Computer programmers</v>
          </cell>
          <cell r="D437" t="str">
            <v>Line item</v>
          </cell>
          <cell r="E437">
            <v>-6</v>
          </cell>
        </row>
        <row r="438">
          <cell r="A438" t="str">
            <v>15-1252</v>
          </cell>
          <cell r="B438" t="str">
            <v>17-3023</v>
          </cell>
          <cell r="C438" t="str">
            <v xml:space="preserve">        Software developers</v>
          </cell>
          <cell r="D438" t="str">
            <v>Line item</v>
          </cell>
          <cell r="E438">
            <v>15.8</v>
          </cell>
        </row>
        <row r="439">
          <cell r="A439" t="str">
            <v>15-1254</v>
          </cell>
          <cell r="B439" t="str">
            <v>17-3025</v>
          </cell>
          <cell r="C439" t="str">
            <v xml:space="preserve">        Web developers</v>
          </cell>
          <cell r="D439" t="str">
            <v>Line item</v>
          </cell>
          <cell r="E439">
            <v>7.5</v>
          </cell>
        </row>
        <row r="440">
          <cell r="A440" t="str">
            <v>15-1299</v>
          </cell>
          <cell r="B440" t="str">
            <v>17-3027</v>
          </cell>
          <cell r="C440" t="str">
            <v xml:space="preserve">      Computer occupations, all other</v>
          </cell>
          <cell r="D440" t="str">
            <v>Line item</v>
          </cell>
          <cell r="E440">
            <v>8.1999999999999993</v>
          </cell>
        </row>
        <row r="441">
          <cell r="A441" t="str">
            <v>15-2000</v>
          </cell>
          <cell r="B441" t="str">
            <v>17-3029</v>
          </cell>
          <cell r="C441" t="str">
            <v xml:space="preserve">    Mathematical science occupations</v>
          </cell>
          <cell r="D441" t="str">
            <v>Summary</v>
          </cell>
          <cell r="E441">
            <v>27.1</v>
          </cell>
        </row>
        <row r="442">
          <cell r="A442" t="str">
            <v>15-2011</v>
          </cell>
          <cell r="B442" t="str">
            <v>17-3031</v>
          </cell>
          <cell r="C442" t="str">
            <v xml:space="preserve">      Actuaries</v>
          </cell>
          <cell r="D442" t="str">
            <v>Line item</v>
          </cell>
          <cell r="E442">
            <v>21.8</v>
          </cell>
        </row>
        <row r="443">
          <cell r="A443" t="str">
            <v>15-2021</v>
          </cell>
          <cell r="B443" t="str">
            <v>19-1011</v>
          </cell>
          <cell r="C443" t="str">
            <v xml:space="preserve">      Mathematicians</v>
          </cell>
          <cell r="D443" t="str">
            <v>Line item</v>
          </cell>
          <cell r="E443">
            <v>-0.7</v>
          </cell>
        </row>
        <row r="444">
          <cell r="A444" t="str">
            <v>15-2031</v>
          </cell>
          <cell r="B444" t="str">
            <v>19-1012</v>
          </cell>
          <cell r="C444" t="str">
            <v xml:space="preserve">      Operations research analysts</v>
          </cell>
          <cell r="D444" t="str">
            <v>Line item</v>
          </cell>
          <cell r="E444">
            <v>21.5</v>
          </cell>
        </row>
        <row r="445">
          <cell r="A445" t="str">
            <v>15-2041</v>
          </cell>
          <cell r="B445" t="str">
            <v>19-1013</v>
          </cell>
          <cell r="C445" t="str">
            <v xml:space="preserve">      Statisticians</v>
          </cell>
          <cell r="D445" t="str">
            <v>Line item</v>
          </cell>
          <cell r="E445">
            <v>8.5</v>
          </cell>
        </row>
        <row r="446">
          <cell r="A446" t="str">
            <v>17-1011</v>
          </cell>
          <cell r="B446" t="str">
            <v>19-1031</v>
          </cell>
          <cell r="C446" t="str">
            <v xml:space="preserve">        Architects, except landscape and naval</v>
          </cell>
          <cell r="D446" t="str">
            <v>Line item</v>
          </cell>
          <cell r="E446">
            <v>3.9</v>
          </cell>
        </row>
        <row r="447">
          <cell r="A447" t="str">
            <v>17-1012</v>
          </cell>
          <cell r="B447" t="str">
            <v>19-1032</v>
          </cell>
          <cell r="C447" t="str">
            <v xml:space="preserve">        Landscape architects</v>
          </cell>
          <cell r="D447" t="str">
            <v>Line item</v>
          </cell>
          <cell r="E447">
            <v>3.5</v>
          </cell>
        </row>
        <row r="448">
          <cell r="A448" t="str">
            <v>17-1021</v>
          </cell>
          <cell r="B448" t="str">
            <v>19-1042</v>
          </cell>
          <cell r="C448" t="str">
            <v xml:space="preserve">        Cartographers and photogrammetrists</v>
          </cell>
          <cell r="D448" t="str">
            <v>Line item</v>
          </cell>
          <cell r="E448">
            <v>6.4</v>
          </cell>
        </row>
        <row r="449">
          <cell r="A449" t="str">
            <v>17-1022</v>
          </cell>
          <cell r="B449" t="str">
            <v>19-2011</v>
          </cell>
          <cell r="C449" t="str">
            <v xml:space="preserve">        Surveyors</v>
          </cell>
          <cell r="D449" t="str">
            <v>Line item</v>
          </cell>
          <cell r="E449">
            <v>4.4000000000000004</v>
          </cell>
        </row>
        <row r="450">
          <cell r="A450" t="str">
            <v>17-2011</v>
          </cell>
          <cell r="B450" t="str">
            <v>19-2021</v>
          </cell>
          <cell r="C450" t="str">
            <v xml:space="preserve">      Aerospace engineers</v>
          </cell>
          <cell r="D450" t="str">
            <v>Line item</v>
          </cell>
          <cell r="E450">
            <v>6.1</v>
          </cell>
        </row>
        <row r="451">
          <cell r="A451" t="str">
            <v>17-2021</v>
          </cell>
          <cell r="B451" t="str">
            <v>19-2031</v>
          </cell>
          <cell r="C451" t="str">
            <v xml:space="preserve">      Agricultural engineers</v>
          </cell>
          <cell r="D451" t="str">
            <v>Line item</v>
          </cell>
          <cell r="E451">
            <v>5.9</v>
          </cell>
        </row>
        <row r="452">
          <cell r="A452" t="str">
            <v>17-2031</v>
          </cell>
          <cell r="B452" t="str">
            <v>19-2032</v>
          </cell>
          <cell r="C452" t="str">
            <v xml:space="preserve">      Bioengineers and biomedical engineers</v>
          </cell>
          <cell r="D452" t="str">
            <v>Line item</v>
          </cell>
          <cell r="E452">
            <v>5.2</v>
          </cell>
        </row>
        <row r="453">
          <cell r="A453" t="str">
            <v>17-2041</v>
          </cell>
          <cell r="B453" t="str">
            <v>19-2041</v>
          </cell>
          <cell r="C453" t="str">
            <v xml:space="preserve">      Chemical engineers</v>
          </cell>
          <cell r="D453" t="str">
            <v>Line item</v>
          </cell>
          <cell r="E453">
            <v>2.6</v>
          </cell>
        </row>
        <row r="454">
          <cell r="A454" t="str">
            <v>17-2051</v>
          </cell>
          <cell r="B454" t="str">
            <v>19-2042</v>
          </cell>
          <cell r="C454" t="str">
            <v xml:space="preserve">      Civil engineers</v>
          </cell>
          <cell r="D454" t="str">
            <v>Line item</v>
          </cell>
          <cell r="E454">
            <v>5</v>
          </cell>
        </row>
        <row r="455">
          <cell r="A455" t="str">
            <v>17-2061</v>
          </cell>
          <cell r="B455" t="str">
            <v>19-2043</v>
          </cell>
          <cell r="C455" t="str">
            <v xml:space="preserve">      Computer hardware engineers</v>
          </cell>
          <cell r="D455" t="str">
            <v>Line item</v>
          </cell>
          <cell r="E455">
            <v>7.3</v>
          </cell>
        </row>
        <row r="456">
          <cell r="A456" t="str">
            <v>17-2071</v>
          </cell>
          <cell r="B456" t="str">
            <v>19-3011</v>
          </cell>
          <cell r="C456" t="str">
            <v xml:space="preserve">        Electrical engineers</v>
          </cell>
          <cell r="D456" t="str">
            <v>Line item</v>
          </cell>
          <cell r="E456">
            <v>7.2</v>
          </cell>
        </row>
        <row r="457">
          <cell r="A457" t="str">
            <v>17-2072</v>
          </cell>
          <cell r="B457" t="str">
            <v>19-3022</v>
          </cell>
          <cell r="C457" t="str">
            <v xml:space="preserve">        Electronics engineers, except computer</v>
          </cell>
          <cell r="D457" t="str">
            <v>Line item</v>
          </cell>
          <cell r="E457">
            <v>6.2</v>
          </cell>
        </row>
        <row r="458">
          <cell r="A458" t="str">
            <v>17-2081</v>
          </cell>
          <cell r="B458" t="str">
            <v>19-3032</v>
          </cell>
          <cell r="C458" t="str">
            <v xml:space="preserve">      Environmental engineers</v>
          </cell>
          <cell r="D458" t="str">
            <v>Line item</v>
          </cell>
          <cell r="E458">
            <v>3.9</v>
          </cell>
        </row>
        <row r="459">
          <cell r="A459" t="str">
            <v>17-2111</v>
          </cell>
          <cell r="B459" t="str">
            <v>19-3039</v>
          </cell>
          <cell r="C459" t="str">
            <v xml:space="preserve">        Health and safety engineers, except mining safety engineers and inspectors</v>
          </cell>
          <cell r="D459" t="str">
            <v>Line item</v>
          </cell>
          <cell r="E459">
            <v>4.4000000000000004</v>
          </cell>
        </row>
        <row r="460">
          <cell r="A460" t="str">
            <v>17-2112</v>
          </cell>
          <cell r="B460" t="str">
            <v>19-3041</v>
          </cell>
          <cell r="C460" t="str">
            <v xml:space="preserve">        Industrial engineers</v>
          </cell>
          <cell r="D460" t="str">
            <v>Line item</v>
          </cell>
          <cell r="E460">
            <v>11</v>
          </cell>
        </row>
        <row r="461">
          <cell r="A461" t="str">
            <v>17-2121</v>
          </cell>
          <cell r="B461" t="str">
            <v>19-3051</v>
          </cell>
          <cell r="C461" t="str">
            <v xml:space="preserve">      Marine engineers and naval architects</v>
          </cell>
          <cell r="D461" t="str">
            <v>Line item</v>
          </cell>
          <cell r="E461">
            <v>5.8</v>
          </cell>
        </row>
        <row r="462">
          <cell r="A462" t="str">
            <v>17-2131</v>
          </cell>
          <cell r="B462" t="str">
            <v>19-3091</v>
          </cell>
          <cell r="C462" t="str">
            <v xml:space="preserve">      Materials engineers</v>
          </cell>
          <cell r="D462" t="str">
            <v>Line item</v>
          </cell>
          <cell r="E462">
            <v>5.7</v>
          </cell>
        </row>
        <row r="463">
          <cell r="A463" t="str">
            <v>17-2141</v>
          </cell>
          <cell r="B463" t="str">
            <v>19-3092</v>
          </cell>
          <cell r="C463" t="str">
            <v xml:space="preserve">      Mechanical engineers</v>
          </cell>
          <cell r="D463" t="str">
            <v>Line item</v>
          </cell>
          <cell r="E463">
            <v>9.1</v>
          </cell>
        </row>
        <row r="464">
          <cell r="A464" t="str">
            <v>17-2151</v>
          </cell>
          <cell r="B464" t="str">
            <v>19-3093</v>
          </cell>
          <cell r="C464" t="str">
            <v xml:space="preserve">      Mining and geological engineers, including mining safety engineers</v>
          </cell>
          <cell r="D464" t="str">
            <v>Line item</v>
          </cell>
          <cell r="E464">
            <v>0.7</v>
          </cell>
        </row>
        <row r="465">
          <cell r="A465" t="str">
            <v>17-2161</v>
          </cell>
          <cell r="B465" t="str">
            <v>19-3094</v>
          </cell>
          <cell r="C465" t="str">
            <v xml:space="preserve">      Nuclear engineers</v>
          </cell>
          <cell r="D465" t="str">
            <v>Line item</v>
          </cell>
          <cell r="E465">
            <v>-1.1000000000000001</v>
          </cell>
        </row>
        <row r="466">
          <cell r="A466" t="str">
            <v>17-2171</v>
          </cell>
          <cell r="B466" t="str">
            <v>19-3099</v>
          </cell>
          <cell r="C466" t="str">
            <v xml:space="preserve">      Petroleum engineers</v>
          </cell>
          <cell r="D466" t="str">
            <v>Line item</v>
          </cell>
          <cell r="E466">
            <v>1.3</v>
          </cell>
        </row>
        <row r="467">
          <cell r="A467" t="str">
            <v>17-2199</v>
          </cell>
          <cell r="B467" t="str">
            <v>19-4010</v>
          </cell>
          <cell r="C467" t="str">
            <v xml:space="preserve">      Engineers, all other</v>
          </cell>
          <cell r="D467" t="str">
            <v>Line item</v>
          </cell>
          <cell r="E467">
            <v>2.1</v>
          </cell>
        </row>
        <row r="468">
          <cell r="A468" t="str">
            <v>17-3011</v>
          </cell>
          <cell r="B468" t="str">
            <v>19-4042</v>
          </cell>
          <cell r="C468" t="str">
            <v xml:space="preserve">        Architectural and civil drafters</v>
          </cell>
          <cell r="D468" t="str">
            <v>Line item</v>
          </cell>
          <cell r="E468">
            <v>4.0999999999999996</v>
          </cell>
        </row>
        <row r="469">
          <cell r="A469" t="str">
            <v>17-3012</v>
          </cell>
          <cell r="B469" t="str">
            <v>19-4043</v>
          </cell>
          <cell r="C469" t="str">
            <v xml:space="preserve">        Electrical and electronics drafters</v>
          </cell>
          <cell r="D469" t="str">
            <v>Line item</v>
          </cell>
          <cell r="E469">
            <v>-5.6</v>
          </cell>
        </row>
        <row r="470">
          <cell r="A470" t="str">
            <v>17-3013</v>
          </cell>
          <cell r="B470" t="str">
            <v>19-4051</v>
          </cell>
          <cell r="C470" t="str">
            <v xml:space="preserve">        Mechanical drafters</v>
          </cell>
          <cell r="D470" t="str">
            <v>Line item</v>
          </cell>
          <cell r="E470">
            <v>-6.5</v>
          </cell>
        </row>
        <row r="471">
          <cell r="A471" t="str">
            <v>17-3021</v>
          </cell>
          <cell r="B471" t="str">
            <v>19-4092</v>
          </cell>
          <cell r="C471" t="str">
            <v xml:space="preserve">        Aerospace engineering and operations technologists and technicians</v>
          </cell>
          <cell r="D471" t="str">
            <v>Line item</v>
          </cell>
          <cell r="E471">
            <v>8.1</v>
          </cell>
        </row>
        <row r="472">
          <cell r="A472" t="str">
            <v>17-3022</v>
          </cell>
          <cell r="B472" t="str">
            <v>19-4099</v>
          </cell>
          <cell r="C472" t="str">
            <v xml:space="preserve">        Civil engineering technologists and technicians</v>
          </cell>
          <cell r="D472" t="str">
            <v>Line item</v>
          </cell>
          <cell r="E472">
            <v>2.1</v>
          </cell>
        </row>
        <row r="473">
          <cell r="A473" t="str">
            <v>17-3023</v>
          </cell>
          <cell r="B473" t="str">
            <v>19-5011</v>
          </cell>
          <cell r="C473" t="str">
            <v xml:space="preserve">        Electrical and electronic engineering technologists and technicians</v>
          </cell>
          <cell r="D473" t="str">
            <v>Line item</v>
          </cell>
          <cell r="E473">
            <v>0.6</v>
          </cell>
        </row>
        <row r="474">
          <cell r="A474" t="str">
            <v>17-3024</v>
          </cell>
          <cell r="B474" t="str">
            <v>19-5012</v>
          </cell>
          <cell r="C474" t="str">
            <v xml:space="preserve">        Electro-mechanical and mechatronics technologists and technicians</v>
          </cell>
          <cell r="D474" t="str">
            <v>Line item</v>
          </cell>
          <cell r="E474">
            <v>1.1000000000000001</v>
          </cell>
        </row>
        <row r="475">
          <cell r="A475" t="str">
            <v>17-3025</v>
          </cell>
          <cell r="B475" t="str">
            <v>21-1012</v>
          </cell>
          <cell r="C475" t="str">
            <v xml:space="preserve">        Environmental engineering technologists and technicians</v>
          </cell>
          <cell r="D475" t="str">
            <v>Line item</v>
          </cell>
          <cell r="E475">
            <v>1.2</v>
          </cell>
        </row>
        <row r="476">
          <cell r="A476" t="str">
            <v>17-3026</v>
          </cell>
          <cell r="B476" t="str">
            <v>21-1013</v>
          </cell>
          <cell r="C476" t="str">
            <v xml:space="preserve">        Industrial engineering technologists and technicians</v>
          </cell>
          <cell r="D476" t="str">
            <v>Line item</v>
          </cell>
          <cell r="E476">
            <v>1.7</v>
          </cell>
        </row>
        <row r="477">
          <cell r="A477" t="str">
            <v>17-3027</v>
          </cell>
          <cell r="B477" t="str">
            <v>21-1015</v>
          </cell>
          <cell r="C477" t="str">
            <v xml:space="preserve">        Mechanical engineering technologists and technicians</v>
          </cell>
          <cell r="D477" t="str">
            <v>Line item</v>
          </cell>
          <cell r="E477">
            <v>0</v>
          </cell>
        </row>
        <row r="478">
          <cell r="A478" t="str">
            <v>17-3029</v>
          </cell>
          <cell r="B478" t="str">
            <v>21-1021</v>
          </cell>
          <cell r="C478" t="str">
            <v xml:space="preserve">        Engineering technologists and technicians, except drafters, all other</v>
          </cell>
          <cell r="D478" t="str">
            <v>Line item</v>
          </cell>
          <cell r="E478">
            <v>1.5</v>
          </cell>
        </row>
        <row r="479">
          <cell r="A479" t="str">
            <v>17-3031</v>
          </cell>
          <cell r="B479" t="str">
            <v>21-1022</v>
          </cell>
          <cell r="C479" t="str">
            <v xml:space="preserve">      Surveying and mapping technicians</v>
          </cell>
          <cell r="D479" t="str">
            <v>Line item</v>
          </cell>
          <cell r="E479">
            <v>4.5</v>
          </cell>
        </row>
        <row r="480">
          <cell r="A480" t="str">
            <v>19-1011</v>
          </cell>
          <cell r="B480" t="str">
            <v>21-1093</v>
          </cell>
          <cell r="C480" t="str">
            <v xml:space="preserve">        Animal scientists</v>
          </cell>
          <cell r="D480" t="str">
            <v>Line item</v>
          </cell>
          <cell r="E480">
            <v>5.8</v>
          </cell>
        </row>
        <row r="481">
          <cell r="A481" t="str">
            <v>19-1012</v>
          </cell>
          <cell r="B481" t="str">
            <v>21-1094</v>
          </cell>
          <cell r="C481" t="str">
            <v xml:space="preserve">        Food scientists and technologists</v>
          </cell>
          <cell r="D481" t="str">
            <v>Line item</v>
          </cell>
          <cell r="E481">
            <v>6.5</v>
          </cell>
        </row>
        <row r="482">
          <cell r="A482" t="str">
            <v>19-1013</v>
          </cell>
          <cell r="B482" t="str">
            <v>21-2011</v>
          </cell>
          <cell r="C482" t="str">
            <v xml:space="preserve">        Soil and plant scientists</v>
          </cell>
          <cell r="D482" t="str">
            <v>Line item</v>
          </cell>
          <cell r="E482">
            <v>5.4</v>
          </cell>
        </row>
        <row r="483">
          <cell r="A483" t="str">
            <v>19-1020</v>
          </cell>
          <cell r="B483" t="str">
            <v>21-2021</v>
          </cell>
          <cell r="C483" t="str">
            <v xml:space="preserve">      Biological scientists</v>
          </cell>
          <cell r="D483" t="str">
            <v>Summary</v>
          </cell>
          <cell r="E483">
            <v>2.9</v>
          </cell>
        </row>
        <row r="484">
          <cell r="A484" t="str">
            <v>19-1021</v>
          </cell>
          <cell r="B484" t="str">
            <v>23-1011</v>
          </cell>
          <cell r="C484" t="str">
            <v xml:space="preserve">        Biochemists and biophysicists</v>
          </cell>
          <cell r="D484" t="str">
            <v>Line item</v>
          </cell>
          <cell r="E484">
            <v>5.8</v>
          </cell>
        </row>
        <row r="485">
          <cell r="A485" t="str">
            <v>19-1022</v>
          </cell>
          <cell r="B485" t="str">
            <v>23-1012</v>
          </cell>
          <cell r="C485" t="str">
            <v xml:space="preserve">        Microbiologists</v>
          </cell>
          <cell r="D485" t="str">
            <v>Line item</v>
          </cell>
          <cell r="E485">
            <v>4.0999999999999996</v>
          </cell>
        </row>
        <row r="486">
          <cell r="A486" t="str">
            <v>19-1023</v>
          </cell>
          <cell r="B486" t="str">
            <v>23-1021</v>
          </cell>
          <cell r="C486" t="str">
            <v xml:space="preserve">        Zoologists and wildlife biologists</v>
          </cell>
          <cell r="D486" t="str">
            <v>Line item</v>
          </cell>
          <cell r="E486">
            <v>1.6</v>
          </cell>
        </row>
        <row r="487">
          <cell r="A487" t="str">
            <v>19-1029</v>
          </cell>
          <cell r="B487" t="str">
            <v>23-1022</v>
          </cell>
          <cell r="C487" t="str">
            <v xml:space="preserve">        Biological scientists, all other</v>
          </cell>
          <cell r="D487" t="str">
            <v>Line item</v>
          </cell>
          <cell r="E487">
            <v>1.2</v>
          </cell>
        </row>
        <row r="488">
          <cell r="A488" t="str">
            <v>19-1031</v>
          </cell>
          <cell r="B488" t="str">
            <v>23-2011</v>
          </cell>
          <cell r="C488" t="str">
            <v xml:space="preserve">        Conservation scientists</v>
          </cell>
          <cell r="D488" t="str">
            <v>Line item</v>
          </cell>
          <cell r="E488">
            <v>3.4</v>
          </cell>
        </row>
        <row r="489">
          <cell r="A489" t="str">
            <v>19-1032</v>
          </cell>
          <cell r="B489" t="str">
            <v>23-2093</v>
          </cell>
          <cell r="C489" t="str">
            <v xml:space="preserve">        Foresters</v>
          </cell>
          <cell r="D489" t="str">
            <v>Line item</v>
          </cell>
          <cell r="E489">
            <v>1.2</v>
          </cell>
        </row>
        <row r="490">
          <cell r="A490" t="str">
            <v>19-1041</v>
          </cell>
          <cell r="B490" t="str">
            <v>25-1021</v>
          </cell>
          <cell r="C490" t="str">
            <v xml:space="preserve">        Epidemiologists</v>
          </cell>
          <cell r="D490" t="str">
            <v>Line item</v>
          </cell>
          <cell r="E490">
            <v>16.2</v>
          </cell>
        </row>
        <row r="491">
          <cell r="A491" t="str">
            <v>19-1042</v>
          </cell>
          <cell r="B491" t="str">
            <v>25-1022</v>
          </cell>
          <cell r="C491" t="str">
            <v xml:space="preserve">        Medical scientists, except epidemiologists</v>
          </cell>
          <cell r="D491" t="str">
            <v>Line item</v>
          </cell>
          <cell r="E491">
            <v>8.6999999999999993</v>
          </cell>
        </row>
        <row r="492">
          <cell r="A492" t="str">
            <v>19-2011</v>
          </cell>
          <cell r="B492" t="str">
            <v>25-1042</v>
          </cell>
          <cell r="C492" t="str">
            <v xml:space="preserve">        Astronomers</v>
          </cell>
          <cell r="D492" t="str">
            <v>Line item</v>
          </cell>
          <cell r="E492">
            <v>2.2000000000000002</v>
          </cell>
        </row>
        <row r="493">
          <cell r="A493" t="str">
            <v>19-2012</v>
          </cell>
          <cell r="B493" t="str">
            <v>25-1043</v>
          </cell>
          <cell r="C493" t="str">
            <v xml:space="preserve">        Physicists</v>
          </cell>
          <cell r="D493" t="str">
            <v>Line item</v>
          </cell>
          <cell r="E493">
            <v>4</v>
          </cell>
        </row>
        <row r="494">
          <cell r="A494" t="str">
            <v>19-2021</v>
          </cell>
          <cell r="B494" t="str">
            <v>25-1051</v>
          </cell>
          <cell r="C494" t="str">
            <v xml:space="preserve">      Atmospheric and space scientists</v>
          </cell>
          <cell r="D494" t="str">
            <v>Line item</v>
          </cell>
          <cell r="E494">
            <v>0.7</v>
          </cell>
        </row>
        <row r="495">
          <cell r="A495" t="str">
            <v>19-2031</v>
          </cell>
          <cell r="B495" t="str">
            <v>25-1053</v>
          </cell>
          <cell r="C495" t="str">
            <v xml:space="preserve">        Chemists</v>
          </cell>
          <cell r="D495" t="str">
            <v>Line item</v>
          </cell>
          <cell r="E495">
            <v>4.9000000000000004</v>
          </cell>
        </row>
        <row r="496">
          <cell r="A496" t="str">
            <v>19-2032</v>
          </cell>
          <cell r="B496" t="str">
            <v>25-1054</v>
          </cell>
          <cell r="C496" t="str">
            <v xml:space="preserve">        Materials scientists</v>
          </cell>
          <cell r="D496" t="str">
            <v>Line item</v>
          </cell>
          <cell r="E496">
            <v>4.9000000000000004</v>
          </cell>
        </row>
        <row r="497">
          <cell r="A497" t="str">
            <v>19-2041</v>
          </cell>
          <cell r="B497" t="str">
            <v>25-1062</v>
          </cell>
          <cell r="C497" t="str">
            <v xml:space="preserve">        Environmental scientists and specialists, including health</v>
          </cell>
          <cell r="D497" t="str">
            <v>Line item</v>
          </cell>
          <cell r="E497">
            <v>4.4000000000000004</v>
          </cell>
        </row>
        <row r="498">
          <cell r="A498" t="str">
            <v>19-2042</v>
          </cell>
          <cell r="B498" t="str">
            <v>25-1063</v>
          </cell>
          <cell r="C498" t="str">
            <v xml:space="preserve">        Geoscientists, except hydrologists and geographers</v>
          </cell>
          <cell r="D498" t="str">
            <v>Line item</v>
          </cell>
          <cell r="E498">
            <v>3.2</v>
          </cell>
        </row>
        <row r="499">
          <cell r="A499" t="str">
            <v>19-2043</v>
          </cell>
          <cell r="B499" t="str">
            <v>25-1064</v>
          </cell>
          <cell r="C499" t="str">
            <v xml:space="preserve">        Hydrologists</v>
          </cell>
          <cell r="D499" t="str">
            <v>Line item</v>
          </cell>
          <cell r="E499">
            <v>-0.1</v>
          </cell>
        </row>
        <row r="500">
          <cell r="A500" t="str">
            <v>19-2099</v>
          </cell>
          <cell r="B500" t="str">
            <v>25-1065</v>
          </cell>
          <cell r="C500" t="str">
            <v xml:space="preserve">      Physical scientists, all other</v>
          </cell>
          <cell r="D500" t="str">
            <v>Line item</v>
          </cell>
          <cell r="E500">
            <v>0.6</v>
          </cell>
        </row>
        <row r="501">
          <cell r="A501" t="str">
            <v>19-3011</v>
          </cell>
          <cell r="B501" t="str">
            <v>25-1067</v>
          </cell>
          <cell r="C501" t="str">
            <v xml:space="preserve">      Economists</v>
          </cell>
          <cell r="D501" t="str">
            <v>Line item</v>
          </cell>
          <cell r="E501">
            <v>1.2</v>
          </cell>
        </row>
        <row r="502">
          <cell r="A502" t="str">
            <v>19-3022</v>
          </cell>
          <cell r="B502" t="str">
            <v>25-1071</v>
          </cell>
          <cell r="C502" t="str">
            <v xml:space="preserve">      Survey researchers</v>
          </cell>
          <cell r="D502" t="str">
            <v>Line item</v>
          </cell>
          <cell r="E502">
            <v>-5.2</v>
          </cell>
        </row>
        <row r="503">
          <cell r="A503" t="str">
            <v>19-3032</v>
          </cell>
          <cell r="B503" t="str">
            <v>25-1081</v>
          </cell>
          <cell r="C503" t="str">
            <v xml:space="preserve">        Industrial-organizational psychologists</v>
          </cell>
          <cell r="D503" t="str">
            <v>Line item</v>
          </cell>
          <cell r="E503">
            <v>6.3</v>
          </cell>
        </row>
        <row r="504">
          <cell r="A504" t="str">
            <v>19-3033</v>
          </cell>
          <cell r="B504" t="str">
            <v>25-1082</v>
          </cell>
          <cell r="C504" t="str">
            <v xml:space="preserve">        Clinical and counseling psychologists</v>
          </cell>
          <cell r="D504" t="str">
            <v>Line item</v>
          </cell>
          <cell r="E504">
            <v>11.2</v>
          </cell>
        </row>
        <row r="505">
          <cell r="A505" t="str">
            <v>19-3039</v>
          </cell>
          <cell r="B505" t="str">
            <v>25-1112</v>
          </cell>
          <cell r="C505" t="str">
            <v xml:space="preserve">        Psychologists, all other</v>
          </cell>
          <cell r="D505" t="str">
            <v>Line item</v>
          </cell>
          <cell r="E505">
            <v>4.3</v>
          </cell>
        </row>
        <row r="506">
          <cell r="A506" t="str">
            <v>19-3041</v>
          </cell>
          <cell r="B506" t="str">
            <v>25-1113</v>
          </cell>
          <cell r="C506" t="str">
            <v xml:space="preserve">      Sociologists</v>
          </cell>
          <cell r="D506" t="str">
            <v>Line item</v>
          </cell>
          <cell r="E506">
            <v>3.6</v>
          </cell>
        </row>
        <row r="507">
          <cell r="A507" t="str">
            <v>19-3051</v>
          </cell>
          <cell r="B507" t="str">
            <v>25-1121</v>
          </cell>
          <cell r="C507" t="str">
            <v xml:space="preserve">      Urban and regional planners</v>
          </cell>
          <cell r="D507" t="str">
            <v>Line item</v>
          </cell>
          <cell r="E507">
            <v>3.4</v>
          </cell>
        </row>
        <row r="508">
          <cell r="A508" t="str">
            <v>19-3091</v>
          </cell>
          <cell r="B508" t="str">
            <v>25-1123</v>
          </cell>
          <cell r="C508" t="str">
            <v xml:space="preserve">        Anthropologists and archeologists</v>
          </cell>
          <cell r="D508" t="str">
            <v>Line item</v>
          </cell>
          <cell r="E508">
            <v>3.7</v>
          </cell>
        </row>
        <row r="509">
          <cell r="A509" t="str">
            <v>19-3092</v>
          </cell>
          <cell r="B509" t="str">
            <v>25-1124</v>
          </cell>
          <cell r="C509" t="str">
            <v xml:space="preserve">        Geographers</v>
          </cell>
          <cell r="D509" t="str">
            <v>Line item</v>
          </cell>
          <cell r="E509">
            <v>-3.1</v>
          </cell>
        </row>
        <row r="510">
          <cell r="A510" t="str">
            <v>19-3093</v>
          </cell>
          <cell r="B510" t="str">
            <v>25-1125</v>
          </cell>
          <cell r="C510" t="str">
            <v xml:space="preserve">        Historians</v>
          </cell>
          <cell r="D510" t="str">
            <v>Line item</v>
          </cell>
          <cell r="E510">
            <v>2.2000000000000002</v>
          </cell>
        </row>
        <row r="511">
          <cell r="A511" t="str">
            <v>19-3094</v>
          </cell>
          <cell r="B511" t="str">
            <v>25-1126</v>
          </cell>
          <cell r="C511" t="str">
            <v xml:space="preserve">        Political scientists</v>
          </cell>
          <cell r="D511" t="str">
            <v>Line item</v>
          </cell>
          <cell r="E511">
            <v>-3.1</v>
          </cell>
        </row>
        <row r="512">
          <cell r="A512" t="str">
            <v>19-3099</v>
          </cell>
          <cell r="B512" t="str">
            <v>25-1192</v>
          </cell>
          <cell r="C512" t="str">
            <v xml:space="preserve">        Social scientists and related workers, all other</v>
          </cell>
          <cell r="D512" t="str">
            <v>Line item</v>
          </cell>
          <cell r="E512">
            <v>-1.7</v>
          </cell>
        </row>
        <row r="513">
          <cell r="A513" t="str">
            <v>19-4010</v>
          </cell>
          <cell r="B513" t="str">
            <v>25-1194</v>
          </cell>
          <cell r="C513" t="str">
            <v xml:space="preserve">      Agricultural and food science technicians</v>
          </cell>
          <cell r="D513" t="str">
            <v>Summary</v>
          </cell>
          <cell r="E513">
            <v>4.5999999999999996</v>
          </cell>
        </row>
        <row r="514">
          <cell r="A514" t="str">
            <v>19-4021</v>
          </cell>
          <cell r="B514" t="str">
            <v>25-2021</v>
          </cell>
          <cell r="C514" t="str">
            <v xml:space="preserve">      Biological technicians</v>
          </cell>
          <cell r="D514" t="str">
            <v>Line item</v>
          </cell>
          <cell r="E514">
            <v>3.5</v>
          </cell>
        </row>
        <row r="515">
          <cell r="A515" t="str">
            <v>19-4031</v>
          </cell>
          <cell r="B515" t="str">
            <v>25-2022</v>
          </cell>
          <cell r="C515" t="str">
            <v xml:space="preserve">      Chemical technicians</v>
          </cell>
          <cell r="D515" t="str">
            <v>Line item</v>
          </cell>
          <cell r="E515">
            <v>3.7</v>
          </cell>
        </row>
        <row r="516">
          <cell r="A516" t="str">
            <v>19-4042</v>
          </cell>
          <cell r="B516" t="str">
            <v>25-2031</v>
          </cell>
          <cell r="C516" t="str">
            <v xml:space="preserve">        Environmental science and protection technicians, including health</v>
          </cell>
          <cell r="D516" t="str">
            <v>Line item</v>
          </cell>
          <cell r="E516">
            <v>4</v>
          </cell>
        </row>
        <row r="517">
          <cell r="A517" t="str">
            <v>19-4043</v>
          </cell>
          <cell r="B517" t="str">
            <v>25-2032</v>
          </cell>
          <cell r="C517" t="str">
            <v xml:space="preserve">        Geological technicians, except hydrologic technicians</v>
          </cell>
          <cell r="D517" t="str">
            <v>Line item</v>
          </cell>
          <cell r="E517">
            <v>1.5</v>
          </cell>
        </row>
        <row r="518">
          <cell r="A518" t="str">
            <v>19-4051</v>
          </cell>
          <cell r="B518" t="str">
            <v>25-2052</v>
          </cell>
          <cell r="C518" t="str">
            <v xml:space="preserve">      Nuclear technicians</v>
          </cell>
          <cell r="D518" t="str">
            <v>Line item</v>
          </cell>
          <cell r="E518">
            <v>-7.7</v>
          </cell>
        </row>
        <row r="519">
          <cell r="A519" t="str">
            <v>19-4061</v>
          </cell>
          <cell r="B519" t="str">
            <v>25-2057</v>
          </cell>
          <cell r="C519" t="str">
            <v xml:space="preserve">      Social science research assistants</v>
          </cell>
          <cell r="D519" t="str">
            <v>Line item</v>
          </cell>
          <cell r="E519">
            <v>4.4000000000000004</v>
          </cell>
        </row>
        <row r="520">
          <cell r="A520" t="str">
            <v>19-4071</v>
          </cell>
          <cell r="B520" t="str">
            <v>25-2058</v>
          </cell>
          <cell r="C520" t="str">
            <v xml:space="preserve">      Forest and conservation technicians</v>
          </cell>
          <cell r="D520" t="str">
            <v>Line item</v>
          </cell>
          <cell r="E520">
            <v>-3.2</v>
          </cell>
        </row>
        <row r="521">
          <cell r="A521" t="str">
            <v>19-4092</v>
          </cell>
          <cell r="B521" t="str">
            <v>25-3011</v>
          </cell>
          <cell r="C521" t="str">
            <v xml:space="preserve">        Forensic science technicians</v>
          </cell>
          <cell r="D521" t="str">
            <v>Line item</v>
          </cell>
          <cell r="E521">
            <v>12.8</v>
          </cell>
        </row>
        <row r="522">
          <cell r="A522" t="str">
            <v>19-4099</v>
          </cell>
          <cell r="B522" t="str">
            <v>25-3021</v>
          </cell>
          <cell r="C522" t="str">
            <v xml:space="preserve">        Life, physical, and social science technicians, all other</v>
          </cell>
          <cell r="D522" t="str">
            <v>Line item</v>
          </cell>
          <cell r="E522">
            <v>3.5</v>
          </cell>
        </row>
        <row r="523">
          <cell r="A523" t="str">
            <v>19-5011</v>
          </cell>
          <cell r="B523" t="str">
            <v>25-4011</v>
          </cell>
          <cell r="C523" t="str">
            <v xml:space="preserve">      Occupational health and safety specialists</v>
          </cell>
          <cell r="D523" t="str">
            <v>Line item</v>
          </cell>
          <cell r="E523">
            <v>12.5</v>
          </cell>
        </row>
        <row r="524">
          <cell r="A524" t="str">
            <v>19-5012</v>
          </cell>
          <cell r="B524" t="str">
            <v>25-4012</v>
          </cell>
          <cell r="C524" t="str">
            <v xml:space="preserve">      Occupational health and safety technicians</v>
          </cell>
          <cell r="D524" t="str">
            <v>Line item</v>
          </cell>
          <cell r="E524">
            <v>8.5</v>
          </cell>
        </row>
        <row r="525">
          <cell r="A525" t="str">
            <v>21-1012</v>
          </cell>
          <cell r="B525" t="str">
            <v>25-9021</v>
          </cell>
          <cell r="C525" t="str">
            <v xml:space="preserve">        Educational, guidance, and career counselors and advisors</v>
          </cell>
          <cell r="D525" t="str">
            <v>Line item</v>
          </cell>
          <cell r="E525">
            <v>3.5</v>
          </cell>
        </row>
        <row r="526">
          <cell r="A526" t="str">
            <v>21-1013</v>
          </cell>
          <cell r="B526" t="str">
            <v>25-9031</v>
          </cell>
          <cell r="C526" t="str">
            <v xml:space="preserve">        Marriage and family therapists</v>
          </cell>
          <cell r="D526" t="str">
            <v>Line item</v>
          </cell>
          <cell r="E526">
            <v>12.6</v>
          </cell>
        </row>
        <row r="527">
          <cell r="A527" t="str">
            <v>21-1015</v>
          </cell>
          <cell r="B527" t="str">
            <v>25-9040</v>
          </cell>
          <cell r="C527" t="str">
            <v xml:space="preserve">        Rehabilitation counselors</v>
          </cell>
          <cell r="D527" t="str">
            <v>Line item</v>
          </cell>
          <cell r="E527">
            <v>1.4</v>
          </cell>
        </row>
        <row r="528">
          <cell r="A528" t="str">
            <v>21-1018</v>
          </cell>
          <cell r="B528" t="str">
            <v>25-9044</v>
          </cell>
          <cell r="C528" t="str">
            <v xml:space="preserve">        Substance abuse, behavioral disorder, and mental health counselors</v>
          </cell>
          <cell r="D528" t="str">
            <v>Line item</v>
          </cell>
          <cell r="E528">
            <v>16.8</v>
          </cell>
        </row>
        <row r="529">
          <cell r="A529" t="str">
            <v>21-1021</v>
          </cell>
          <cell r="B529" t="str">
            <v>27-1013</v>
          </cell>
          <cell r="C529" t="str">
            <v xml:space="preserve">        Child, family, and school social workers</v>
          </cell>
          <cell r="D529" t="str">
            <v>Line item</v>
          </cell>
          <cell r="E529">
            <v>3.4</v>
          </cell>
        </row>
        <row r="530">
          <cell r="A530" t="str">
            <v>21-1022</v>
          </cell>
          <cell r="B530" t="str">
            <v>27-1014</v>
          </cell>
          <cell r="C530" t="str">
            <v xml:space="preserve">        Healthcare social workers</v>
          </cell>
          <cell r="D530" t="str">
            <v>Line item</v>
          </cell>
          <cell r="E530">
            <v>7.7</v>
          </cell>
        </row>
        <row r="531">
          <cell r="A531" t="str">
            <v>21-1023</v>
          </cell>
          <cell r="B531" t="str">
            <v>27-1021</v>
          </cell>
          <cell r="C531" t="str">
            <v xml:space="preserve">        Mental health and substance abuse social workers</v>
          </cell>
          <cell r="D531" t="str">
            <v>Line item</v>
          </cell>
          <cell r="E531">
            <v>9.6999999999999993</v>
          </cell>
        </row>
        <row r="532">
          <cell r="A532" t="str">
            <v>21-1091</v>
          </cell>
          <cell r="B532" t="str">
            <v>27-1024</v>
          </cell>
          <cell r="C532" t="str">
            <v xml:space="preserve">        Health education specialists</v>
          </cell>
          <cell r="D532" t="str">
            <v>Line item</v>
          </cell>
          <cell r="E532">
            <v>4.5</v>
          </cell>
        </row>
        <row r="533">
          <cell r="A533" t="str">
            <v>21-1092</v>
          </cell>
          <cell r="B533" t="str">
            <v>27-1025</v>
          </cell>
          <cell r="C533" t="str">
            <v xml:space="preserve">        Probation officers and correctional treatment specialists</v>
          </cell>
          <cell r="D533" t="str">
            <v>Line item</v>
          </cell>
          <cell r="E533">
            <v>2.6</v>
          </cell>
        </row>
        <row r="534">
          <cell r="A534" t="str">
            <v>21-1093</v>
          </cell>
          <cell r="B534" t="str">
            <v>27-1026</v>
          </cell>
          <cell r="C534" t="str">
            <v xml:space="preserve">        Social and human service assistants</v>
          </cell>
          <cell r="D534" t="str">
            <v>Line item</v>
          </cell>
          <cell r="E534">
            <v>6.4</v>
          </cell>
        </row>
        <row r="535">
          <cell r="A535" t="str">
            <v>21-1094</v>
          </cell>
          <cell r="B535" t="str">
            <v>27-1027</v>
          </cell>
          <cell r="C535" t="str">
            <v xml:space="preserve">        Community health workers</v>
          </cell>
          <cell r="D535" t="str">
            <v>Line item</v>
          </cell>
          <cell r="E535">
            <v>11.3</v>
          </cell>
        </row>
        <row r="536">
          <cell r="A536" t="str">
            <v>21-2011</v>
          </cell>
          <cell r="B536" t="str">
            <v>27-2021</v>
          </cell>
          <cell r="C536" t="str">
            <v xml:space="preserve">      Clergy</v>
          </cell>
          <cell r="D536" t="str">
            <v>Line item</v>
          </cell>
          <cell r="E536">
            <v>1</v>
          </cell>
        </row>
        <row r="537">
          <cell r="A537" t="str">
            <v>21-2021</v>
          </cell>
          <cell r="B537" t="str">
            <v>27-2022</v>
          </cell>
          <cell r="C537" t="str">
            <v xml:space="preserve">      Directors, religious activities and education</v>
          </cell>
          <cell r="D537" t="str">
            <v>Line item</v>
          </cell>
          <cell r="E537">
            <v>2.1</v>
          </cell>
        </row>
        <row r="538">
          <cell r="A538" t="str">
            <v>23-1011</v>
          </cell>
          <cell r="B538" t="str">
            <v>27-2042</v>
          </cell>
          <cell r="C538" t="str">
            <v xml:space="preserve">        Lawyers</v>
          </cell>
          <cell r="D538" t="str">
            <v>Line item</v>
          </cell>
          <cell r="E538">
            <v>4.0999999999999996</v>
          </cell>
        </row>
        <row r="539">
          <cell r="A539" t="str">
            <v>23-1012</v>
          </cell>
          <cell r="B539" t="str">
            <v>27-3011</v>
          </cell>
          <cell r="C539" t="str">
            <v xml:space="preserve">        Judicial law clerks</v>
          </cell>
          <cell r="D539" t="str">
            <v>Line item</v>
          </cell>
          <cell r="E539">
            <v>2.5</v>
          </cell>
        </row>
        <row r="540">
          <cell r="A540" t="str">
            <v>23-1021</v>
          </cell>
          <cell r="B540" t="str">
            <v>27-3023</v>
          </cell>
          <cell r="C540" t="str">
            <v xml:space="preserve">        Administrative law judges, adjudicators, and hearing officers</v>
          </cell>
          <cell r="D540" t="str">
            <v>Line item</v>
          </cell>
          <cell r="E540">
            <v>-0.7</v>
          </cell>
        </row>
        <row r="541">
          <cell r="A541" t="str">
            <v>23-1022</v>
          </cell>
          <cell r="B541" t="str">
            <v>27-3031</v>
          </cell>
          <cell r="C541" t="str">
            <v xml:space="preserve">        Arbitrators, mediators, and conciliators</v>
          </cell>
          <cell r="D541" t="str">
            <v>Line item</v>
          </cell>
          <cell r="E541">
            <v>4.3</v>
          </cell>
        </row>
        <row r="542">
          <cell r="A542" t="str">
            <v>23-1023</v>
          </cell>
          <cell r="B542" t="str">
            <v>27-3041</v>
          </cell>
          <cell r="C542" t="str">
            <v xml:space="preserve">        Judges, magistrate judges, and magistrates</v>
          </cell>
          <cell r="D542" t="str">
            <v>Line item</v>
          </cell>
          <cell r="E542">
            <v>2.5</v>
          </cell>
        </row>
        <row r="543">
          <cell r="A543" t="str">
            <v>23-2011</v>
          </cell>
          <cell r="B543" t="str">
            <v>27-3043</v>
          </cell>
          <cell r="C543" t="str">
            <v xml:space="preserve">      Paralegals and legal assistants</v>
          </cell>
          <cell r="D543" t="str">
            <v>Line item</v>
          </cell>
          <cell r="E543">
            <v>0.2</v>
          </cell>
        </row>
        <row r="544">
          <cell r="A544" t="str">
            <v>23-2093</v>
          </cell>
          <cell r="B544" t="str">
            <v>27-3092</v>
          </cell>
          <cell r="C544" t="str">
            <v xml:space="preserve">        Title examiners, abstractors, and searchers</v>
          </cell>
          <cell r="D544" t="str">
            <v>Line item</v>
          </cell>
          <cell r="E544">
            <v>2</v>
          </cell>
        </row>
        <row r="545">
          <cell r="A545" t="str">
            <v>25-1011</v>
          </cell>
          <cell r="B545" t="str">
            <v>27-4021</v>
          </cell>
          <cell r="C545" t="str">
            <v xml:space="preserve">      Business teachers, postsecondary</v>
          </cell>
          <cell r="D545" t="str">
            <v>Line item</v>
          </cell>
          <cell r="E545">
            <v>5.7</v>
          </cell>
        </row>
        <row r="546">
          <cell r="A546" t="str">
            <v>25-1021</v>
          </cell>
          <cell r="B546" t="str">
            <v>27-4032</v>
          </cell>
          <cell r="C546" t="str">
            <v xml:space="preserve">        Computer science teachers, postsecondary</v>
          </cell>
          <cell r="D546" t="str">
            <v>Line item</v>
          </cell>
          <cell r="E546">
            <v>5.3</v>
          </cell>
        </row>
        <row r="547">
          <cell r="A547" t="str">
            <v>25-1022</v>
          </cell>
          <cell r="B547" t="str">
            <v>29-1011</v>
          </cell>
          <cell r="C547" t="str">
            <v xml:space="preserve">        Mathematical science teachers, postsecondary</v>
          </cell>
          <cell r="D547" t="str">
            <v>Line item</v>
          </cell>
          <cell r="E547">
            <v>2.2999999999999998</v>
          </cell>
        </row>
        <row r="548">
          <cell r="A548" t="str">
            <v>25-1031</v>
          </cell>
          <cell r="B548" t="str">
            <v>29-1022</v>
          </cell>
          <cell r="C548" t="str">
            <v xml:space="preserve">        Architecture teachers, postsecondary</v>
          </cell>
          <cell r="D548" t="str">
            <v>Line item</v>
          </cell>
          <cell r="E548">
            <v>2</v>
          </cell>
        </row>
        <row r="549">
          <cell r="A549" t="str">
            <v>25-1032</v>
          </cell>
          <cell r="B549" t="str">
            <v>29-1023</v>
          </cell>
          <cell r="C549" t="str">
            <v xml:space="preserve">        Engineering teachers, postsecondary</v>
          </cell>
          <cell r="D549" t="str">
            <v>Line item</v>
          </cell>
          <cell r="E549">
            <v>8.1</v>
          </cell>
        </row>
        <row r="550">
          <cell r="A550" t="str">
            <v>25-1041</v>
          </cell>
          <cell r="B550" t="str">
            <v>29-1031</v>
          </cell>
          <cell r="C550" t="str">
            <v xml:space="preserve">        Agricultural sciences teachers, postsecondary</v>
          </cell>
          <cell r="D550" t="str">
            <v>Line item</v>
          </cell>
          <cell r="E550">
            <v>4.0999999999999996</v>
          </cell>
        </row>
        <row r="551">
          <cell r="A551" t="str">
            <v>25-1042</v>
          </cell>
          <cell r="B551" t="str">
            <v>29-1041</v>
          </cell>
          <cell r="C551" t="str">
            <v xml:space="preserve">        Biological science teachers, postsecondary</v>
          </cell>
          <cell r="D551" t="str">
            <v>Line item</v>
          </cell>
          <cell r="E551">
            <v>7.3</v>
          </cell>
        </row>
        <row r="552">
          <cell r="A552" t="str">
            <v>25-1043</v>
          </cell>
          <cell r="B552" t="str">
            <v>29-1051</v>
          </cell>
          <cell r="C552" t="str">
            <v xml:space="preserve">        Forestry and conservation science teachers, postsecondary</v>
          </cell>
          <cell r="D552" t="str">
            <v>Line item</v>
          </cell>
          <cell r="E552">
            <v>4</v>
          </cell>
        </row>
        <row r="553">
          <cell r="A553" t="str">
            <v>25-1051</v>
          </cell>
          <cell r="B553" t="str">
            <v>29-1081</v>
          </cell>
          <cell r="C553" t="str">
            <v xml:space="preserve">        Atmospheric, earth, marine, and space sciences teachers, postsecondary</v>
          </cell>
          <cell r="D553" t="str">
            <v>Line item</v>
          </cell>
          <cell r="E553">
            <v>2.6</v>
          </cell>
        </row>
        <row r="554">
          <cell r="A554" t="str">
            <v>25-1052</v>
          </cell>
          <cell r="B554" t="str">
            <v>29-1122</v>
          </cell>
          <cell r="C554" t="str">
            <v xml:space="preserve">        Chemistry teachers, postsecondary</v>
          </cell>
          <cell r="D554" t="str">
            <v>Line item</v>
          </cell>
          <cell r="E554">
            <v>2.2000000000000002</v>
          </cell>
        </row>
        <row r="555">
          <cell r="A555" t="str">
            <v>25-1053</v>
          </cell>
          <cell r="B555" t="str">
            <v>29-1123</v>
          </cell>
          <cell r="C555" t="str">
            <v xml:space="preserve">        Environmental science teachers, postsecondary</v>
          </cell>
          <cell r="D555" t="str">
            <v>Line item</v>
          </cell>
          <cell r="E555">
            <v>2.9</v>
          </cell>
        </row>
        <row r="556">
          <cell r="A556" t="str">
            <v>25-1054</v>
          </cell>
          <cell r="B556" t="str">
            <v>29-1124</v>
          </cell>
          <cell r="C556" t="str">
            <v xml:space="preserve">        Physics teachers, postsecondary</v>
          </cell>
          <cell r="D556" t="str">
            <v>Line item</v>
          </cell>
          <cell r="E556">
            <v>2.5</v>
          </cell>
        </row>
        <row r="557">
          <cell r="A557" t="str">
            <v>25-1061</v>
          </cell>
          <cell r="B557" t="str">
            <v>29-1126</v>
          </cell>
          <cell r="C557" t="str">
            <v xml:space="preserve">        Anthropology and archeology teachers, postsecondary</v>
          </cell>
          <cell r="D557" t="str">
            <v>Line item</v>
          </cell>
          <cell r="E557">
            <v>2.7</v>
          </cell>
        </row>
        <row r="558">
          <cell r="A558" t="str">
            <v>25-1062</v>
          </cell>
          <cell r="B558" t="str">
            <v>29-1126</v>
          </cell>
          <cell r="C558" t="str">
            <v xml:space="preserve">        Area, ethnic, and cultural studies teachers, postsecondary</v>
          </cell>
          <cell r="D558" t="str">
            <v>Line item</v>
          </cell>
          <cell r="E558">
            <v>2.4</v>
          </cell>
        </row>
        <row r="559">
          <cell r="A559" t="str">
            <v>25-1063</v>
          </cell>
          <cell r="B559" t="str">
            <v>29-1127</v>
          </cell>
          <cell r="C559" t="str">
            <v xml:space="preserve">        Economics teachers, postsecondary</v>
          </cell>
          <cell r="D559" t="str">
            <v>Line item</v>
          </cell>
          <cell r="E559">
            <v>2.1</v>
          </cell>
        </row>
        <row r="560">
          <cell r="A560" t="str">
            <v>25-1064</v>
          </cell>
          <cell r="B560" t="str">
            <v>29-1128</v>
          </cell>
          <cell r="C560" t="str">
            <v xml:space="preserve">        Geography teachers, postsecondary</v>
          </cell>
          <cell r="D560" t="str">
            <v>Line item</v>
          </cell>
          <cell r="E560">
            <v>3.3</v>
          </cell>
        </row>
        <row r="561">
          <cell r="A561" t="str">
            <v>25-1065</v>
          </cell>
          <cell r="B561" t="str">
            <v>29-1131</v>
          </cell>
          <cell r="C561" t="str">
            <v xml:space="preserve">        Political science teachers, postsecondary</v>
          </cell>
          <cell r="D561" t="str">
            <v>Line item</v>
          </cell>
          <cell r="E561">
            <v>2</v>
          </cell>
        </row>
        <row r="562">
          <cell r="A562" t="str">
            <v>25-1066</v>
          </cell>
          <cell r="B562" t="str">
            <v>29-1141</v>
          </cell>
          <cell r="C562" t="str">
            <v xml:space="preserve">        Psychology teachers, postsecondary</v>
          </cell>
          <cell r="D562" t="str">
            <v>Line item</v>
          </cell>
          <cell r="E562">
            <v>3.6</v>
          </cell>
        </row>
        <row r="563">
          <cell r="A563" t="str">
            <v>25-1067</v>
          </cell>
          <cell r="B563" t="str">
            <v>29-1151</v>
          </cell>
          <cell r="C563" t="str">
            <v xml:space="preserve">        Sociology teachers, postsecondary</v>
          </cell>
          <cell r="D563" t="str">
            <v>Line item</v>
          </cell>
          <cell r="E563">
            <v>2.1</v>
          </cell>
        </row>
        <row r="564">
          <cell r="A564" t="str">
            <v>25-1071</v>
          </cell>
          <cell r="B564" t="str">
            <v>29-1181</v>
          </cell>
          <cell r="C564" t="str">
            <v xml:space="preserve">        Health specialties teachers, postsecondary</v>
          </cell>
          <cell r="D564" t="str">
            <v>Line item</v>
          </cell>
          <cell r="E564">
            <v>17.3</v>
          </cell>
        </row>
        <row r="565">
          <cell r="A565" t="str">
            <v>25-1072</v>
          </cell>
          <cell r="B565" t="str">
            <v>29-1211</v>
          </cell>
          <cell r="C565" t="str">
            <v xml:space="preserve">        Nursing instructors and teachers, postsecondary</v>
          </cell>
          <cell r="D565" t="str">
            <v>Line item</v>
          </cell>
          <cell r="E565">
            <v>16.8</v>
          </cell>
        </row>
        <row r="566">
          <cell r="A566" t="str">
            <v>25-1081</v>
          </cell>
          <cell r="B566" t="str">
            <v>29-1218</v>
          </cell>
          <cell r="C566" t="str">
            <v xml:space="preserve">        Education teachers, postsecondary</v>
          </cell>
          <cell r="D566" t="str">
            <v>Line item</v>
          </cell>
          <cell r="E566">
            <v>2.1</v>
          </cell>
        </row>
        <row r="567">
          <cell r="A567" t="str">
            <v>25-1082</v>
          </cell>
          <cell r="B567" t="str">
            <v>29-1221</v>
          </cell>
          <cell r="C567" t="str">
            <v xml:space="preserve">        Library science teachers, postsecondary</v>
          </cell>
          <cell r="D567" t="str">
            <v>Line item</v>
          </cell>
          <cell r="E567">
            <v>3</v>
          </cell>
        </row>
        <row r="568">
          <cell r="A568" t="str">
            <v>25-1111</v>
          </cell>
          <cell r="B568" t="str">
            <v>29-1229</v>
          </cell>
          <cell r="C568" t="str">
            <v xml:space="preserve">        Criminal justice and law enforcement teachers, postsecondary</v>
          </cell>
          <cell r="D568" t="str">
            <v>Line item</v>
          </cell>
          <cell r="E568">
            <v>2</v>
          </cell>
        </row>
        <row r="569">
          <cell r="A569" t="str">
            <v>25-1112</v>
          </cell>
          <cell r="B569" t="str">
            <v>29-1240</v>
          </cell>
          <cell r="C569" t="str">
            <v xml:space="preserve">        Law teachers, postsecondary</v>
          </cell>
          <cell r="D569" t="str">
            <v>Line item</v>
          </cell>
          <cell r="E569">
            <v>2.2000000000000002</v>
          </cell>
        </row>
        <row r="570">
          <cell r="A570" t="str">
            <v>25-1113</v>
          </cell>
          <cell r="B570" t="str">
            <v>29-1292</v>
          </cell>
          <cell r="C570" t="str">
            <v xml:space="preserve">        Social work teachers, postsecondary</v>
          </cell>
          <cell r="D570" t="str">
            <v>Line item</v>
          </cell>
          <cell r="E570">
            <v>2.2999999999999998</v>
          </cell>
        </row>
        <row r="571">
          <cell r="A571" t="str">
            <v>25-1121</v>
          </cell>
          <cell r="B571" t="str">
            <v>29-2010</v>
          </cell>
          <cell r="C571" t="str">
            <v xml:space="preserve">        Art, drama, and music teachers, postsecondary</v>
          </cell>
          <cell r="D571" t="str">
            <v>Line item</v>
          </cell>
          <cell r="E571">
            <v>1.7</v>
          </cell>
        </row>
        <row r="572">
          <cell r="A572" t="str">
            <v>25-1122</v>
          </cell>
          <cell r="B572" t="str">
            <v>29-2030</v>
          </cell>
          <cell r="C572" t="str">
            <v xml:space="preserve">        Communications teachers, postsecondary</v>
          </cell>
          <cell r="D572" t="str">
            <v>Line item</v>
          </cell>
          <cell r="E572">
            <v>2.1</v>
          </cell>
        </row>
        <row r="573">
          <cell r="A573" t="str">
            <v>25-1123</v>
          </cell>
          <cell r="B573" t="str">
            <v>29-2031</v>
          </cell>
          <cell r="C573" t="str">
            <v xml:space="preserve">        English language and literature teachers, postsecondary</v>
          </cell>
          <cell r="D573" t="str">
            <v>Line item</v>
          </cell>
          <cell r="E573">
            <v>0</v>
          </cell>
        </row>
        <row r="574">
          <cell r="A574" t="str">
            <v>25-1124</v>
          </cell>
          <cell r="B574" t="str">
            <v>29-2032</v>
          </cell>
          <cell r="C574" t="str">
            <v xml:space="preserve">        Foreign language and literature teachers, postsecondary</v>
          </cell>
          <cell r="D574" t="str">
            <v>Line item</v>
          </cell>
          <cell r="E574">
            <v>-0.2</v>
          </cell>
        </row>
        <row r="575">
          <cell r="A575" t="str">
            <v>25-1125</v>
          </cell>
          <cell r="B575" t="str">
            <v>29-2033</v>
          </cell>
          <cell r="C575" t="str">
            <v xml:space="preserve">        History teachers, postsecondary</v>
          </cell>
          <cell r="D575" t="str">
            <v>Line item</v>
          </cell>
          <cell r="E575">
            <v>-0.2</v>
          </cell>
        </row>
        <row r="576">
          <cell r="A576" t="str">
            <v>25-1126</v>
          </cell>
          <cell r="B576" t="str">
            <v>29-2034</v>
          </cell>
          <cell r="C576" t="str">
            <v xml:space="preserve">        Philosophy and religion teachers, postsecondary</v>
          </cell>
          <cell r="D576" t="str">
            <v>Line item</v>
          </cell>
          <cell r="E576">
            <v>0.7</v>
          </cell>
        </row>
        <row r="577">
          <cell r="A577" t="str">
            <v>25-1192</v>
          </cell>
          <cell r="B577" t="str">
            <v>29-2040</v>
          </cell>
          <cell r="C577" t="str">
            <v xml:space="preserve">        Family and consumer sciences teachers, postsecondary</v>
          </cell>
          <cell r="D577" t="str">
            <v>Line item</v>
          </cell>
          <cell r="E577">
            <v>3.4</v>
          </cell>
        </row>
        <row r="578">
          <cell r="A578" t="str">
            <v>25-1193</v>
          </cell>
          <cell r="B578" t="str">
            <v>29-2051</v>
          </cell>
          <cell r="C578" t="str">
            <v xml:space="preserve">        Recreation and fitness studies teachers, postsecondary</v>
          </cell>
          <cell r="D578" t="str">
            <v>Line item</v>
          </cell>
          <cell r="E578">
            <v>2.4</v>
          </cell>
        </row>
        <row r="579">
          <cell r="A579" t="str">
            <v>25-1194</v>
          </cell>
          <cell r="B579" t="str">
            <v>29-2052</v>
          </cell>
          <cell r="C579" t="str">
            <v xml:space="preserve">        Career/technical education teachers, postsecondary</v>
          </cell>
          <cell r="D579" t="str">
            <v>Line item</v>
          </cell>
          <cell r="E579">
            <v>0.7</v>
          </cell>
        </row>
        <row r="580">
          <cell r="A580" t="str">
            <v>25-2011</v>
          </cell>
          <cell r="B580" t="str">
            <v>29-2057</v>
          </cell>
          <cell r="C580" t="str">
            <v xml:space="preserve">        Preschool teachers, except special education</v>
          </cell>
          <cell r="D580" t="str">
            <v>Line item</v>
          </cell>
          <cell r="E580">
            <v>4.0999999999999996</v>
          </cell>
        </row>
        <row r="581">
          <cell r="A581" t="str">
            <v>25-2012</v>
          </cell>
          <cell r="B581" t="str">
            <v>29-2061</v>
          </cell>
          <cell r="C581" t="str">
            <v xml:space="preserve">        Kindergarten teachers, except special education</v>
          </cell>
          <cell r="D581" t="str">
            <v>Line item</v>
          </cell>
          <cell r="E581">
            <v>-1.6</v>
          </cell>
        </row>
        <row r="582">
          <cell r="A582" t="str">
            <v>25-2021</v>
          </cell>
          <cell r="B582" t="str">
            <v>29-2081</v>
          </cell>
          <cell r="C582" t="str">
            <v xml:space="preserve">        Elementary school teachers, except special education</v>
          </cell>
          <cell r="D582" t="str">
            <v>Line item</v>
          </cell>
          <cell r="E582">
            <v>-2</v>
          </cell>
        </row>
        <row r="583">
          <cell r="A583" t="str">
            <v>25-2022</v>
          </cell>
          <cell r="B583" t="str">
            <v>29-2091</v>
          </cell>
          <cell r="C583" t="str">
            <v xml:space="preserve">        Middle school teachers, except special and career/technical education</v>
          </cell>
          <cell r="D583" t="str">
            <v>Line item</v>
          </cell>
          <cell r="E583">
            <v>-2</v>
          </cell>
        </row>
        <row r="584">
          <cell r="A584" t="str">
            <v>25-2023</v>
          </cell>
          <cell r="B584" t="str">
            <v>29-2092</v>
          </cell>
          <cell r="C584" t="str">
            <v xml:space="preserve">        Career/technical education teachers, middle school</v>
          </cell>
          <cell r="D584" t="str">
            <v>Line item</v>
          </cell>
          <cell r="E584">
            <v>-2</v>
          </cell>
        </row>
        <row r="585">
          <cell r="A585" t="str">
            <v>25-2031</v>
          </cell>
          <cell r="B585" t="str">
            <v>29-9091</v>
          </cell>
          <cell r="C585" t="str">
            <v xml:space="preserve">        Secondary school teachers, except special and career/technical education</v>
          </cell>
          <cell r="D585" t="str">
            <v>Line item</v>
          </cell>
          <cell r="E585">
            <v>-1.6</v>
          </cell>
        </row>
        <row r="586">
          <cell r="A586" t="str">
            <v>25-2032</v>
          </cell>
          <cell r="B586" t="str">
            <v>29-9092</v>
          </cell>
          <cell r="C586" t="str">
            <v xml:space="preserve">        Career/technical education teachers, secondary school</v>
          </cell>
          <cell r="D586" t="str">
            <v>Line item</v>
          </cell>
          <cell r="E586">
            <v>-1.8</v>
          </cell>
        </row>
        <row r="587">
          <cell r="A587" t="str">
            <v>25-2051</v>
          </cell>
          <cell r="B587" t="str">
            <v>31-1120</v>
          </cell>
          <cell r="C587" t="str">
            <v xml:space="preserve">        Special education teachers, preschool</v>
          </cell>
          <cell r="D587" t="str">
            <v>Line item</v>
          </cell>
          <cell r="E587">
            <v>1.4</v>
          </cell>
        </row>
        <row r="588">
          <cell r="A588" t="str">
            <v>25-2052</v>
          </cell>
          <cell r="B588" t="str">
            <v>31-1131</v>
          </cell>
          <cell r="C588" t="str">
            <v xml:space="preserve">        Special education teachers, kindergarten and elementary school</v>
          </cell>
          <cell r="D588" t="str">
            <v>Line item</v>
          </cell>
          <cell r="E588">
            <v>-1.8</v>
          </cell>
        </row>
        <row r="589">
          <cell r="A589" t="str">
            <v>25-2057</v>
          </cell>
          <cell r="B589" t="str">
            <v>31-1132</v>
          </cell>
          <cell r="C589" t="str">
            <v xml:space="preserve">        Special education teachers, middle school</v>
          </cell>
          <cell r="D589" t="str">
            <v>Line item</v>
          </cell>
          <cell r="E589">
            <v>-1.9</v>
          </cell>
        </row>
        <row r="590">
          <cell r="A590" t="str">
            <v>25-2058</v>
          </cell>
          <cell r="B590" t="str">
            <v>31-1133</v>
          </cell>
          <cell r="C590" t="str">
            <v xml:space="preserve">        Special education teachers, secondary school</v>
          </cell>
          <cell r="D590" t="str">
            <v>Line item</v>
          </cell>
          <cell r="E590">
            <v>-1.6</v>
          </cell>
        </row>
        <row r="591">
          <cell r="A591" t="str">
            <v>25-2059</v>
          </cell>
          <cell r="B591" t="str">
            <v>31-2011</v>
          </cell>
          <cell r="C591" t="str">
            <v xml:space="preserve">        Special education teachers, all other</v>
          </cell>
          <cell r="D591" t="str">
            <v>Line item</v>
          </cell>
          <cell r="E591">
            <v>1.1000000000000001</v>
          </cell>
        </row>
        <row r="592">
          <cell r="A592" t="str">
            <v>25-3011</v>
          </cell>
          <cell r="B592" t="str">
            <v>31-2021</v>
          </cell>
          <cell r="C592" t="str">
            <v xml:space="preserve">      Adult basic education, adult secondary education, and english as a second language instructors</v>
          </cell>
          <cell r="D592" t="str">
            <v>Line item</v>
          </cell>
          <cell r="E592">
            <v>-13.7</v>
          </cell>
        </row>
        <row r="593">
          <cell r="A593" t="str">
            <v>25-3021</v>
          </cell>
          <cell r="B593" t="str">
            <v>31-2022</v>
          </cell>
          <cell r="C593" t="str">
            <v xml:space="preserve">      Self-enrichment teachers</v>
          </cell>
          <cell r="D593" t="str">
            <v>Line item</v>
          </cell>
          <cell r="E593">
            <v>3.7</v>
          </cell>
        </row>
        <row r="594">
          <cell r="A594" t="str">
            <v>25-3099</v>
          </cell>
          <cell r="B594" t="str">
            <v>31-9092</v>
          </cell>
          <cell r="C594" t="str">
            <v xml:space="preserve">      Teachers and instructors, all other</v>
          </cell>
          <cell r="D594" t="str">
            <v>Line item</v>
          </cell>
          <cell r="E594">
            <v>-0.1</v>
          </cell>
        </row>
        <row r="595">
          <cell r="A595" t="str">
            <v>25-4011</v>
          </cell>
          <cell r="B595" t="str">
            <v>31-9095</v>
          </cell>
          <cell r="C595" t="str">
            <v xml:space="preserve">        Archivists</v>
          </cell>
          <cell r="D595" t="str">
            <v>Line item</v>
          </cell>
          <cell r="E595">
            <v>3.8</v>
          </cell>
        </row>
        <row r="596">
          <cell r="A596" t="str">
            <v>25-4012</v>
          </cell>
          <cell r="B596" t="str">
            <v>31-9096</v>
          </cell>
          <cell r="C596" t="str">
            <v xml:space="preserve">        Curators</v>
          </cell>
          <cell r="D596" t="str">
            <v>Line item</v>
          </cell>
          <cell r="E596">
            <v>7</v>
          </cell>
        </row>
        <row r="597">
          <cell r="A597" t="str">
            <v>25-4013</v>
          </cell>
          <cell r="B597" t="str">
            <v>31-9097</v>
          </cell>
          <cell r="C597" t="str">
            <v xml:space="preserve">        Museum technicians and conservators</v>
          </cell>
          <cell r="D597" t="str">
            <v>Line item</v>
          </cell>
          <cell r="E597">
            <v>5.4</v>
          </cell>
        </row>
        <row r="598">
          <cell r="A598" t="str">
            <v>25-4022</v>
          </cell>
          <cell r="B598" t="str">
            <v>31-9099</v>
          </cell>
          <cell r="C598" t="str">
            <v xml:space="preserve">      Librarians and media collections specialists</v>
          </cell>
          <cell r="D598" t="str">
            <v>Line item</v>
          </cell>
          <cell r="E598">
            <v>1.7</v>
          </cell>
        </row>
        <row r="599">
          <cell r="A599" t="str">
            <v>25-4031</v>
          </cell>
          <cell r="B599" t="str">
            <v>33-1011</v>
          </cell>
          <cell r="C599" t="str">
            <v xml:space="preserve">      Library technicians</v>
          </cell>
          <cell r="D599" t="str">
            <v>Line item</v>
          </cell>
          <cell r="E599">
            <v>-6.8</v>
          </cell>
        </row>
        <row r="600">
          <cell r="A600" t="str">
            <v>25-9021</v>
          </cell>
          <cell r="B600" t="str">
            <v>33-1021</v>
          </cell>
          <cell r="C600" t="str">
            <v xml:space="preserve">      Farm and home management educators</v>
          </cell>
          <cell r="D600" t="str">
            <v>Line item</v>
          </cell>
          <cell r="E600">
            <v>-2.5</v>
          </cell>
        </row>
        <row r="601">
          <cell r="A601" t="str">
            <v>25-9031</v>
          </cell>
          <cell r="B601" t="str">
            <v>33-2011</v>
          </cell>
          <cell r="C601" t="str">
            <v xml:space="preserve">      Instructional coordinators</v>
          </cell>
          <cell r="D601" t="str">
            <v>Line item</v>
          </cell>
          <cell r="E601">
            <v>1.3</v>
          </cell>
        </row>
        <row r="602">
          <cell r="A602" t="str">
            <v>25-9040</v>
          </cell>
          <cell r="B602" t="str">
            <v>33-2021</v>
          </cell>
          <cell r="C602" t="str">
            <v xml:space="preserve">      Teaching assistants</v>
          </cell>
          <cell r="D602" t="str">
            <v>Summary</v>
          </cell>
          <cell r="E602">
            <v>-0.9</v>
          </cell>
        </row>
        <row r="603">
          <cell r="A603" t="str">
            <v>25-9044</v>
          </cell>
          <cell r="B603" t="str">
            <v>33-2022</v>
          </cell>
          <cell r="C603" t="str">
            <v xml:space="preserve">        Teaching assistants, postsecondary</v>
          </cell>
          <cell r="D603" t="str">
            <v>Line item</v>
          </cell>
          <cell r="E603">
            <v>3.1</v>
          </cell>
        </row>
        <row r="604">
          <cell r="A604" t="str">
            <v>27-1011</v>
          </cell>
          <cell r="B604" t="str">
            <v>33-3051</v>
          </cell>
          <cell r="C604" t="str">
            <v xml:space="preserve">        Art directors</v>
          </cell>
          <cell r="D604" t="str">
            <v>Line item</v>
          </cell>
          <cell r="E604">
            <v>4.2</v>
          </cell>
        </row>
        <row r="605">
          <cell r="A605" t="str">
            <v>27-1012</v>
          </cell>
          <cell r="B605" t="str">
            <v>33-3052</v>
          </cell>
          <cell r="C605" t="str">
            <v xml:space="preserve">        Craft artists</v>
          </cell>
          <cell r="D605" t="str">
            <v>Line item</v>
          </cell>
          <cell r="E605">
            <v>2.1</v>
          </cell>
        </row>
        <row r="606">
          <cell r="A606" t="str">
            <v>27-1013</v>
          </cell>
          <cell r="B606" t="str">
            <v>33-9011</v>
          </cell>
          <cell r="C606" t="str">
            <v xml:space="preserve">        Fine artists, including painters, sculptors, and illustrators</v>
          </cell>
          <cell r="D606" t="str">
            <v>Line item</v>
          </cell>
          <cell r="E606">
            <v>-1.2</v>
          </cell>
        </row>
        <row r="607">
          <cell r="A607" t="str">
            <v>27-1014</v>
          </cell>
          <cell r="B607" t="str">
            <v>33-9021</v>
          </cell>
          <cell r="C607" t="str">
            <v xml:space="preserve">        Special effects artists and animators</v>
          </cell>
          <cell r="D607" t="str">
            <v>Line item</v>
          </cell>
          <cell r="E607">
            <v>1.6</v>
          </cell>
        </row>
        <row r="608">
          <cell r="A608" t="str">
            <v>27-1021</v>
          </cell>
          <cell r="B608" t="str">
            <v>33-9091</v>
          </cell>
          <cell r="C608" t="str">
            <v xml:space="preserve">        Commercial and industrial designers</v>
          </cell>
          <cell r="D608" t="str">
            <v>Line item</v>
          </cell>
          <cell r="E608">
            <v>3.2</v>
          </cell>
        </row>
        <row r="609">
          <cell r="A609" t="str">
            <v>27-1022</v>
          </cell>
          <cell r="B609" t="str">
            <v>33-9092</v>
          </cell>
          <cell r="C609" t="str">
            <v xml:space="preserve">        Fashion designers</v>
          </cell>
          <cell r="D609" t="str">
            <v>Line item</v>
          </cell>
          <cell r="E609">
            <v>2</v>
          </cell>
        </row>
        <row r="610">
          <cell r="A610" t="str">
            <v>27-1023</v>
          </cell>
          <cell r="B610" t="str">
            <v>33-9093</v>
          </cell>
          <cell r="C610" t="str">
            <v xml:space="preserve">        Floral designers</v>
          </cell>
          <cell r="D610" t="str">
            <v>Line item</v>
          </cell>
          <cell r="E610">
            <v>-5.9</v>
          </cell>
        </row>
        <row r="611">
          <cell r="A611" t="str">
            <v>27-1024</v>
          </cell>
          <cell r="B611" t="str">
            <v>33-9099</v>
          </cell>
          <cell r="C611" t="str">
            <v xml:space="preserve">        Graphic designers</v>
          </cell>
          <cell r="D611" t="str">
            <v>Line item</v>
          </cell>
          <cell r="E611">
            <v>2.1</v>
          </cell>
        </row>
        <row r="612">
          <cell r="A612" t="str">
            <v>27-1025</v>
          </cell>
          <cell r="B612" t="str">
            <v>35-0000</v>
          </cell>
          <cell r="C612" t="str">
            <v xml:space="preserve">        Interior designers</v>
          </cell>
          <cell r="D612" t="str">
            <v>Line item</v>
          </cell>
          <cell r="E612">
            <v>3.2</v>
          </cell>
        </row>
        <row r="613">
          <cell r="A613" t="str">
            <v>27-1026</v>
          </cell>
          <cell r="B613" t="str">
            <v>35-1011</v>
          </cell>
          <cell r="C613" t="str">
            <v xml:space="preserve">        Merchandise displayers and window trimmers</v>
          </cell>
          <cell r="D613" t="str">
            <v>Line item</v>
          </cell>
          <cell r="E613">
            <v>3.2</v>
          </cell>
        </row>
        <row r="614">
          <cell r="A614" t="str">
            <v>27-1027</v>
          </cell>
          <cell r="B614" t="str">
            <v>35-1012</v>
          </cell>
          <cell r="C614" t="str">
            <v xml:space="preserve">        Set and exhibit designers</v>
          </cell>
          <cell r="D614" t="str">
            <v>Line item</v>
          </cell>
          <cell r="E614">
            <v>2.2999999999999998</v>
          </cell>
        </row>
        <row r="615">
          <cell r="A615" t="str">
            <v>27-2011</v>
          </cell>
          <cell r="B615" t="str">
            <v>35-2014</v>
          </cell>
          <cell r="C615" t="str">
            <v xml:space="preserve">        Actors</v>
          </cell>
          <cell r="D615" t="str">
            <v>Line item</v>
          </cell>
          <cell r="E615">
            <v>0.3</v>
          </cell>
        </row>
        <row r="616">
          <cell r="A616" t="str">
            <v>27-2012</v>
          </cell>
          <cell r="B616" t="str">
            <v>35-2015</v>
          </cell>
          <cell r="C616" t="str">
            <v xml:space="preserve">        Producers and directors</v>
          </cell>
          <cell r="D616" t="str">
            <v>Line item</v>
          </cell>
          <cell r="E616">
            <v>4.9000000000000004</v>
          </cell>
        </row>
        <row r="617">
          <cell r="A617" t="str">
            <v>27-2021</v>
          </cell>
          <cell r="B617" t="str">
            <v>35-3011</v>
          </cell>
          <cell r="C617" t="str">
            <v xml:space="preserve">        Athletes and sports competitors</v>
          </cell>
          <cell r="D617" t="str">
            <v>Line item</v>
          </cell>
          <cell r="E617">
            <v>5.5</v>
          </cell>
        </row>
        <row r="618">
          <cell r="A618" t="str">
            <v>27-2022</v>
          </cell>
          <cell r="B618" t="str">
            <v>35-3031</v>
          </cell>
          <cell r="C618" t="str">
            <v xml:space="preserve">        Coaches and scouts</v>
          </cell>
          <cell r="D618" t="str">
            <v>Line item</v>
          </cell>
          <cell r="E618">
            <v>6.4</v>
          </cell>
        </row>
        <row r="619">
          <cell r="A619" t="str">
            <v>27-2023</v>
          </cell>
          <cell r="B619" t="str">
            <v>35-3041</v>
          </cell>
          <cell r="C619" t="str">
            <v xml:space="preserve">        Umpires, referees, and other sports officials</v>
          </cell>
          <cell r="D619" t="str">
            <v>Line item</v>
          </cell>
          <cell r="E619">
            <v>5.7</v>
          </cell>
        </row>
        <row r="620">
          <cell r="A620" t="str">
            <v>27-2031</v>
          </cell>
          <cell r="B620" t="str">
            <v>35-9011</v>
          </cell>
          <cell r="C620" t="str">
            <v xml:space="preserve">        Dancers</v>
          </cell>
          <cell r="D620" t="str">
            <v>Line item</v>
          </cell>
          <cell r="E620">
            <v>4.5</v>
          </cell>
        </row>
        <row r="621">
          <cell r="A621" t="str">
            <v>27-2032</v>
          </cell>
          <cell r="B621" t="str">
            <v>35-9021</v>
          </cell>
          <cell r="C621" t="str">
            <v xml:space="preserve">        Choreographers</v>
          </cell>
          <cell r="D621" t="str">
            <v>Line item</v>
          </cell>
          <cell r="E621">
            <v>6.1</v>
          </cell>
        </row>
        <row r="622">
          <cell r="A622" t="str">
            <v>27-2041</v>
          </cell>
          <cell r="B622" t="str">
            <v>37-1011</v>
          </cell>
          <cell r="C622" t="str">
            <v xml:space="preserve">        Music directors and composers</v>
          </cell>
          <cell r="D622" t="str">
            <v>Line item</v>
          </cell>
          <cell r="E622">
            <v>-0.3</v>
          </cell>
        </row>
        <row r="623">
          <cell r="A623" t="str">
            <v>27-2042</v>
          </cell>
          <cell r="B623" t="str">
            <v>37-1012</v>
          </cell>
          <cell r="C623" t="str">
            <v xml:space="preserve">        Musicians and singers</v>
          </cell>
          <cell r="D623" t="str">
            <v>Line item</v>
          </cell>
          <cell r="E623">
            <v>1.1000000000000001</v>
          </cell>
        </row>
        <row r="624">
          <cell r="A624" t="str">
            <v>27-3011</v>
          </cell>
          <cell r="B624" t="str">
            <v>37-3012</v>
          </cell>
          <cell r="C624" t="str">
            <v xml:space="preserve">      Broadcast announcers and radio disc jockeys</v>
          </cell>
          <cell r="D624" t="str">
            <v>Line item</v>
          </cell>
          <cell r="E624">
            <v>-5.5</v>
          </cell>
        </row>
        <row r="625">
          <cell r="A625" t="str">
            <v>27-3023</v>
          </cell>
          <cell r="B625" t="str">
            <v>37-3013</v>
          </cell>
          <cell r="C625" t="str">
            <v xml:space="preserve">      News analysts, reporters, and journalists</v>
          </cell>
          <cell r="D625" t="str">
            <v>Line item</v>
          </cell>
          <cell r="E625">
            <v>-3.9</v>
          </cell>
        </row>
        <row r="626">
          <cell r="A626" t="str">
            <v>27-3031</v>
          </cell>
          <cell r="B626" t="str">
            <v>39-2011</v>
          </cell>
          <cell r="C626" t="str">
            <v xml:space="preserve">      Public relations specialists</v>
          </cell>
          <cell r="D626" t="str">
            <v>Line item</v>
          </cell>
          <cell r="E626">
            <v>4.8</v>
          </cell>
        </row>
        <row r="627">
          <cell r="A627" t="str">
            <v>27-3041</v>
          </cell>
          <cell r="B627" t="str">
            <v>39-3011</v>
          </cell>
          <cell r="C627" t="str">
            <v xml:space="preserve">        Editors</v>
          </cell>
          <cell r="D627" t="str">
            <v>Line item</v>
          </cell>
          <cell r="E627">
            <v>0.6</v>
          </cell>
        </row>
        <row r="628">
          <cell r="A628" t="str">
            <v>27-3042</v>
          </cell>
          <cell r="B628" t="str">
            <v>39-3012</v>
          </cell>
          <cell r="C628" t="str">
            <v xml:space="preserve">        Technical writers</v>
          </cell>
          <cell r="D628" t="str">
            <v>Line item</v>
          </cell>
          <cell r="E628">
            <v>0.9</v>
          </cell>
        </row>
        <row r="629">
          <cell r="A629" t="str">
            <v>27-3043</v>
          </cell>
          <cell r="B629" t="str">
            <v>39-3021</v>
          </cell>
          <cell r="C629" t="str">
            <v xml:space="preserve">        Writers and authors</v>
          </cell>
          <cell r="D629" t="str">
            <v>Line item</v>
          </cell>
          <cell r="E629">
            <v>3.6</v>
          </cell>
        </row>
        <row r="630">
          <cell r="A630" t="str">
            <v>27-3091</v>
          </cell>
          <cell r="B630" t="str">
            <v>39-3091</v>
          </cell>
          <cell r="C630" t="str">
            <v xml:space="preserve">        Interpreters and translators</v>
          </cell>
          <cell r="D630" t="str">
            <v>Line item</v>
          </cell>
          <cell r="E630">
            <v>1.7</v>
          </cell>
        </row>
        <row r="631">
          <cell r="A631" t="str">
            <v>27-3092</v>
          </cell>
          <cell r="B631" t="str">
            <v>39-3092</v>
          </cell>
          <cell r="C631" t="str">
            <v xml:space="preserve">        Court reporters and simultaneous captioners</v>
          </cell>
          <cell r="D631" t="str">
            <v>Line item</v>
          </cell>
          <cell r="E631">
            <v>-0.3</v>
          </cell>
        </row>
        <row r="632">
          <cell r="A632" t="str">
            <v>27-4011</v>
          </cell>
          <cell r="B632" t="str">
            <v>39-4031</v>
          </cell>
          <cell r="C632" t="str">
            <v xml:space="preserve">        Audio and video technicians</v>
          </cell>
          <cell r="D632" t="str">
            <v>Line item</v>
          </cell>
          <cell r="E632">
            <v>3.3</v>
          </cell>
        </row>
        <row r="633">
          <cell r="A633" t="str">
            <v>27-4012</v>
          </cell>
          <cell r="B633" t="str">
            <v>39-5011</v>
          </cell>
          <cell r="C633" t="str">
            <v xml:space="preserve">        Broadcast technicians</v>
          </cell>
          <cell r="D633" t="str">
            <v>Line item</v>
          </cell>
          <cell r="E633">
            <v>-2.8</v>
          </cell>
        </row>
        <row r="634">
          <cell r="A634" t="str">
            <v>27-4014</v>
          </cell>
          <cell r="B634" t="str">
            <v>39-5012</v>
          </cell>
          <cell r="C634" t="str">
            <v xml:space="preserve">        Sound engineering technicians</v>
          </cell>
          <cell r="D634" t="str">
            <v>Line item</v>
          </cell>
          <cell r="E634">
            <v>-1.7</v>
          </cell>
        </row>
        <row r="635">
          <cell r="A635" t="str">
            <v>27-4021</v>
          </cell>
          <cell r="B635" t="str">
            <v>39-5092</v>
          </cell>
          <cell r="C635" t="str">
            <v xml:space="preserve">      Photographers</v>
          </cell>
          <cell r="D635" t="str">
            <v>Line item</v>
          </cell>
          <cell r="E635">
            <v>1.8</v>
          </cell>
        </row>
        <row r="636">
          <cell r="A636" t="str">
            <v>27-4031</v>
          </cell>
          <cell r="B636" t="str">
            <v>39-5094</v>
          </cell>
          <cell r="C636" t="str">
            <v xml:space="preserve">        Camera operators, television, video, and film</v>
          </cell>
          <cell r="D636" t="str">
            <v>Line item</v>
          </cell>
          <cell r="E636">
            <v>1.2</v>
          </cell>
        </row>
        <row r="637">
          <cell r="A637" t="str">
            <v>27-4032</v>
          </cell>
          <cell r="B637" t="str">
            <v>39-6011</v>
          </cell>
          <cell r="C637" t="str">
            <v xml:space="preserve">        Film and video editors</v>
          </cell>
          <cell r="D637" t="str">
            <v>Line item</v>
          </cell>
          <cell r="E637">
            <v>4</v>
          </cell>
        </row>
        <row r="638">
          <cell r="A638" t="str">
            <v>29-1011</v>
          </cell>
          <cell r="B638" t="str">
            <v>39-9031</v>
          </cell>
          <cell r="C638" t="str">
            <v xml:space="preserve">      Chiropractors</v>
          </cell>
          <cell r="D638" t="str">
            <v>Line item</v>
          </cell>
          <cell r="E638">
            <v>9.5</v>
          </cell>
        </row>
        <row r="639">
          <cell r="A639" t="str">
            <v>29-1021</v>
          </cell>
          <cell r="B639" t="str">
            <v>39-9041</v>
          </cell>
          <cell r="C639" t="str">
            <v xml:space="preserve">        Dentists, general</v>
          </cell>
          <cell r="D639" t="str">
            <v>Line item</v>
          </cell>
          <cell r="E639">
            <v>4.0999999999999996</v>
          </cell>
        </row>
        <row r="640">
          <cell r="A640" t="str">
            <v>29-1022</v>
          </cell>
          <cell r="B640" t="str">
            <v>39-9099</v>
          </cell>
          <cell r="C640" t="str">
            <v xml:space="preserve">        Oral and maxillofacial surgeons</v>
          </cell>
          <cell r="D640" t="str">
            <v>Line item</v>
          </cell>
          <cell r="E640">
            <v>4.0999999999999996</v>
          </cell>
        </row>
        <row r="641">
          <cell r="A641" t="str">
            <v>29-1023</v>
          </cell>
          <cell r="B641" t="str">
            <v>39-1020</v>
          </cell>
          <cell r="C641" t="str">
            <v xml:space="preserve">        Orthodontists</v>
          </cell>
          <cell r="D641" t="str">
            <v>Line item</v>
          </cell>
          <cell r="E641">
            <v>4.4000000000000004</v>
          </cell>
        </row>
        <row r="642">
          <cell r="A642" t="str">
            <v>29-1024</v>
          </cell>
          <cell r="B642" t="str">
            <v>41-1011</v>
          </cell>
          <cell r="C642" t="str">
            <v xml:space="preserve">        Prosthodontists</v>
          </cell>
          <cell r="D642" t="str">
            <v>Line item</v>
          </cell>
          <cell r="E642">
            <v>4.5</v>
          </cell>
        </row>
        <row r="643">
          <cell r="A643" t="str">
            <v>29-1031</v>
          </cell>
          <cell r="B643" t="str">
            <v>41-2011</v>
          </cell>
          <cell r="C643" t="str">
            <v xml:space="preserve">      Dietitians and nutritionists</v>
          </cell>
          <cell r="D643" t="str">
            <v>Line item</v>
          </cell>
          <cell r="E643">
            <v>5.5</v>
          </cell>
        </row>
        <row r="644">
          <cell r="A644" t="str">
            <v>29-1041</v>
          </cell>
          <cell r="B644" t="str">
            <v>41-2012</v>
          </cell>
          <cell r="C644" t="str">
            <v xml:space="preserve">      Optometrists</v>
          </cell>
          <cell r="D644" t="str">
            <v>Line item</v>
          </cell>
          <cell r="E644">
            <v>8</v>
          </cell>
        </row>
        <row r="645">
          <cell r="A645" t="str">
            <v>29-1051</v>
          </cell>
          <cell r="B645" t="str">
            <v>41-2021</v>
          </cell>
          <cell r="C645" t="str">
            <v xml:space="preserve">      Pharmacists</v>
          </cell>
          <cell r="D645" t="str">
            <v>Line item</v>
          </cell>
          <cell r="E645">
            <v>4.5999999999999996</v>
          </cell>
        </row>
        <row r="646">
          <cell r="A646" t="str">
            <v>29-1071</v>
          </cell>
          <cell r="B646" t="str">
            <v>41-2022</v>
          </cell>
          <cell r="C646" t="str">
            <v xml:space="preserve">      Physician assistants</v>
          </cell>
          <cell r="D646" t="str">
            <v>Line item</v>
          </cell>
          <cell r="E646">
            <v>20.399999999999999</v>
          </cell>
        </row>
        <row r="647">
          <cell r="A647" t="str">
            <v>29-1081</v>
          </cell>
          <cell r="B647" t="str">
            <v>41-2031</v>
          </cell>
          <cell r="C647" t="str">
            <v xml:space="preserve">      Podiatrists</v>
          </cell>
          <cell r="D647" t="str">
            <v>Line item</v>
          </cell>
          <cell r="E647">
            <v>1.8</v>
          </cell>
        </row>
        <row r="648">
          <cell r="A648" t="str">
            <v>29-1122</v>
          </cell>
          <cell r="B648" t="str">
            <v>41-3011</v>
          </cell>
          <cell r="C648" t="str">
            <v xml:space="preserve">        Occupational therapists</v>
          </cell>
          <cell r="D648" t="str">
            <v>Line item</v>
          </cell>
          <cell r="E648">
            <v>13.8</v>
          </cell>
        </row>
        <row r="649">
          <cell r="A649" t="str">
            <v>29-1123</v>
          </cell>
          <cell r="B649" t="str">
            <v>41-3021</v>
          </cell>
          <cell r="C649" t="str">
            <v xml:space="preserve">        Physical therapists</v>
          </cell>
          <cell r="D649" t="str">
            <v>Line item</v>
          </cell>
          <cell r="E649">
            <v>10.9</v>
          </cell>
        </row>
        <row r="650">
          <cell r="A650" t="str">
            <v>29-1124</v>
          </cell>
          <cell r="B650" t="str">
            <v>41-3031</v>
          </cell>
          <cell r="C650" t="str">
            <v xml:space="preserve">        Radiation therapists</v>
          </cell>
          <cell r="D650" t="str">
            <v>Line item</v>
          </cell>
          <cell r="E650">
            <v>1.9</v>
          </cell>
        </row>
        <row r="651">
          <cell r="A651" t="str">
            <v>29-1125</v>
          </cell>
          <cell r="B651" t="str">
            <v>41-3041</v>
          </cell>
          <cell r="C651" t="str">
            <v xml:space="preserve">        Recreational therapists</v>
          </cell>
          <cell r="D651" t="str">
            <v>Line item</v>
          </cell>
          <cell r="E651">
            <v>3.3</v>
          </cell>
        </row>
        <row r="652">
          <cell r="A652" t="str">
            <v>29-1126</v>
          </cell>
          <cell r="B652" t="str">
            <v>41-4011</v>
          </cell>
          <cell r="C652" t="str">
            <v xml:space="preserve">        Respiratory therapists</v>
          </cell>
          <cell r="D652" t="str">
            <v>Line item</v>
          </cell>
          <cell r="E652">
            <v>12.1</v>
          </cell>
        </row>
        <row r="653">
          <cell r="A653" t="str">
            <v>29-1127</v>
          </cell>
          <cell r="B653" t="str">
            <v>41-4012</v>
          </cell>
          <cell r="C653" t="str">
            <v xml:space="preserve">        Speech-language pathologists</v>
          </cell>
          <cell r="D653" t="str">
            <v>Line item</v>
          </cell>
          <cell r="E653">
            <v>15</v>
          </cell>
        </row>
        <row r="654">
          <cell r="A654" t="str">
            <v>29-1128</v>
          </cell>
          <cell r="B654" t="str">
            <v>41-9011</v>
          </cell>
          <cell r="C654" t="str">
            <v xml:space="preserve">        Exercise physiologists</v>
          </cell>
          <cell r="D654" t="str">
            <v>Line item</v>
          </cell>
          <cell r="E654">
            <v>9.5</v>
          </cell>
        </row>
        <row r="655">
          <cell r="A655" t="str">
            <v>29-1131</v>
          </cell>
          <cell r="B655" t="str">
            <v>41-9021</v>
          </cell>
          <cell r="C655" t="str">
            <v xml:space="preserve">      Veterinarians</v>
          </cell>
          <cell r="D655" t="str">
            <v>Line item</v>
          </cell>
          <cell r="E655">
            <v>9.6</v>
          </cell>
        </row>
        <row r="656">
          <cell r="A656" t="str">
            <v>29-1141</v>
          </cell>
          <cell r="B656" t="str">
            <v>41-9022</v>
          </cell>
          <cell r="C656" t="str">
            <v xml:space="preserve">      Registered nurses</v>
          </cell>
          <cell r="D656" t="str">
            <v>Line item</v>
          </cell>
          <cell r="E656">
            <v>4.9000000000000004</v>
          </cell>
        </row>
        <row r="657">
          <cell r="A657" t="str">
            <v>29-1151</v>
          </cell>
          <cell r="B657" t="str">
            <v>41-9031</v>
          </cell>
          <cell r="C657" t="str">
            <v xml:space="preserve">      Nurse anesthetists</v>
          </cell>
          <cell r="D657" t="str">
            <v>Line item</v>
          </cell>
          <cell r="E657">
            <v>8.6</v>
          </cell>
        </row>
        <row r="658">
          <cell r="A658" t="str">
            <v>29-1161</v>
          </cell>
          <cell r="B658" t="str">
            <v>41-9041</v>
          </cell>
          <cell r="C658" t="str">
            <v xml:space="preserve">      Nurse midwives</v>
          </cell>
          <cell r="D658" t="str">
            <v>Line item</v>
          </cell>
          <cell r="E658">
            <v>11.1</v>
          </cell>
        </row>
        <row r="659">
          <cell r="A659" t="str">
            <v>29-1171</v>
          </cell>
          <cell r="B659" t="str">
            <v>41-9091</v>
          </cell>
          <cell r="C659" t="str">
            <v xml:space="preserve">      Nurse practitioners</v>
          </cell>
          <cell r="D659" t="str">
            <v>Line item</v>
          </cell>
          <cell r="E659">
            <v>40.1</v>
          </cell>
        </row>
        <row r="660">
          <cell r="A660" t="str">
            <v>29-1181</v>
          </cell>
          <cell r="B660" t="str">
            <v>43-1011</v>
          </cell>
          <cell r="C660" t="str">
            <v xml:space="preserve">      Audiologists</v>
          </cell>
          <cell r="D660" t="str">
            <v>Line item</v>
          </cell>
          <cell r="E660">
            <v>9.5</v>
          </cell>
        </row>
        <row r="661">
          <cell r="A661" t="str">
            <v>29-1211</v>
          </cell>
          <cell r="B661" t="str">
            <v>43-2021</v>
          </cell>
          <cell r="C661" t="str">
            <v xml:space="preserve">        Anesthesiologists</v>
          </cell>
          <cell r="D661" t="str">
            <v>Line item</v>
          </cell>
          <cell r="E661">
            <v>3.2</v>
          </cell>
        </row>
        <row r="662">
          <cell r="A662" t="str">
            <v>29-1216</v>
          </cell>
          <cell r="B662" t="str">
            <v>43-3051</v>
          </cell>
          <cell r="C662" t="str">
            <v xml:space="preserve">        General internal medicine physicians</v>
          </cell>
          <cell r="D662" t="str">
            <v>Line item</v>
          </cell>
          <cell r="E662">
            <v>3.3</v>
          </cell>
        </row>
        <row r="663">
          <cell r="A663" t="str">
            <v>29-1218</v>
          </cell>
          <cell r="B663" t="str">
            <v>43-3071</v>
          </cell>
          <cell r="C663" t="str">
            <v xml:space="preserve">        Obstetricians and gynecologists</v>
          </cell>
          <cell r="D663" t="str">
            <v>Line item</v>
          </cell>
          <cell r="E663">
            <v>1.2</v>
          </cell>
        </row>
        <row r="664">
          <cell r="A664" t="str">
            <v>29-1221</v>
          </cell>
          <cell r="B664" t="str">
            <v>43-4011</v>
          </cell>
          <cell r="C664" t="str">
            <v xml:space="preserve">        Pediatricians, general</v>
          </cell>
          <cell r="D664" t="str">
            <v>Line item</v>
          </cell>
          <cell r="E664">
            <v>0.8</v>
          </cell>
        </row>
        <row r="665">
          <cell r="A665" t="str">
            <v>29-1223</v>
          </cell>
          <cell r="B665" t="str">
            <v>43-4031</v>
          </cell>
          <cell r="C665" t="str">
            <v xml:space="preserve">        Psychiatrists</v>
          </cell>
          <cell r="D665" t="str">
            <v>Line item</v>
          </cell>
          <cell r="E665">
            <v>6.1</v>
          </cell>
        </row>
        <row r="666">
          <cell r="A666" t="str">
            <v>29-1229</v>
          </cell>
          <cell r="B666" t="str">
            <v>43-4051</v>
          </cell>
          <cell r="C666" t="str">
            <v xml:space="preserve">        Physicians, all other</v>
          </cell>
          <cell r="D666" t="str">
            <v>Line item</v>
          </cell>
          <cell r="E666">
            <v>2.5</v>
          </cell>
        </row>
        <row r="667">
          <cell r="A667" t="str">
            <v>29-1240</v>
          </cell>
          <cell r="B667" t="str">
            <v>43-4061</v>
          </cell>
          <cell r="C667" t="str">
            <v xml:space="preserve">      Surgeons</v>
          </cell>
          <cell r="D667" t="str">
            <v>Summary</v>
          </cell>
          <cell r="E667">
            <v>4</v>
          </cell>
        </row>
        <row r="668">
          <cell r="A668" t="str">
            <v>29-1292</v>
          </cell>
          <cell r="B668" t="str">
            <v>43-4151</v>
          </cell>
          <cell r="C668" t="str">
            <v xml:space="preserve">        Dental hygienists</v>
          </cell>
          <cell r="D668" t="str">
            <v>Line item</v>
          </cell>
          <cell r="E668">
            <v>7</v>
          </cell>
        </row>
        <row r="669">
          <cell r="A669" t="str">
            <v>29-1299</v>
          </cell>
          <cell r="B669" t="str">
            <v>43-4161</v>
          </cell>
          <cell r="C669" t="str">
            <v xml:space="preserve">        Healthcare diagnosing or treating practitioners, all other</v>
          </cell>
          <cell r="D669" t="str">
            <v>Line item</v>
          </cell>
          <cell r="E669">
            <v>2</v>
          </cell>
        </row>
        <row r="670">
          <cell r="A670" t="str">
            <v>29-2010</v>
          </cell>
          <cell r="B670" t="str">
            <v>43-4181</v>
          </cell>
          <cell r="C670" t="str">
            <v xml:space="preserve">      Clinical laboratory technologists and technicians</v>
          </cell>
          <cell r="D670" t="str">
            <v>Line item</v>
          </cell>
          <cell r="E670">
            <v>1.7</v>
          </cell>
        </row>
        <row r="671">
          <cell r="A671" t="str">
            <v>29-2030</v>
          </cell>
          <cell r="B671" t="str">
            <v>43-5011</v>
          </cell>
          <cell r="C671" t="str">
            <v xml:space="preserve">      Diagnostic related technologists and technicians</v>
          </cell>
          <cell r="D671" t="str">
            <v>Summary</v>
          </cell>
          <cell r="E671">
            <v>6.1</v>
          </cell>
        </row>
        <row r="672">
          <cell r="A672" t="str">
            <v>29-2031</v>
          </cell>
          <cell r="B672" t="str">
            <v>43-5021</v>
          </cell>
          <cell r="C672" t="str">
            <v xml:space="preserve">        Cardiovascular technologists and technicians</v>
          </cell>
          <cell r="D672" t="str">
            <v>Line item</v>
          </cell>
          <cell r="E672">
            <v>3</v>
          </cell>
        </row>
        <row r="673">
          <cell r="A673" t="str">
            <v>29-2032</v>
          </cell>
          <cell r="B673" t="str">
            <v>43-5031</v>
          </cell>
          <cell r="C673" t="str">
            <v xml:space="preserve">        Diagnostic medical sonographers</v>
          </cell>
          <cell r="D673" t="str">
            <v>Line item</v>
          </cell>
          <cell r="E673">
            <v>13</v>
          </cell>
        </row>
        <row r="674">
          <cell r="A674" t="str">
            <v>29-2033</v>
          </cell>
          <cell r="B674" t="str">
            <v>43-5032</v>
          </cell>
          <cell r="C674" t="str">
            <v xml:space="preserve">        Nuclear medicine technologists</v>
          </cell>
          <cell r="D674" t="str">
            <v>Line item</v>
          </cell>
          <cell r="E674">
            <v>3</v>
          </cell>
        </row>
        <row r="675">
          <cell r="A675" t="str">
            <v>29-2034</v>
          </cell>
          <cell r="B675" t="str">
            <v>43-5041</v>
          </cell>
          <cell r="C675" t="str">
            <v xml:space="preserve">        Radiologic technologists and technicians</v>
          </cell>
          <cell r="D675" t="str">
            <v>Line item</v>
          </cell>
          <cell r="E675">
            <v>4.3</v>
          </cell>
        </row>
        <row r="676">
          <cell r="A676" t="str">
            <v>29-2035</v>
          </cell>
          <cell r="B676" t="str">
            <v>43-5051</v>
          </cell>
          <cell r="C676" t="str">
            <v xml:space="preserve">        Magnetic resonance imaging technologists</v>
          </cell>
          <cell r="D676" t="str">
            <v>Line item</v>
          </cell>
          <cell r="E676">
            <v>7.1</v>
          </cell>
        </row>
        <row r="677">
          <cell r="A677" t="str">
            <v>29-2040</v>
          </cell>
          <cell r="B677" t="str">
            <v>43-5053</v>
          </cell>
          <cell r="C677" t="str">
            <v xml:space="preserve">      Emergency medical technicians and paramedics</v>
          </cell>
          <cell r="D677" t="str">
            <v>Summary</v>
          </cell>
          <cell r="E677">
            <v>5</v>
          </cell>
        </row>
        <row r="678">
          <cell r="A678" t="str">
            <v>29-2051</v>
          </cell>
          <cell r="B678" t="str">
            <v>43-6011</v>
          </cell>
          <cell r="C678" t="str">
            <v xml:space="preserve">        Dietetic technicians</v>
          </cell>
          <cell r="D678" t="str">
            <v>Line item</v>
          </cell>
          <cell r="E678">
            <v>2.5</v>
          </cell>
        </row>
        <row r="679">
          <cell r="A679" t="str">
            <v>29-2052</v>
          </cell>
          <cell r="B679" t="str">
            <v>43-6012</v>
          </cell>
          <cell r="C679" t="str">
            <v xml:space="preserve">        Pharmacy technicians</v>
          </cell>
          <cell r="D679" t="str">
            <v>Line item</v>
          </cell>
          <cell r="E679">
            <v>6.4</v>
          </cell>
        </row>
        <row r="680">
          <cell r="A680" t="str">
            <v>29-2053</v>
          </cell>
          <cell r="B680" t="str">
            <v>43-6013</v>
          </cell>
          <cell r="C680" t="str">
            <v xml:space="preserve">        Psychiatric technicians</v>
          </cell>
          <cell r="D680" t="str">
            <v>Line item</v>
          </cell>
          <cell r="E680">
            <v>20</v>
          </cell>
        </row>
        <row r="681">
          <cell r="A681" t="str">
            <v>29-2055</v>
          </cell>
          <cell r="B681" t="str">
            <v>43-6014</v>
          </cell>
          <cell r="C681" t="str">
            <v xml:space="preserve">        Surgical technologists</v>
          </cell>
          <cell r="D681" t="str">
            <v>Line item</v>
          </cell>
          <cell r="E681">
            <v>4.5</v>
          </cell>
        </row>
        <row r="682">
          <cell r="A682" t="str">
            <v>29-2056</v>
          </cell>
          <cell r="B682" t="str">
            <v>43-9021</v>
          </cell>
          <cell r="C682" t="str">
            <v xml:space="preserve">        Veterinary technologists and technicians</v>
          </cell>
          <cell r="D682" t="str">
            <v>Line item</v>
          </cell>
          <cell r="E682">
            <v>9.1</v>
          </cell>
        </row>
        <row r="683">
          <cell r="A683" t="str">
            <v>29-2057</v>
          </cell>
          <cell r="B683" t="str">
            <v>43-9022</v>
          </cell>
          <cell r="C683" t="str">
            <v xml:space="preserve">        Ophthalmic medical technicians</v>
          </cell>
          <cell r="D683" t="str">
            <v>Line item</v>
          </cell>
          <cell r="E683">
            <v>19.8</v>
          </cell>
        </row>
        <row r="684">
          <cell r="A684" t="str">
            <v>29-2061</v>
          </cell>
          <cell r="B684" t="str">
            <v>43-9031</v>
          </cell>
          <cell r="C684" t="str">
            <v xml:space="preserve">      Licensed practical and licensed vocational nurses</v>
          </cell>
          <cell r="D684" t="str">
            <v>Line item</v>
          </cell>
          <cell r="E684">
            <v>2.6</v>
          </cell>
        </row>
        <row r="685">
          <cell r="A685" t="str">
            <v>29-2072</v>
          </cell>
          <cell r="B685" t="str">
            <v>43-9041</v>
          </cell>
          <cell r="C685" t="str">
            <v xml:space="preserve">      Medical records specialists</v>
          </cell>
          <cell r="D685" t="str">
            <v>Line item</v>
          </cell>
          <cell r="E685">
            <v>7.1</v>
          </cell>
        </row>
        <row r="686">
          <cell r="A686" t="str">
            <v>29-2081</v>
          </cell>
          <cell r="B686" t="str">
            <v>43-9051</v>
          </cell>
          <cell r="C686" t="str">
            <v xml:space="preserve">      Opticians, dispensing</v>
          </cell>
          <cell r="D686" t="str">
            <v>Line item</v>
          </cell>
          <cell r="E686">
            <v>2.9</v>
          </cell>
        </row>
        <row r="687">
          <cell r="A687" t="str">
            <v>29-2091</v>
          </cell>
          <cell r="B687" t="str">
            <v>43-9071</v>
          </cell>
          <cell r="C687" t="str">
            <v xml:space="preserve">        Orthotists and prosthetists</v>
          </cell>
          <cell r="D687" t="str">
            <v>Line item</v>
          </cell>
          <cell r="E687">
            <v>13.3</v>
          </cell>
        </row>
        <row r="688">
          <cell r="A688" t="str">
            <v>29-2092</v>
          </cell>
          <cell r="B688" t="str">
            <v>43-9081</v>
          </cell>
          <cell r="C688" t="str">
            <v xml:space="preserve">        Hearing aid specialists</v>
          </cell>
          <cell r="D688" t="str">
            <v>Line item</v>
          </cell>
          <cell r="E688">
            <v>18.399999999999999</v>
          </cell>
        </row>
        <row r="689">
          <cell r="A689" t="str">
            <v>29-2099</v>
          </cell>
          <cell r="B689" t="str">
            <v>43-9111</v>
          </cell>
          <cell r="C689" t="str">
            <v xml:space="preserve">        Health technologists and technicians, all other</v>
          </cell>
          <cell r="D689" t="str">
            <v>Line item</v>
          </cell>
          <cell r="E689">
            <v>5.2</v>
          </cell>
        </row>
        <row r="690">
          <cell r="A690" t="str">
            <v>29-9091</v>
          </cell>
          <cell r="B690" t="str">
            <v>45-2021</v>
          </cell>
          <cell r="C690" t="str">
            <v xml:space="preserve">        Athletic trainers</v>
          </cell>
          <cell r="D690" t="str">
            <v>Line item</v>
          </cell>
          <cell r="E690">
            <v>11.1</v>
          </cell>
        </row>
        <row r="691">
          <cell r="A691" t="str">
            <v>29-9092</v>
          </cell>
          <cell r="B691" t="str">
            <v>45-2041</v>
          </cell>
          <cell r="C691" t="str">
            <v xml:space="preserve">        Genetic counselors</v>
          </cell>
          <cell r="D691" t="str">
            <v>Line item</v>
          </cell>
          <cell r="E691">
            <v>9.3000000000000007</v>
          </cell>
        </row>
        <row r="692">
          <cell r="A692" t="str">
            <v>29-9099</v>
          </cell>
          <cell r="B692" t="str">
            <v>45-2092</v>
          </cell>
          <cell r="C692" t="str">
            <v xml:space="preserve">        Healthcare practitioners and technical workers, all other</v>
          </cell>
          <cell r="D692" t="str">
            <v>Line item</v>
          </cell>
          <cell r="E692">
            <v>3.6</v>
          </cell>
        </row>
        <row r="693">
          <cell r="A693" t="str">
            <v>31-1120</v>
          </cell>
          <cell r="B693" t="str">
            <v>45-4021</v>
          </cell>
          <cell r="C693" t="str">
            <v xml:space="preserve">      Home health and personal care aides</v>
          </cell>
          <cell r="D693" t="str">
            <v>Line item</v>
          </cell>
          <cell r="E693">
            <v>17</v>
          </cell>
        </row>
        <row r="694">
          <cell r="A694" t="str">
            <v>31-1131</v>
          </cell>
          <cell r="B694" t="str">
            <v>45-4023</v>
          </cell>
          <cell r="C694" t="str">
            <v xml:space="preserve">        Nursing assistants</v>
          </cell>
          <cell r="D694" t="str">
            <v>Line item</v>
          </cell>
          <cell r="E694">
            <v>2.2999999999999998</v>
          </cell>
        </row>
        <row r="695">
          <cell r="A695" t="str">
            <v>31-1132</v>
          </cell>
          <cell r="B695" t="str">
            <v>47-1011</v>
          </cell>
          <cell r="C695" t="str">
            <v xml:space="preserve">        Orderlies</v>
          </cell>
          <cell r="D695" t="str">
            <v>Line item</v>
          </cell>
          <cell r="E695">
            <v>3.3</v>
          </cell>
        </row>
        <row r="696">
          <cell r="A696" t="str">
            <v>31-1133</v>
          </cell>
          <cell r="B696" t="str">
            <v>47-2011</v>
          </cell>
          <cell r="C696" t="str">
            <v xml:space="preserve">        Psychiatric aides</v>
          </cell>
          <cell r="D696" t="str">
            <v>Line item</v>
          </cell>
          <cell r="E696">
            <v>-0.4</v>
          </cell>
        </row>
        <row r="697">
          <cell r="A697" t="str">
            <v>31-2011</v>
          </cell>
          <cell r="B697" t="str">
            <v>47-2031</v>
          </cell>
          <cell r="C697" t="str">
            <v xml:space="preserve">        Occupational therapy assistants</v>
          </cell>
          <cell r="D697" t="str">
            <v>Line item</v>
          </cell>
          <cell r="E697">
            <v>19.2</v>
          </cell>
        </row>
        <row r="698">
          <cell r="A698" t="str">
            <v>31-2012</v>
          </cell>
          <cell r="B698" t="str">
            <v>47-2041</v>
          </cell>
          <cell r="C698" t="str">
            <v xml:space="preserve">        Occupational therapy aides</v>
          </cell>
          <cell r="D698" t="str">
            <v>Line item</v>
          </cell>
          <cell r="E698">
            <v>2.5</v>
          </cell>
        </row>
        <row r="699">
          <cell r="A699" t="str">
            <v>31-2021</v>
          </cell>
          <cell r="B699" t="str">
            <v>47-2043</v>
          </cell>
          <cell r="C699" t="str">
            <v xml:space="preserve">        Physical therapist assistants</v>
          </cell>
          <cell r="D699" t="str">
            <v>Line item</v>
          </cell>
          <cell r="E699">
            <v>22</v>
          </cell>
        </row>
        <row r="700">
          <cell r="A700" t="str">
            <v>31-2022</v>
          </cell>
          <cell r="B700" t="str">
            <v>47-2044</v>
          </cell>
          <cell r="C700" t="str">
            <v xml:space="preserve">        Physical therapist aides</v>
          </cell>
          <cell r="D700" t="str">
            <v>Line item</v>
          </cell>
          <cell r="E700">
            <v>2.8</v>
          </cell>
        </row>
        <row r="701">
          <cell r="A701" t="str">
            <v>31-9011</v>
          </cell>
          <cell r="B701" t="str">
            <v>47-2053</v>
          </cell>
          <cell r="C701" t="str">
            <v xml:space="preserve">      Massage therapists</v>
          </cell>
          <cell r="D701" t="str">
            <v>Line item</v>
          </cell>
          <cell r="E701">
            <v>15.4</v>
          </cell>
        </row>
        <row r="702">
          <cell r="A702" t="str">
            <v>31-9091</v>
          </cell>
          <cell r="B702" t="str">
            <v>47-2071</v>
          </cell>
          <cell r="C702" t="str">
            <v xml:space="preserve">        Dental assistants</v>
          </cell>
          <cell r="D702" t="str">
            <v>Line item</v>
          </cell>
          <cell r="E702">
            <v>6.4</v>
          </cell>
        </row>
        <row r="703">
          <cell r="A703" t="str">
            <v>31-9092</v>
          </cell>
          <cell r="B703" t="str">
            <v>47-2071</v>
          </cell>
          <cell r="C703" t="str">
            <v xml:space="preserve">        Medical assistants</v>
          </cell>
          <cell r="D703" t="str">
            <v>Line item</v>
          </cell>
          <cell r="E703">
            <v>12.5</v>
          </cell>
        </row>
        <row r="704">
          <cell r="A704" t="str">
            <v>31-9093</v>
          </cell>
          <cell r="B704" t="str">
            <v>47-2072</v>
          </cell>
          <cell r="C704" t="str">
            <v xml:space="preserve">        Medical equipment preparers</v>
          </cell>
          <cell r="D704" t="str">
            <v>Line item</v>
          </cell>
          <cell r="E704">
            <v>10</v>
          </cell>
        </row>
        <row r="705">
          <cell r="A705" t="str">
            <v>31-9094</v>
          </cell>
          <cell r="B705" t="str">
            <v>47-2073</v>
          </cell>
          <cell r="C705" t="str">
            <v xml:space="preserve">        Medical transcriptionists</v>
          </cell>
          <cell r="D705" t="str">
            <v>Line item</v>
          </cell>
          <cell r="E705">
            <v>-4.9000000000000004</v>
          </cell>
        </row>
        <row r="706">
          <cell r="A706" t="str">
            <v>31-9095</v>
          </cell>
          <cell r="B706" t="str">
            <v>47-2081</v>
          </cell>
          <cell r="C706" t="str">
            <v xml:space="preserve">        Pharmacy aides</v>
          </cell>
          <cell r="D706" t="str">
            <v>Line item</v>
          </cell>
          <cell r="E706">
            <v>-0.1</v>
          </cell>
        </row>
        <row r="707">
          <cell r="A707" t="str">
            <v>31-9096</v>
          </cell>
          <cell r="B707" t="str">
            <v>47-2082</v>
          </cell>
          <cell r="C707" t="str">
            <v xml:space="preserve">        Veterinary assistants and laboratory animal caretakers</v>
          </cell>
          <cell r="D707" t="str">
            <v>Line item</v>
          </cell>
          <cell r="E707">
            <v>8.6999999999999993</v>
          </cell>
        </row>
        <row r="708">
          <cell r="A708" t="str">
            <v>31-9097</v>
          </cell>
          <cell r="B708" t="str">
            <v>47-2111</v>
          </cell>
          <cell r="C708" t="str">
            <v xml:space="preserve">        Phlebotomists</v>
          </cell>
          <cell r="D708" t="str">
            <v>Line item</v>
          </cell>
          <cell r="E708">
            <v>5.6</v>
          </cell>
        </row>
        <row r="709">
          <cell r="A709" t="str">
            <v>31-9099</v>
          </cell>
          <cell r="B709" t="str">
            <v>47-2121</v>
          </cell>
          <cell r="C709" t="str">
            <v xml:space="preserve">        Healthcare support workers, all other</v>
          </cell>
          <cell r="D709" t="str">
            <v>Line item</v>
          </cell>
          <cell r="E709">
            <v>3.5</v>
          </cell>
        </row>
        <row r="710">
          <cell r="A710" t="str">
            <v>33-1011</v>
          </cell>
          <cell r="B710" t="str">
            <v>47-2142</v>
          </cell>
          <cell r="C710" t="str">
            <v xml:space="preserve">        First-line supervisors of correctional officers</v>
          </cell>
          <cell r="D710" t="str">
            <v>Line item</v>
          </cell>
          <cell r="E710">
            <v>-2.8</v>
          </cell>
        </row>
        <row r="711">
          <cell r="A711" t="str">
            <v>33-1012</v>
          </cell>
          <cell r="B711" t="str">
            <v>47-2151</v>
          </cell>
          <cell r="C711" t="str">
            <v xml:space="preserve">        First-line supervisors of police and detectives</v>
          </cell>
          <cell r="D711" t="str">
            <v>Line item</v>
          </cell>
          <cell r="E711">
            <v>2.9</v>
          </cell>
        </row>
        <row r="712">
          <cell r="A712" t="str">
            <v>33-1021</v>
          </cell>
          <cell r="B712" t="str">
            <v>47-2152</v>
          </cell>
          <cell r="C712" t="str">
            <v xml:space="preserve">      First-line supervisors of firefighting and prevention workers</v>
          </cell>
          <cell r="D712" t="str">
            <v>Line item</v>
          </cell>
          <cell r="E712">
            <v>3.4</v>
          </cell>
        </row>
        <row r="713">
          <cell r="A713" t="str">
            <v>33-2011</v>
          </cell>
          <cell r="B713" t="str">
            <v>47-2221</v>
          </cell>
          <cell r="C713" t="str">
            <v xml:space="preserve">      Firefighters</v>
          </cell>
          <cell r="D713" t="str">
            <v>Line item</v>
          </cell>
          <cell r="E713">
            <v>3.4</v>
          </cell>
        </row>
        <row r="714">
          <cell r="A714" t="str">
            <v>33-2021</v>
          </cell>
          <cell r="B714" t="str">
            <v>47-3011</v>
          </cell>
          <cell r="C714" t="str">
            <v xml:space="preserve">        Fire inspectors and investigators</v>
          </cell>
          <cell r="D714" t="str">
            <v>Line item</v>
          </cell>
          <cell r="E714">
            <v>3.8</v>
          </cell>
        </row>
        <row r="715">
          <cell r="A715" t="str">
            <v>33-2022</v>
          </cell>
          <cell r="B715" t="str">
            <v>47-3012</v>
          </cell>
          <cell r="C715" t="str">
            <v xml:space="preserve">        Forest fire inspectors and prevention specialists</v>
          </cell>
          <cell r="D715" t="str">
            <v>Line item</v>
          </cell>
          <cell r="E715">
            <v>14.6</v>
          </cell>
        </row>
        <row r="716">
          <cell r="A716" t="str">
            <v>33-3011</v>
          </cell>
          <cell r="B716" t="str">
            <v>47-3015</v>
          </cell>
          <cell r="C716" t="str">
            <v xml:space="preserve">        Bailiffs</v>
          </cell>
          <cell r="D716" t="str">
            <v>Line item</v>
          </cell>
          <cell r="E716">
            <v>-2.2000000000000002</v>
          </cell>
        </row>
        <row r="717">
          <cell r="A717" t="str">
            <v>33-3012</v>
          </cell>
          <cell r="B717" t="str">
            <v>47-3016</v>
          </cell>
          <cell r="C717" t="str">
            <v xml:space="preserve">        Correctional officers and jailers</v>
          </cell>
          <cell r="D717" t="str">
            <v>Line item</v>
          </cell>
          <cell r="E717">
            <v>-7.8</v>
          </cell>
        </row>
        <row r="718">
          <cell r="A718" t="str">
            <v>33-3021</v>
          </cell>
          <cell r="B718" t="str">
            <v>47-4000</v>
          </cell>
          <cell r="C718" t="str">
            <v xml:space="preserve">      Detectives and criminal investigators</v>
          </cell>
          <cell r="D718" t="str">
            <v>Line item</v>
          </cell>
          <cell r="E718">
            <v>-0.7</v>
          </cell>
        </row>
        <row r="719">
          <cell r="A719" t="str">
            <v>33-3031</v>
          </cell>
          <cell r="B719" t="str">
            <v>47-4011</v>
          </cell>
          <cell r="C719" t="str">
            <v xml:space="preserve">      Fish and game wardens</v>
          </cell>
          <cell r="D719" t="str">
            <v>Line item</v>
          </cell>
          <cell r="E719">
            <v>-6</v>
          </cell>
        </row>
        <row r="720">
          <cell r="A720" t="str">
            <v>33-3041</v>
          </cell>
          <cell r="B720" t="str">
            <v>47-4021</v>
          </cell>
          <cell r="C720" t="str">
            <v xml:space="preserve">      Parking enforcement workers</v>
          </cell>
          <cell r="D720" t="str">
            <v>Line item</v>
          </cell>
          <cell r="E720">
            <v>-1.5</v>
          </cell>
        </row>
        <row r="721">
          <cell r="A721" t="str">
            <v>33-3051</v>
          </cell>
          <cell r="B721" t="str">
            <v>47-4041</v>
          </cell>
          <cell r="C721" t="str">
            <v xml:space="preserve">        Police and sheriff's patrol officers</v>
          </cell>
          <cell r="D721" t="str">
            <v>Line item</v>
          </cell>
          <cell r="E721">
            <v>3.1</v>
          </cell>
        </row>
        <row r="722">
          <cell r="A722" t="str">
            <v>33-3052</v>
          </cell>
          <cell r="B722" t="str">
            <v>47-4051</v>
          </cell>
          <cell r="C722" t="str">
            <v xml:space="preserve">        Transit and railroad police</v>
          </cell>
          <cell r="D722" t="str">
            <v>Line item</v>
          </cell>
          <cell r="E722">
            <v>3</v>
          </cell>
        </row>
        <row r="723">
          <cell r="A723" t="str">
            <v>33-9011</v>
          </cell>
          <cell r="B723" t="str">
            <v>47-4071</v>
          </cell>
          <cell r="C723" t="str">
            <v xml:space="preserve">      Animal control workers</v>
          </cell>
          <cell r="D723" t="str">
            <v>Line item</v>
          </cell>
          <cell r="E723">
            <v>3.9</v>
          </cell>
        </row>
        <row r="724">
          <cell r="A724" t="str">
            <v>33-9021</v>
          </cell>
          <cell r="B724" t="str">
            <v>47-5011</v>
          </cell>
          <cell r="C724" t="str">
            <v xml:space="preserve">      Private detectives and investigators</v>
          </cell>
          <cell r="D724" t="str">
            <v>Line item</v>
          </cell>
          <cell r="E724">
            <v>6</v>
          </cell>
        </row>
        <row r="725">
          <cell r="A725" t="str">
            <v>33-9031</v>
          </cell>
          <cell r="B725" t="str">
            <v>47-5013</v>
          </cell>
          <cell r="C725" t="str">
            <v xml:space="preserve">        Gambling surveillance officers and gambling investigators</v>
          </cell>
          <cell r="D725" t="str">
            <v>Line item</v>
          </cell>
          <cell r="E725">
            <v>0.3</v>
          </cell>
        </row>
        <row r="726">
          <cell r="A726" t="str">
            <v>33-9032</v>
          </cell>
          <cell r="B726" t="str">
            <v>47-5020</v>
          </cell>
          <cell r="C726" t="str">
            <v xml:space="preserve">        Security guards</v>
          </cell>
          <cell r="D726" t="str">
            <v>Line item</v>
          </cell>
          <cell r="E726">
            <v>0.4</v>
          </cell>
        </row>
        <row r="727">
          <cell r="A727" t="str">
            <v>33-9091</v>
          </cell>
          <cell r="B727" t="str">
            <v>47-5023</v>
          </cell>
          <cell r="C727" t="str">
            <v xml:space="preserve">        Crossing guards and flaggers</v>
          </cell>
          <cell r="D727" t="str">
            <v>Line item</v>
          </cell>
          <cell r="E727">
            <v>3.6</v>
          </cell>
        </row>
        <row r="728">
          <cell r="A728" t="str">
            <v>33-9092</v>
          </cell>
          <cell r="B728" t="str">
            <v>47-5030</v>
          </cell>
          <cell r="C728" t="str">
            <v xml:space="preserve">        Lifeguards, ski patrol, and other recreational protective service workers</v>
          </cell>
          <cell r="D728" t="str">
            <v>Line item</v>
          </cell>
          <cell r="E728">
            <v>5.8</v>
          </cell>
        </row>
        <row r="729">
          <cell r="A729" t="str">
            <v>33-9093</v>
          </cell>
          <cell r="B729" t="str">
            <v>47-5041</v>
          </cell>
          <cell r="C729" t="str">
            <v xml:space="preserve">        Transportation security screeners</v>
          </cell>
          <cell r="D729" t="str">
            <v>Line item</v>
          </cell>
          <cell r="E729">
            <v>-6</v>
          </cell>
        </row>
        <row r="730">
          <cell r="A730" t="str">
            <v>33-9099</v>
          </cell>
          <cell r="B730" t="str">
            <v>47-5044</v>
          </cell>
          <cell r="C730" t="str">
            <v xml:space="preserve">        Protective service workers, all other</v>
          </cell>
          <cell r="D730" t="str">
            <v>Line item</v>
          </cell>
          <cell r="E730">
            <v>2.5</v>
          </cell>
        </row>
        <row r="731">
          <cell r="A731" t="str">
            <v>35-0000</v>
          </cell>
          <cell r="B731" t="str">
            <v>47-5051</v>
          </cell>
          <cell r="C731" t="str">
            <v xml:space="preserve">  Food preparation and serving related occupations</v>
          </cell>
          <cell r="D731" t="str">
            <v>Summary</v>
          </cell>
          <cell r="E731">
            <v>3.5</v>
          </cell>
        </row>
        <row r="732">
          <cell r="A732" t="str">
            <v>35-1011</v>
          </cell>
          <cell r="B732" t="str">
            <v>47-5081</v>
          </cell>
          <cell r="C732" t="str">
            <v xml:space="preserve">      Chefs and head cooks</v>
          </cell>
          <cell r="D732" t="str">
            <v>Line item</v>
          </cell>
          <cell r="E732">
            <v>7.1</v>
          </cell>
        </row>
        <row r="733">
          <cell r="A733" t="str">
            <v>35-1012</v>
          </cell>
          <cell r="B733" t="str">
            <v>49-1011</v>
          </cell>
          <cell r="C733" t="str">
            <v xml:space="preserve">      First-line supervisors of food preparation and serving workers</v>
          </cell>
          <cell r="D733" t="str">
            <v>Line item</v>
          </cell>
          <cell r="E733">
            <v>6</v>
          </cell>
        </row>
        <row r="734">
          <cell r="A734" t="str">
            <v>35-2011</v>
          </cell>
          <cell r="B734" t="str">
            <v>49-2022</v>
          </cell>
          <cell r="C734" t="str">
            <v xml:space="preserve">        Cooks, fast food</v>
          </cell>
          <cell r="D734" t="str">
            <v>Line item</v>
          </cell>
          <cell r="E734">
            <v>-13.5</v>
          </cell>
        </row>
        <row r="735">
          <cell r="A735" t="str">
            <v>35-2012</v>
          </cell>
          <cell r="B735" t="str">
            <v>49-2091</v>
          </cell>
          <cell r="C735" t="str">
            <v xml:space="preserve">        Cooks, institution and cafeteria</v>
          </cell>
          <cell r="D735" t="str">
            <v>Line item</v>
          </cell>
          <cell r="E735">
            <v>2</v>
          </cell>
        </row>
        <row r="736">
          <cell r="A736" t="str">
            <v>35-2013</v>
          </cell>
          <cell r="B736" t="str">
            <v>49-2092</v>
          </cell>
          <cell r="C736" t="str">
            <v xml:space="preserve">        Cooks, private household</v>
          </cell>
          <cell r="D736" t="str">
            <v>Line item</v>
          </cell>
          <cell r="E736">
            <v>5.0999999999999996</v>
          </cell>
        </row>
        <row r="737">
          <cell r="A737" t="str">
            <v>35-2014</v>
          </cell>
          <cell r="B737" t="str">
            <v>49-2093</v>
          </cell>
          <cell r="C737" t="str">
            <v xml:space="preserve">        Cooks, restaurant</v>
          </cell>
          <cell r="D737" t="str">
            <v>Line item</v>
          </cell>
          <cell r="E737">
            <v>14.9</v>
          </cell>
        </row>
        <row r="738">
          <cell r="A738" t="str">
            <v>35-2015</v>
          </cell>
          <cell r="B738" t="str">
            <v>49-2094</v>
          </cell>
          <cell r="C738" t="str">
            <v xml:space="preserve">        Cooks, short order</v>
          </cell>
          <cell r="D738" t="str">
            <v>Line item</v>
          </cell>
          <cell r="E738">
            <v>-5.6</v>
          </cell>
        </row>
        <row r="739">
          <cell r="A739" t="str">
            <v>35-2021</v>
          </cell>
          <cell r="B739" t="str">
            <v>49-2096</v>
          </cell>
          <cell r="C739" t="str">
            <v xml:space="preserve">      Food preparation workers</v>
          </cell>
          <cell r="D739" t="str">
            <v>Line item</v>
          </cell>
          <cell r="E739">
            <v>-3.4</v>
          </cell>
        </row>
        <row r="740">
          <cell r="A740" t="str">
            <v>35-3011</v>
          </cell>
          <cell r="B740" t="str">
            <v>49-2098</v>
          </cell>
          <cell r="C740" t="str">
            <v xml:space="preserve">      Bartenders</v>
          </cell>
          <cell r="D740" t="str">
            <v>Line item</v>
          </cell>
          <cell r="E740">
            <v>5.9</v>
          </cell>
        </row>
        <row r="741">
          <cell r="A741" t="str">
            <v>35-3031</v>
          </cell>
          <cell r="B741" t="str">
            <v>49-3021</v>
          </cell>
          <cell r="C741" t="str">
            <v xml:space="preserve">      Waiters and waitresses</v>
          </cell>
          <cell r="D741" t="str">
            <v>Line item</v>
          </cell>
          <cell r="E741">
            <v>-0.7</v>
          </cell>
        </row>
        <row r="742">
          <cell r="A742" t="str">
            <v>35-3041</v>
          </cell>
          <cell r="B742" t="str">
            <v>49-3022</v>
          </cell>
          <cell r="C742" t="str">
            <v xml:space="preserve">      Food servers, nonrestaurant</v>
          </cell>
          <cell r="D742" t="str">
            <v>Line item</v>
          </cell>
          <cell r="E742">
            <v>3</v>
          </cell>
        </row>
        <row r="743">
          <cell r="A743" t="str">
            <v>35-9000</v>
          </cell>
          <cell r="B743" t="str">
            <v>49-3023</v>
          </cell>
          <cell r="C743" t="str">
            <v xml:space="preserve">    Other food preparation and serving related workers</v>
          </cell>
          <cell r="D743" t="str">
            <v>Summary</v>
          </cell>
          <cell r="E743">
            <v>2.2000000000000002</v>
          </cell>
        </row>
        <row r="744">
          <cell r="A744" t="str">
            <v>35-9011</v>
          </cell>
          <cell r="B744" t="str">
            <v>49-3031</v>
          </cell>
          <cell r="C744" t="str">
            <v xml:space="preserve">      Dining room and cafeteria attendants and bartender helpers</v>
          </cell>
          <cell r="D744" t="str">
            <v>Line item</v>
          </cell>
          <cell r="E744">
            <v>6.3</v>
          </cell>
        </row>
        <row r="745">
          <cell r="A745" t="str">
            <v>35-9021</v>
          </cell>
          <cell r="B745" t="str">
            <v>49-3041</v>
          </cell>
          <cell r="C745" t="str">
            <v xml:space="preserve">      Dishwashers</v>
          </cell>
          <cell r="D745" t="str">
            <v>Line item</v>
          </cell>
          <cell r="E745">
            <v>0.2</v>
          </cell>
        </row>
        <row r="746">
          <cell r="A746" t="str">
            <v>35-9031</v>
          </cell>
          <cell r="B746" t="str">
            <v>49-3042</v>
          </cell>
          <cell r="C746" t="str">
            <v xml:space="preserve">      Hosts and hostesses, restaurant, lounge, and coffee shop</v>
          </cell>
          <cell r="D746" t="str">
            <v>Line item</v>
          </cell>
          <cell r="E746">
            <v>-1.5</v>
          </cell>
        </row>
        <row r="747">
          <cell r="A747" t="str">
            <v>37-1011</v>
          </cell>
          <cell r="B747" t="str">
            <v>49-3053</v>
          </cell>
          <cell r="C747" t="str">
            <v xml:space="preserve">      First-line supervisors of housekeeping and janitorial workers</v>
          </cell>
          <cell r="D747" t="str">
            <v>Line item</v>
          </cell>
          <cell r="E747">
            <v>2.5</v>
          </cell>
        </row>
        <row r="748">
          <cell r="A748" t="str">
            <v>37-1012</v>
          </cell>
          <cell r="B748" t="str">
            <v>49-3091</v>
          </cell>
          <cell r="C748" t="str">
            <v xml:space="preserve">      First-line supervisors of landscaping, lawn service, and groundskeeping workers</v>
          </cell>
          <cell r="D748" t="str">
            <v>Line item</v>
          </cell>
          <cell r="E748">
            <v>2.2999999999999998</v>
          </cell>
        </row>
        <row r="749">
          <cell r="A749" t="str">
            <v>37-2011</v>
          </cell>
          <cell r="B749" t="str">
            <v>49-9011</v>
          </cell>
          <cell r="C749" t="str">
            <v xml:space="preserve">        Janitors and cleaners, except maids and housekeeping cleaners</v>
          </cell>
          <cell r="D749" t="str">
            <v>Line item</v>
          </cell>
          <cell r="E749">
            <v>2</v>
          </cell>
        </row>
        <row r="750">
          <cell r="A750" t="str">
            <v>37-2012</v>
          </cell>
          <cell r="B750" t="str">
            <v>49-9012</v>
          </cell>
          <cell r="C750" t="str">
            <v xml:space="preserve">        Maids and housekeeping cleaners</v>
          </cell>
          <cell r="D750" t="str">
            <v>Line item</v>
          </cell>
          <cell r="E750">
            <v>0.4</v>
          </cell>
        </row>
        <row r="751">
          <cell r="A751" t="str">
            <v>37-2021</v>
          </cell>
          <cell r="B751" t="str">
            <v>49-9031</v>
          </cell>
          <cell r="C751" t="str">
            <v xml:space="preserve">      Pest control workers</v>
          </cell>
          <cell r="D751" t="str">
            <v>Line item</v>
          </cell>
          <cell r="E751">
            <v>4.9000000000000004</v>
          </cell>
        </row>
        <row r="752">
          <cell r="A752" t="str">
            <v>37-3011</v>
          </cell>
          <cell r="B752" t="str">
            <v>49-9043</v>
          </cell>
          <cell r="C752" t="str">
            <v xml:space="preserve">      Landscaping and groundskeeping workers</v>
          </cell>
          <cell r="D752" t="str">
            <v>Line item</v>
          </cell>
          <cell r="E752">
            <v>3.6</v>
          </cell>
        </row>
        <row r="753">
          <cell r="A753" t="str">
            <v>37-3012</v>
          </cell>
          <cell r="B753" t="str">
            <v>49-9044</v>
          </cell>
          <cell r="C753" t="str">
            <v xml:space="preserve">      Pesticide handlers, sprayers, and applicators, vegetation</v>
          </cell>
          <cell r="D753" t="str">
            <v>Line item</v>
          </cell>
          <cell r="E753">
            <v>3.8</v>
          </cell>
        </row>
        <row r="754">
          <cell r="A754" t="str">
            <v>37-3013</v>
          </cell>
          <cell r="B754" t="str">
            <v>49-9045</v>
          </cell>
          <cell r="C754" t="str">
            <v xml:space="preserve">      Tree trimmers and pruners</v>
          </cell>
          <cell r="D754" t="str">
            <v>Line item</v>
          </cell>
          <cell r="E754">
            <v>3.3</v>
          </cell>
        </row>
        <row r="755">
          <cell r="A755" t="str">
            <v>39-2011</v>
          </cell>
          <cell r="B755" t="str">
            <v>49-9091</v>
          </cell>
          <cell r="C755" t="str">
            <v xml:space="preserve">      Animal trainers</v>
          </cell>
          <cell r="D755" t="str">
            <v>Line item</v>
          </cell>
          <cell r="E755">
            <v>5.0999999999999996</v>
          </cell>
        </row>
        <row r="756">
          <cell r="A756" t="str">
            <v>39-2021</v>
          </cell>
          <cell r="B756" t="str">
            <v>49-9092</v>
          </cell>
          <cell r="C756" t="str">
            <v xml:space="preserve">      Animal caretakers</v>
          </cell>
          <cell r="D756" t="str">
            <v>Line item</v>
          </cell>
          <cell r="E756">
            <v>12.1</v>
          </cell>
        </row>
        <row r="757">
          <cell r="A757" t="str">
            <v>39-3011</v>
          </cell>
          <cell r="B757" t="str">
            <v>49-9096</v>
          </cell>
          <cell r="C757" t="str">
            <v xml:space="preserve">        Gambling dealers</v>
          </cell>
          <cell r="D757" t="str">
            <v>Line item</v>
          </cell>
          <cell r="E757">
            <v>-0.6</v>
          </cell>
        </row>
        <row r="758">
          <cell r="A758" t="str">
            <v>39-3012</v>
          </cell>
          <cell r="B758" t="str">
            <v>49-9097</v>
          </cell>
          <cell r="C758" t="str">
            <v xml:space="preserve">        Gambling and sports book writers and runners</v>
          </cell>
          <cell r="D758" t="str">
            <v>Line item</v>
          </cell>
          <cell r="E758">
            <v>-6.1</v>
          </cell>
        </row>
        <row r="759">
          <cell r="A759" t="str">
            <v>39-3021</v>
          </cell>
          <cell r="B759" t="str">
            <v>49-9099</v>
          </cell>
          <cell r="C759" t="str">
            <v xml:space="preserve">      Motion picture projectionists</v>
          </cell>
          <cell r="D759" t="str">
            <v>Line item</v>
          </cell>
          <cell r="E759">
            <v>-3.7</v>
          </cell>
        </row>
        <row r="760">
          <cell r="A760" t="str">
            <v>39-3031</v>
          </cell>
          <cell r="B760" t="str">
            <v>51-1011</v>
          </cell>
          <cell r="C760" t="str">
            <v xml:space="preserve">      Ushers, lobby attendants, and ticket takers</v>
          </cell>
          <cell r="D760" t="str">
            <v>Line item</v>
          </cell>
          <cell r="E760">
            <v>1.2</v>
          </cell>
        </row>
        <row r="761">
          <cell r="A761" t="str">
            <v>39-3091</v>
          </cell>
          <cell r="B761" t="str">
            <v>51-2020</v>
          </cell>
          <cell r="C761" t="str">
            <v xml:space="preserve">        Amusement and recreation attendants</v>
          </cell>
          <cell r="D761" t="str">
            <v>Line item</v>
          </cell>
          <cell r="E761">
            <v>3.4</v>
          </cell>
        </row>
        <row r="762">
          <cell r="A762" t="str">
            <v>39-3092</v>
          </cell>
          <cell r="B762" t="str">
            <v>51-2021</v>
          </cell>
          <cell r="C762" t="str">
            <v xml:space="preserve">        Costume attendants</v>
          </cell>
          <cell r="D762" t="str">
            <v>Line item</v>
          </cell>
          <cell r="E762">
            <v>5.9</v>
          </cell>
        </row>
        <row r="763">
          <cell r="A763" t="str">
            <v>39-3093</v>
          </cell>
          <cell r="B763" t="str">
            <v>51-2031</v>
          </cell>
          <cell r="C763" t="str">
            <v xml:space="preserve">        Locker room, coatroom, and dressing room attendants</v>
          </cell>
          <cell r="D763" t="str">
            <v>Line item</v>
          </cell>
          <cell r="E763">
            <v>6.4</v>
          </cell>
        </row>
        <row r="764">
          <cell r="A764" t="str">
            <v>39-4011</v>
          </cell>
          <cell r="B764" t="str">
            <v>51-3011</v>
          </cell>
          <cell r="C764" t="str">
            <v xml:space="preserve">        Embalmers</v>
          </cell>
          <cell r="D764" t="str">
            <v>Line item</v>
          </cell>
          <cell r="E764">
            <v>1.3</v>
          </cell>
        </row>
        <row r="765">
          <cell r="A765" t="str">
            <v>39-4021</v>
          </cell>
          <cell r="B765" t="str">
            <v>51-3022</v>
          </cell>
          <cell r="C765" t="str">
            <v xml:space="preserve">      Funeral attendants</v>
          </cell>
          <cell r="D765" t="str">
            <v>Line item</v>
          </cell>
          <cell r="E765">
            <v>3.1</v>
          </cell>
        </row>
        <row r="766">
          <cell r="A766" t="str">
            <v>39-4031</v>
          </cell>
          <cell r="B766" t="str">
            <v>51-3023</v>
          </cell>
          <cell r="C766" t="str">
            <v xml:space="preserve">      Morticians, undertakers, and funeral arrangers</v>
          </cell>
          <cell r="D766" t="str">
            <v>Line item</v>
          </cell>
          <cell r="E766">
            <v>3.1</v>
          </cell>
        </row>
        <row r="767">
          <cell r="A767" t="str">
            <v>39-5011</v>
          </cell>
          <cell r="B767" t="str">
            <v>51-3093</v>
          </cell>
          <cell r="C767" t="str">
            <v xml:space="preserve">        Barbers</v>
          </cell>
          <cell r="D767" t="str">
            <v>Line item</v>
          </cell>
          <cell r="E767">
            <v>4.0999999999999996</v>
          </cell>
        </row>
        <row r="768">
          <cell r="A768" t="str">
            <v>39-5012</v>
          </cell>
          <cell r="B768" t="str">
            <v>51-4021</v>
          </cell>
          <cell r="C768" t="str">
            <v xml:space="preserve">        Hairdressers, hairstylists, and cosmetologists</v>
          </cell>
          <cell r="D768" t="str">
            <v>Line item</v>
          </cell>
          <cell r="E768">
            <v>5.6</v>
          </cell>
        </row>
        <row r="769">
          <cell r="A769" t="str">
            <v>39-5091</v>
          </cell>
          <cell r="B769" t="str">
            <v>51-4023</v>
          </cell>
          <cell r="C769" t="str">
            <v xml:space="preserve">        Makeup artists, theatrical and performance</v>
          </cell>
          <cell r="D769" t="str">
            <v>Line item</v>
          </cell>
          <cell r="E769">
            <v>8.1</v>
          </cell>
        </row>
        <row r="770">
          <cell r="A770" t="str">
            <v>39-5092</v>
          </cell>
          <cell r="B770" t="str">
            <v>51-4030</v>
          </cell>
          <cell r="C770" t="str">
            <v xml:space="preserve">        Manicurists and pedicurists</v>
          </cell>
          <cell r="D770" t="str">
            <v>Line item</v>
          </cell>
          <cell r="E770">
            <v>7</v>
          </cell>
        </row>
        <row r="771">
          <cell r="A771" t="str">
            <v>39-5093</v>
          </cell>
          <cell r="B771" t="str">
            <v>51-4031</v>
          </cell>
          <cell r="C771" t="str">
            <v xml:space="preserve">        Shampooers</v>
          </cell>
          <cell r="D771" t="str">
            <v>Line item</v>
          </cell>
          <cell r="E771">
            <v>5.5</v>
          </cell>
        </row>
        <row r="772">
          <cell r="A772" t="str">
            <v>39-5094</v>
          </cell>
          <cell r="B772" t="str">
            <v>51-4032</v>
          </cell>
          <cell r="C772" t="str">
            <v xml:space="preserve">        Skincare specialists</v>
          </cell>
          <cell r="D772" t="str">
            <v>Line item</v>
          </cell>
          <cell r="E772">
            <v>6.7</v>
          </cell>
        </row>
        <row r="773">
          <cell r="A773" t="str">
            <v>39-6011</v>
          </cell>
          <cell r="B773" t="str">
            <v>51-4034</v>
          </cell>
          <cell r="C773" t="str">
            <v xml:space="preserve">      Baggage porters and bellhops</v>
          </cell>
          <cell r="D773" t="str">
            <v>Line item</v>
          </cell>
          <cell r="E773">
            <v>-1.6</v>
          </cell>
        </row>
        <row r="774">
          <cell r="A774" t="str">
            <v>39-6012</v>
          </cell>
          <cell r="B774" t="str">
            <v>51-4035</v>
          </cell>
          <cell r="C774" t="str">
            <v xml:space="preserve">      Concierges</v>
          </cell>
          <cell r="D774" t="str">
            <v>Line item</v>
          </cell>
          <cell r="E774">
            <v>2.2999999999999998</v>
          </cell>
        </row>
        <row r="775">
          <cell r="A775" t="str">
            <v>39-7000</v>
          </cell>
          <cell r="B775" t="str">
            <v>51-4041</v>
          </cell>
          <cell r="C775" t="str">
            <v xml:space="preserve">    Tour and travel guides</v>
          </cell>
          <cell r="D775" t="str">
            <v>Summary</v>
          </cell>
          <cell r="E775">
            <v>8.1</v>
          </cell>
        </row>
        <row r="776">
          <cell r="A776" t="str">
            <v>39-9011</v>
          </cell>
          <cell r="B776" t="str">
            <v>51-4061</v>
          </cell>
          <cell r="C776" t="str">
            <v xml:space="preserve">      Childcare workers</v>
          </cell>
          <cell r="D776" t="str">
            <v>Line item</v>
          </cell>
          <cell r="E776">
            <v>-2.9</v>
          </cell>
        </row>
        <row r="777">
          <cell r="A777" t="str">
            <v>39-9031</v>
          </cell>
          <cell r="B777" t="str">
            <v>51-4071</v>
          </cell>
          <cell r="C777" t="str">
            <v xml:space="preserve">        Exercise trainers and group fitness instructors</v>
          </cell>
          <cell r="D777" t="str">
            <v>Line item</v>
          </cell>
          <cell r="E777">
            <v>11.9</v>
          </cell>
        </row>
        <row r="778">
          <cell r="A778" t="str">
            <v>39-9032</v>
          </cell>
          <cell r="B778" t="str">
            <v>51-4072</v>
          </cell>
          <cell r="C778" t="str">
            <v xml:space="preserve">        Recreation workers</v>
          </cell>
          <cell r="D778" t="str">
            <v>Line item</v>
          </cell>
          <cell r="E778">
            <v>4.0999999999999996</v>
          </cell>
        </row>
        <row r="779">
          <cell r="A779" t="str">
            <v>39-9041</v>
          </cell>
          <cell r="B779" t="str">
            <v>51-4081</v>
          </cell>
          <cell r="C779" t="str">
            <v xml:space="preserve">      Residential advisors</v>
          </cell>
          <cell r="D779" t="str">
            <v>Line item</v>
          </cell>
          <cell r="E779">
            <v>3.8</v>
          </cell>
        </row>
        <row r="780">
          <cell r="A780" t="str">
            <v>39-9099</v>
          </cell>
          <cell r="B780" t="str">
            <v>51-4111</v>
          </cell>
          <cell r="C780" t="str">
            <v xml:space="preserve">      Personal care and service workers, all other</v>
          </cell>
          <cell r="D780" t="str">
            <v>Line item</v>
          </cell>
          <cell r="E780">
            <v>6.4</v>
          </cell>
        </row>
        <row r="781">
          <cell r="A781" t="str">
            <v>41-1011</v>
          </cell>
          <cell r="B781" t="str">
            <v>51-4191</v>
          </cell>
          <cell r="C781" t="str">
            <v xml:space="preserve">      First-line supervisors of retail sales workers</v>
          </cell>
          <cell r="D781" t="str">
            <v>Line item</v>
          </cell>
          <cell r="E781">
            <v>-5</v>
          </cell>
        </row>
        <row r="782">
          <cell r="A782" t="str">
            <v>41-1012</v>
          </cell>
          <cell r="B782" t="str">
            <v>51-4192</v>
          </cell>
          <cell r="C782" t="str">
            <v xml:space="preserve">      First-line supervisors of non-retail sales workers</v>
          </cell>
          <cell r="D782" t="str">
            <v>Line item</v>
          </cell>
          <cell r="E782">
            <v>0</v>
          </cell>
        </row>
        <row r="783">
          <cell r="A783" t="str">
            <v>41-2011</v>
          </cell>
          <cell r="B783" t="str">
            <v>51-5111</v>
          </cell>
          <cell r="C783" t="str">
            <v xml:space="preserve">        Cashiers</v>
          </cell>
          <cell r="D783" t="str">
            <v>Line item</v>
          </cell>
          <cell r="E783">
            <v>-9.9</v>
          </cell>
        </row>
        <row r="784">
          <cell r="A784" t="str">
            <v>41-2012</v>
          </cell>
          <cell r="B784" t="str">
            <v>51-5112</v>
          </cell>
          <cell r="C784" t="str">
            <v xml:space="preserve">        Gambling change persons and booth cashiers</v>
          </cell>
          <cell r="D784" t="str">
            <v>Line item</v>
          </cell>
          <cell r="E784">
            <v>-6.4</v>
          </cell>
        </row>
        <row r="785">
          <cell r="A785" t="str">
            <v>41-2021</v>
          </cell>
          <cell r="B785" t="str">
            <v>51-6011</v>
          </cell>
          <cell r="C785" t="str">
            <v xml:space="preserve">        Counter and rental clerks</v>
          </cell>
          <cell r="D785" t="str">
            <v>Line item</v>
          </cell>
          <cell r="E785">
            <v>3.2</v>
          </cell>
        </row>
        <row r="786">
          <cell r="A786" t="str">
            <v>41-2022</v>
          </cell>
          <cell r="B786" t="str">
            <v>51-6021</v>
          </cell>
          <cell r="C786" t="str">
            <v xml:space="preserve">        Parts salespersons</v>
          </cell>
          <cell r="D786" t="str">
            <v>Line item</v>
          </cell>
          <cell r="E786">
            <v>3.1</v>
          </cell>
        </row>
        <row r="787">
          <cell r="A787" t="str">
            <v>41-2031</v>
          </cell>
          <cell r="B787" t="str">
            <v>51-6031</v>
          </cell>
          <cell r="C787" t="str">
            <v xml:space="preserve">      Retail salespersons</v>
          </cell>
          <cell r="D787" t="str">
            <v>Line item</v>
          </cell>
          <cell r="E787">
            <v>-0.5</v>
          </cell>
        </row>
        <row r="788">
          <cell r="A788" t="str">
            <v>41-3000</v>
          </cell>
          <cell r="B788" t="str">
            <v>51-6041</v>
          </cell>
          <cell r="C788" t="str">
            <v xml:space="preserve">    Sales representatives, services</v>
          </cell>
          <cell r="D788" t="str">
            <v>Summary</v>
          </cell>
          <cell r="E788">
            <v>2.9</v>
          </cell>
        </row>
        <row r="789">
          <cell r="A789" t="str">
            <v>41-3011</v>
          </cell>
          <cell r="B789" t="str">
            <v>51-6042</v>
          </cell>
          <cell r="C789" t="str">
            <v xml:space="preserve">      Advertising sales agents</v>
          </cell>
          <cell r="D789" t="str">
            <v>Line item</v>
          </cell>
          <cell r="E789">
            <v>-6.4</v>
          </cell>
        </row>
        <row r="790">
          <cell r="A790" t="str">
            <v>41-3021</v>
          </cell>
          <cell r="B790" t="str">
            <v>51-6051</v>
          </cell>
          <cell r="C790" t="str">
            <v xml:space="preserve">      Insurance sales agents</v>
          </cell>
          <cell r="D790" t="str">
            <v>Line item</v>
          </cell>
          <cell r="E790">
            <v>3.7</v>
          </cell>
        </row>
        <row r="791">
          <cell r="A791" t="str">
            <v>41-3031</v>
          </cell>
          <cell r="B791" t="str">
            <v>51-6052</v>
          </cell>
          <cell r="C791" t="str">
            <v xml:space="preserve">      Securities, commodities, and financial services sales agents</v>
          </cell>
          <cell r="D791" t="str">
            <v>Line item</v>
          </cell>
          <cell r="E791">
            <v>3.3</v>
          </cell>
        </row>
        <row r="792">
          <cell r="A792" t="str">
            <v>41-3041</v>
          </cell>
          <cell r="B792" t="str">
            <v>51-6061</v>
          </cell>
          <cell r="C792" t="str">
            <v xml:space="preserve">      Travel agents</v>
          </cell>
          <cell r="D792" t="str">
            <v>Line item</v>
          </cell>
          <cell r="E792">
            <v>2.2000000000000002</v>
          </cell>
        </row>
        <row r="793">
          <cell r="A793" t="str">
            <v>41-4011</v>
          </cell>
          <cell r="B793" t="str">
            <v>51-6064</v>
          </cell>
          <cell r="C793" t="str">
            <v xml:space="preserve">      Sales representatives, wholesale and manufacturing, technical and scientific products</v>
          </cell>
          <cell r="D793" t="str">
            <v>Line item</v>
          </cell>
          <cell r="E793">
            <v>1.9</v>
          </cell>
        </row>
        <row r="794">
          <cell r="A794" t="str">
            <v>41-4012</v>
          </cell>
          <cell r="B794" t="str">
            <v>51-6091</v>
          </cell>
          <cell r="C794" t="str">
            <v xml:space="preserve">      Sales representatives, wholesale and manufacturing, except technical and scientific products</v>
          </cell>
          <cell r="D794" t="str">
            <v>Line item</v>
          </cell>
          <cell r="E794">
            <v>0.3</v>
          </cell>
        </row>
        <row r="795">
          <cell r="A795" t="str">
            <v>41-9011</v>
          </cell>
          <cell r="B795" t="str">
            <v>51-6093</v>
          </cell>
          <cell r="C795" t="str">
            <v xml:space="preserve">        Demonstrators and product promoters</v>
          </cell>
          <cell r="D795" t="str">
            <v>Line item</v>
          </cell>
          <cell r="E795">
            <v>-0.1</v>
          </cell>
        </row>
        <row r="796">
          <cell r="A796" t="str">
            <v>41-9012</v>
          </cell>
          <cell r="B796" t="str">
            <v>51-7011</v>
          </cell>
          <cell r="C796" t="str">
            <v xml:space="preserve">        Models</v>
          </cell>
          <cell r="D796" t="str">
            <v>Line item</v>
          </cell>
          <cell r="E796">
            <v>-0.5</v>
          </cell>
        </row>
        <row r="797">
          <cell r="A797" t="str">
            <v>41-9021</v>
          </cell>
          <cell r="B797" t="str">
            <v>51-7031</v>
          </cell>
          <cell r="C797" t="str">
            <v xml:space="preserve">        Real estate brokers</v>
          </cell>
          <cell r="D797" t="str">
            <v>Line item</v>
          </cell>
          <cell r="E797">
            <v>3.3</v>
          </cell>
        </row>
        <row r="798">
          <cell r="A798" t="str">
            <v>41-9022</v>
          </cell>
          <cell r="B798" t="str">
            <v>51-7032</v>
          </cell>
          <cell r="C798" t="str">
            <v xml:space="preserve">        Real estate sales agents</v>
          </cell>
          <cell r="D798" t="str">
            <v>Line item</v>
          </cell>
          <cell r="E798">
            <v>3.1</v>
          </cell>
        </row>
        <row r="799">
          <cell r="A799" t="str">
            <v>41-9031</v>
          </cell>
          <cell r="B799" t="str">
            <v>51-7041</v>
          </cell>
          <cell r="C799" t="str">
            <v xml:space="preserve">      Sales engineers</v>
          </cell>
          <cell r="D799" t="str">
            <v>Line item</v>
          </cell>
          <cell r="E799">
            <v>5.5</v>
          </cell>
        </row>
        <row r="800">
          <cell r="A800" t="str">
            <v>41-9041</v>
          </cell>
          <cell r="B800" t="str">
            <v>51-7042</v>
          </cell>
          <cell r="C800" t="str">
            <v xml:space="preserve">      Telemarketers</v>
          </cell>
          <cell r="D800" t="str">
            <v>Line item</v>
          </cell>
          <cell r="E800">
            <v>-22.1</v>
          </cell>
        </row>
        <row r="801">
          <cell r="A801" t="str">
            <v>41-9091</v>
          </cell>
          <cell r="B801" t="str">
            <v>51-8012</v>
          </cell>
          <cell r="C801" t="str">
            <v xml:space="preserve">        Door-to-door sales workers, news and street vendors, and related workers</v>
          </cell>
          <cell r="D801" t="str">
            <v>Line item</v>
          </cell>
          <cell r="E801">
            <v>-10</v>
          </cell>
        </row>
        <row r="802">
          <cell r="A802" t="str">
            <v>43-1011</v>
          </cell>
          <cell r="B802" t="str">
            <v>51-8091</v>
          </cell>
          <cell r="C802" t="str">
            <v xml:space="preserve">      First-line supervisors of office and administrative support workers</v>
          </cell>
          <cell r="D802" t="str">
            <v>Line item</v>
          </cell>
          <cell r="E802">
            <v>-0.3</v>
          </cell>
        </row>
        <row r="803">
          <cell r="A803" t="str">
            <v>43-2011</v>
          </cell>
          <cell r="B803" t="str">
            <v>51-8093</v>
          </cell>
          <cell r="C803" t="str">
            <v xml:space="preserve">      Switchboard operators, including answering service</v>
          </cell>
          <cell r="D803" t="str">
            <v>Line item</v>
          </cell>
          <cell r="E803">
            <v>-26.3</v>
          </cell>
        </row>
        <row r="804">
          <cell r="A804" t="str">
            <v>43-2021</v>
          </cell>
          <cell r="B804" t="str">
            <v>51-8099</v>
          </cell>
          <cell r="C804" t="str">
            <v xml:space="preserve">      Telephone operators</v>
          </cell>
          <cell r="D804" t="str">
            <v>Line item</v>
          </cell>
          <cell r="E804">
            <v>-27.5</v>
          </cell>
        </row>
        <row r="805">
          <cell r="A805" t="str">
            <v>43-3011</v>
          </cell>
          <cell r="B805" t="str">
            <v>51-9021</v>
          </cell>
          <cell r="C805" t="str">
            <v xml:space="preserve">      Bill and account collectors</v>
          </cell>
          <cell r="D805" t="str">
            <v>Line item</v>
          </cell>
          <cell r="E805">
            <v>-10.5</v>
          </cell>
        </row>
        <row r="806">
          <cell r="A806" t="str">
            <v>43-3021</v>
          </cell>
          <cell r="B806" t="str">
            <v>51-9022</v>
          </cell>
          <cell r="C806" t="str">
            <v xml:space="preserve">      Billing and posting clerks</v>
          </cell>
          <cell r="D806" t="str">
            <v>Line item</v>
          </cell>
          <cell r="E806">
            <v>-0.4</v>
          </cell>
        </row>
        <row r="807">
          <cell r="A807" t="str">
            <v>43-3031</v>
          </cell>
          <cell r="B807" t="str">
            <v>51-9023</v>
          </cell>
          <cell r="C807" t="str">
            <v xml:space="preserve">      Bookkeeping, accounting, and auditing clerks</v>
          </cell>
          <cell r="D807" t="str">
            <v>Line item</v>
          </cell>
          <cell r="E807">
            <v>-5.8</v>
          </cell>
        </row>
        <row r="808">
          <cell r="A808" t="str">
            <v>43-3041</v>
          </cell>
          <cell r="B808" t="str">
            <v>51-9031</v>
          </cell>
          <cell r="C808" t="str">
            <v xml:space="preserve">      Gambling cage workers</v>
          </cell>
          <cell r="D808" t="str">
            <v>Line item</v>
          </cell>
          <cell r="E808">
            <v>-5</v>
          </cell>
        </row>
        <row r="809">
          <cell r="A809" t="str">
            <v>43-3051</v>
          </cell>
          <cell r="B809" t="str">
            <v>51-9032</v>
          </cell>
          <cell r="C809" t="str">
            <v xml:space="preserve">      Payroll and timekeeping clerks</v>
          </cell>
          <cell r="D809" t="str">
            <v>Line item</v>
          </cell>
          <cell r="E809">
            <v>-16.7</v>
          </cell>
        </row>
        <row r="810">
          <cell r="A810" t="str">
            <v>43-3061</v>
          </cell>
          <cell r="B810" t="str">
            <v>51-9041</v>
          </cell>
          <cell r="C810" t="str">
            <v xml:space="preserve">      Procurement clerks</v>
          </cell>
          <cell r="D810" t="str">
            <v>Line item</v>
          </cell>
          <cell r="E810">
            <v>-8.6999999999999993</v>
          </cell>
        </row>
        <row r="811">
          <cell r="A811" t="str">
            <v>43-3071</v>
          </cell>
          <cell r="B811" t="str">
            <v>51-9051</v>
          </cell>
          <cell r="C811" t="str">
            <v xml:space="preserve">      Tellers</v>
          </cell>
          <cell r="D811" t="str">
            <v>Line item</v>
          </cell>
          <cell r="E811">
            <v>-12.9</v>
          </cell>
        </row>
        <row r="812">
          <cell r="A812" t="str">
            <v>43-4011</v>
          </cell>
          <cell r="B812" t="str">
            <v>51-9081</v>
          </cell>
          <cell r="C812" t="str">
            <v xml:space="preserve">      Brokerage clerks</v>
          </cell>
          <cell r="D812" t="str">
            <v>Line item</v>
          </cell>
          <cell r="E812">
            <v>-9.5</v>
          </cell>
        </row>
        <row r="813">
          <cell r="A813" t="str">
            <v>43-4021</v>
          </cell>
          <cell r="B813" t="str">
            <v>51-9082</v>
          </cell>
          <cell r="C813" t="str">
            <v xml:space="preserve">      Correspondence clerks</v>
          </cell>
          <cell r="D813" t="str">
            <v>Line item</v>
          </cell>
          <cell r="E813">
            <v>-5.6</v>
          </cell>
        </row>
        <row r="814">
          <cell r="A814" t="str">
            <v>43-4031</v>
          </cell>
          <cell r="B814" t="str">
            <v>51-9083</v>
          </cell>
          <cell r="C814" t="str">
            <v xml:space="preserve">      Court, municipal, and license clerks</v>
          </cell>
          <cell r="D814" t="str">
            <v>Line item</v>
          </cell>
          <cell r="E814">
            <v>3</v>
          </cell>
        </row>
        <row r="815">
          <cell r="A815" t="str">
            <v>43-4041</v>
          </cell>
          <cell r="B815" t="str">
            <v>51-9111</v>
          </cell>
          <cell r="C815" t="str">
            <v xml:space="preserve">      Credit authorizers, checkers, and clerks</v>
          </cell>
          <cell r="D815" t="str">
            <v>Line item</v>
          </cell>
          <cell r="E815">
            <v>-6.2</v>
          </cell>
        </row>
        <row r="816">
          <cell r="A816" t="str">
            <v>43-4051</v>
          </cell>
          <cell r="B816" t="str">
            <v>51-9123</v>
          </cell>
          <cell r="C816" t="str">
            <v xml:space="preserve">      Customer service representatives</v>
          </cell>
          <cell r="D816" t="str">
            <v>Line item</v>
          </cell>
          <cell r="E816">
            <v>-5.5</v>
          </cell>
        </row>
        <row r="817">
          <cell r="A817" t="str">
            <v>43-4061</v>
          </cell>
          <cell r="B817" t="str">
            <v>51-9123</v>
          </cell>
          <cell r="C817" t="str">
            <v xml:space="preserve">      Eligibility interviewers, government programs</v>
          </cell>
          <cell r="D817" t="str">
            <v>Line item</v>
          </cell>
          <cell r="E817">
            <v>1</v>
          </cell>
        </row>
        <row r="818">
          <cell r="A818" t="str">
            <v>43-4071</v>
          </cell>
          <cell r="B818" t="str">
            <v>51-9124</v>
          </cell>
          <cell r="C818" t="str">
            <v xml:space="preserve">      File clerks</v>
          </cell>
          <cell r="D818" t="str">
            <v>Line item</v>
          </cell>
          <cell r="E818">
            <v>-15.9</v>
          </cell>
        </row>
        <row r="819">
          <cell r="A819" t="str">
            <v>43-4081</v>
          </cell>
          <cell r="B819" t="str">
            <v>51-9141</v>
          </cell>
          <cell r="C819" t="str">
            <v xml:space="preserve">      Hotel, motel, and resort desk clerks</v>
          </cell>
          <cell r="D819" t="str">
            <v>Line item</v>
          </cell>
          <cell r="E819">
            <v>3.7</v>
          </cell>
        </row>
        <row r="820">
          <cell r="A820" t="str">
            <v>43-4111</v>
          </cell>
          <cell r="B820" t="str">
            <v>51-9151</v>
          </cell>
          <cell r="C820" t="str">
            <v xml:space="preserve">      Interviewers, except eligibility and loan</v>
          </cell>
          <cell r="D820" t="str">
            <v>Line item</v>
          </cell>
          <cell r="E820">
            <v>-11.6</v>
          </cell>
        </row>
        <row r="821">
          <cell r="A821" t="str">
            <v>43-4121</v>
          </cell>
          <cell r="B821" t="str">
            <v>51-9161</v>
          </cell>
          <cell r="C821" t="str">
            <v xml:space="preserve">      Library assistants, clerical</v>
          </cell>
          <cell r="D821" t="str">
            <v>Line item</v>
          </cell>
          <cell r="E821">
            <v>-6.7</v>
          </cell>
        </row>
        <row r="822">
          <cell r="A822" t="str">
            <v>43-4131</v>
          </cell>
          <cell r="B822" t="str">
            <v>51-9191</v>
          </cell>
          <cell r="C822" t="str">
            <v xml:space="preserve">      Loan interviewers and clerks</v>
          </cell>
          <cell r="D822" t="str">
            <v>Line item</v>
          </cell>
          <cell r="E822">
            <v>-2.2999999999999998</v>
          </cell>
        </row>
        <row r="823">
          <cell r="A823" t="str">
            <v>43-4141</v>
          </cell>
          <cell r="B823" t="str">
            <v>51-9192</v>
          </cell>
          <cell r="C823" t="str">
            <v xml:space="preserve">      New accounts clerks</v>
          </cell>
          <cell r="D823" t="str">
            <v>Line item</v>
          </cell>
          <cell r="E823">
            <v>-13.2</v>
          </cell>
        </row>
        <row r="824">
          <cell r="A824" t="str">
            <v>43-4151</v>
          </cell>
          <cell r="B824" t="str">
            <v>51-9193</v>
          </cell>
          <cell r="C824" t="str">
            <v xml:space="preserve">      Order clerks</v>
          </cell>
          <cell r="D824" t="str">
            <v>Line item</v>
          </cell>
          <cell r="E824">
            <v>-17.2</v>
          </cell>
        </row>
        <row r="825">
          <cell r="A825" t="str">
            <v>43-4161</v>
          </cell>
          <cell r="B825" t="str">
            <v>51-9194</v>
          </cell>
          <cell r="C825" t="str">
            <v xml:space="preserve">      Human resources assistants, except payroll and timekeeping</v>
          </cell>
          <cell r="D825" t="str">
            <v>Line item</v>
          </cell>
          <cell r="E825">
            <v>-7.1</v>
          </cell>
        </row>
        <row r="826">
          <cell r="A826" t="str">
            <v>43-4171</v>
          </cell>
          <cell r="B826" t="str">
            <v>51-9195</v>
          </cell>
          <cell r="C826" t="str">
            <v xml:space="preserve">      Receptionists and information clerks</v>
          </cell>
          <cell r="D826" t="str">
            <v>Line item</v>
          </cell>
          <cell r="E826">
            <v>0</v>
          </cell>
        </row>
        <row r="827">
          <cell r="A827" t="str">
            <v>43-4181</v>
          </cell>
          <cell r="B827" t="str">
            <v>51-9196</v>
          </cell>
          <cell r="C827" t="str">
            <v xml:space="preserve">      Reservation and transportation ticket agents and travel clerks</v>
          </cell>
          <cell r="D827" t="str">
            <v>Line item</v>
          </cell>
          <cell r="E827">
            <v>2.8</v>
          </cell>
        </row>
        <row r="828">
          <cell r="A828" t="str">
            <v>43-5011</v>
          </cell>
          <cell r="B828" t="str">
            <v>51-9199</v>
          </cell>
          <cell r="C828" t="str">
            <v xml:space="preserve">      Cargo and freight agents</v>
          </cell>
          <cell r="D828" t="str">
            <v>Line item</v>
          </cell>
          <cell r="E828">
            <v>8.5</v>
          </cell>
        </row>
        <row r="829">
          <cell r="A829" t="str">
            <v>43-5021</v>
          </cell>
          <cell r="B829" t="str">
            <v>53-1040</v>
          </cell>
          <cell r="C829" t="str">
            <v xml:space="preserve">      Couriers and messengers</v>
          </cell>
          <cell r="D829" t="str">
            <v>Line item</v>
          </cell>
          <cell r="E829">
            <v>8.1999999999999993</v>
          </cell>
        </row>
        <row r="830">
          <cell r="A830" t="str">
            <v>43-5031</v>
          </cell>
          <cell r="B830" t="str">
            <v>53-1047</v>
          </cell>
          <cell r="C830" t="str">
            <v xml:space="preserve">        Public safety telecommunicators</v>
          </cell>
          <cell r="D830" t="str">
            <v>Line item</v>
          </cell>
          <cell r="E830">
            <v>3.5</v>
          </cell>
        </row>
        <row r="831">
          <cell r="A831" t="str">
            <v>43-5032</v>
          </cell>
          <cell r="B831" t="str">
            <v>53-2011</v>
          </cell>
          <cell r="C831" t="str">
            <v xml:space="preserve">        Dispatchers, except police, fire, and ambulance</v>
          </cell>
          <cell r="D831" t="str">
            <v>Line item</v>
          </cell>
          <cell r="E831">
            <v>-0.9</v>
          </cell>
        </row>
        <row r="832">
          <cell r="A832" t="str">
            <v>43-5041</v>
          </cell>
          <cell r="B832" t="str">
            <v>53-2012</v>
          </cell>
          <cell r="C832" t="str">
            <v xml:space="preserve">      Meter readers, utilities</v>
          </cell>
          <cell r="D832" t="str">
            <v>Line item</v>
          </cell>
          <cell r="E832">
            <v>-12</v>
          </cell>
        </row>
        <row r="833">
          <cell r="A833" t="str">
            <v>43-5051</v>
          </cell>
          <cell r="B833" t="str">
            <v>53-2022</v>
          </cell>
          <cell r="C833" t="str">
            <v xml:space="preserve">        Postal service clerks</v>
          </cell>
          <cell r="D833" t="str">
            <v>Line item</v>
          </cell>
          <cell r="E833">
            <v>-3.5</v>
          </cell>
        </row>
        <row r="834">
          <cell r="A834" t="str">
            <v>43-5052</v>
          </cell>
          <cell r="B834" t="str">
            <v>53-2031</v>
          </cell>
          <cell r="C834" t="str">
            <v xml:space="preserve">        Postal service mail carriers</v>
          </cell>
          <cell r="D834" t="str">
            <v>Line item</v>
          </cell>
          <cell r="E834">
            <v>-3.5</v>
          </cell>
        </row>
        <row r="835">
          <cell r="A835" t="str">
            <v>43-5053</v>
          </cell>
          <cell r="B835" t="str">
            <v>53-3011</v>
          </cell>
          <cell r="C835" t="str">
            <v xml:space="preserve">        Postal service mail sorters, processors, and processing machine operators</v>
          </cell>
          <cell r="D835" t="str">
            <v>Line item</v>
          </cell>
          <cell r="E835">
            <v>-8.4</v>
          </cell>
        </row>
        <row r="836">
          <cell r="A836" t="str">
            <v>43-5061</v>
          </cell>
          <cell r="B836" t="str">
            <v>53-3031</v>
          </cell>
          <cell r="C836" t="str">
            <v xml:space="preserve">      Production, planning, and expediting clerks</v>
          </cell>
          <cell r="D836" t="str">
            <v>Line item</v>
          </cell>
          <cell r="E836">
            <v>-1.8</v>
          </cell>
        </row>
        <row r="837">
          <cell r="A837" t="str">
            <v>43-5071</v>
          </cell>
          <cell r="B837" t="str">
            <v>53-3032</v>
          </cell>
          <cell r="C837" t="str">
            <v xml:space="preserve">      Shipping, receiving, and inventory clerks</v>
          </cell>
          <cell r="D837" t="str">
            <v>Line item</v>
          </cell>
          <cell r="E837">
            <v>-7.7</v>
          </cell>
        </row>
        <row r="838">
          <cell r="A838" t="str">
            <v>43-5111</v>
          </cell>
          <cell r="B838" t="str">
            <v>53-3033</v>
          </cell>
          <cell r="C838" t="str">
            <v xml:space="preserve">      Weighers, measurers, checkers, and samplers, recordkeeping</v>
          </cell>
          <cell r="D838" t="str">
            <v>Line item</v>
          </cell>
          <cell r="E838">
            <v>-4.8</v>
          </cell>
        </row>
        <row r="839">
          <cell r="A839" t="str">
            <v>43-6011</v>
          </cell>
          <cell r="B839" t="str">
            <v>53-3052</v>
          </cell>
          <cell r="C839" t="str">
            <v xml:space="preserve">      Executive secretaries and executive administrative assistants</v>
          </cell>
          <cell r="D839" t="str">
            <v>Line item</v>
          </cell>
          <cell r="E839">
            <v>-1.6</v>
          </cell>
        </row>
        <row r="840">
          <cell r="A840" t="str">
            <v>43-6012</v>
          </cell>
          <cell r="B840" t="str">
            <v>53-3053</v>
          </cell>
          <cell r="C840" t="str">
            <v xml:space="preserve">      Legal secretaries and administrative assistants</v>
          </cell>
          <cell r="D840" t="str">
            <v>Line item</v>
          </cell>
          <cell r="E840">
            <v>-5.8</v>
          </cell>
        </row>
        <row r="841">
          <cell r="A841" t="str">
            <v>43-6013</v>
          </cell>
          <cell r="B841" t="str">
            <v>53-3054</v>
          </cell>
          <cell r="C841" t="str">
            <v xml:space="preserve">      Medical secretaries and administrative assistants</v>
          </cell>
          <cell r="D841" t="str">
            <v>Line item</v>
          </cell>
          <cell r="E841">
            <v>4.2</v>
          </cell>
        </row>
        <row r="842">
          <cell r="A842" t="str">
            <v>43-6014</v>
          </cell>
          <cell r="B842" t="str">
            <v>53-4010</v>
          </cell>
          <cell r="C842" t="str">
            <v xml:space="preserve">      Secretaries and administrative assistants, except legal, medical, and executive</v>
          </cell>
          <cell r="D842" t="str">
            <v>Line item</v>
          </cell>
          <cell r="E842">
            <v>-1.6</v>
          </cell>
        </row>
        <row r="843">
          <cell r="A843" t="str">
            <v>43-9021</v>
          </cell>
          <cell r="B843" t="str">
            <v>53-4020</v>
          </cell>
          <cell r="C843" t="str">
            <v xml:space="preserve">        Data entry keyers</v>
          </cell>
          <cell r="D843" t="str">
            <v>Line item</v>
          </cell>
          <cell r="E843">
            <v>-25.9</v>
          </cell>
        </row>
        <row r="844">
          <cell r="A844" t="str">
            <v>43-9022</v>
          </cell>
          <cell r="B844" t="str">
            <v>53-4031</v>
          </cell>
          <cell r="C844" t="str">
            <v xml:space="preserve">        Word processors and typists</v>
          </cell>
          <cell r="D844" t="str">
            <v>Line item</v>
          </cell>
          <cell r="E844">
            <v>-36.1</v>
          </cell>
        </row>
        <row r="845">
          <cell r="A845" t="str">
            <v>43-9031</v>
          </cell>
          <cell r="B845" t="str">
            <v>53-4041</v>
          </cell>
          <cell r="C845" t="str">
            <v xml:space="preserve">      Desktop publishers</v>
          </cell>
          <cell r="D845" t="str">
            <v>Line item</v>
          </cell>
          <cell r="E845">
            <v>-12.4</v>
          </cell>
        </row>
        <row r="846">
          <cell r="A846" t="str">
            <v>43-9041</v>
          </cell>
          <cell r="B846" t="str">
            <v>53-5011</v>
          </cell>
          <cell r="C846" t="str">
            <v xml:space="preserve">      Insurance claims and policy processing clerks</v>
          </cell>
          <cell r="D846" t="str">
            <v>Line item</v>
          </cell>
          <cell r="E846">
            <v>-3.7</v>
          </cell>
        </row>
        <row r="847">
          <cell r="A847" t="str">
            <v>43-9051</v>
          </cell>
          <cell r="B847" t="str">
            <v>53-5021</v>
          </cell>
          <cell r="C847" t="str">
            <v xml:space="preserve">      Mail clerks and mail machine operators, except postal service</v>
          </cell>
          <cell r="D847" t="str">
            <v>Line item</v>
          </cell>
          <cell r="E847">
            <v>-6.6</v>
          </cell>
        </row>
        <row r="848">
          <cell r="A848" t="str">
            <v>43-9061</v>
          </cell>
          <cell r="B848" t="str">
            <v>53-5022</v>
          </cell>
          <cell r="C848" t="str">
            <v xml:space="preserve">      Office clerks, general</v>
          </cell>
          <cell r="D848" t="str">
            <v>Line item</v>
          </cell>
          <cell r="E848">
            <v>-6.7</v>
          </cell>
        </row>
        <row r="849">
          <cell r="A849" t="str">
            <v>43-9071</v>
          </cell>
          <cell r="B849" t="str">
            <v>53-5031</v>
          </cell>
          <cell r="C849" t="str">
            <v xml:space="preserve">      Office machine operators, except computer</v>
          </cell>
          <cell r="D849" t="str">
            <v>Line item</v>
          </cell>
          <cell r="E849">
            <v>-15.2</v>
          </cell>
        </row>
        <row r="850">
          <cell r="A850" t="str">
            <v>43-9081</v>
          </cell>
          <cell r="B850" t="str">
            <v>53-6011</v>
          </cell>
          <cell r="C850" t="str">
            <v xml:space="preserve">      Proofreaders and copy markers</v>
          </cell>
          <cell r="D850" t="str">
            <v>Line item</v>
          </cell>
          <cell r="E850">
            <v>-0.6</v>
          </cell>
        </row>
        <row r="851">
          <cell r="A851" t="str">
            <v>43-9111</v>
          </cell>
          <cell r="B851" t="str">
            <v>53-6021</v>
          </cell>
          <cell r="C851" t="str">
            <v xml:space="preserve">      Statistical assistants</v>
          </cell>
          <cell r="D851" t="str">
            <v>Line item</v>
          </cell>
          <cell r="E851">
            <v>-2.5</v>
          </cell>
        </row>
        <row r="852">
          <cell r="A852" t="str">
            <v>45-0000</v>
          </cell>
          <cell r="B852" t="str">
            <v>53-6041</v>
          </cell>
          <cell r="C852" t="str">
            <v xml:space="preserve">  Farming, fishing, and forestry occupations</v>
          </cell>
          <cell r="D852" t="str">
            <v>Summary</v>
          </cell>
          <cell r="E852">
            <v>-2.5</v>
          </cell>
        </row>
        <row r="853">
          <cell r="A853" t="str">
            <v>45-1011</v>
          </cell>
          <cell r="B853" t="str">
            <v>53-6061</v>
          </cell>
          <cell r="C853" t="str">
            <v xml:space="preserve">      First-line supervisors of farming, fishing, and forestry workers</v>
          </cell>
          <cell r="D853" t="str">
            <v>Line item</v>
          </cell>
          <cell r="E853">
            <v>2.5</v>
          </cell>
        </row>
        <row r="854">
          <cell r="A854" t="str">
            <v>45-2011</v>
          </cell>
          <cell r="B854" t="str">
            <v>53-7021</v>
          </cell>
          <cell r="C854" t="str">
            <v xml:space="preserve">      Agricultural inspectors</v>
          </cell>
          <cell r="D854" t="str">
            <v>Line item</v>
          </cell>
          <cell r="E854">
            <v>1.5</v>
          </cell>
        </row>
        <row r="855">
          <cell r="A855" t="str">
            <v>45-2021</v>
          </cell>
          <cell r="B855" t="str">
            <v>53-7031</v>
          </cell>
          <cell r="C855" t="str">
            <v xml:space="preserve">      Animal breeders</v>
          </cell>
          <cell r="D855" t="str">
            <v>Line item</v>
          </cell>
          <cell r="E855">
            <v>2.4</v>
          </cell>
        </row>
        <row r="856">
          <cell r="A856" t="str">
            <v>45-2041</v>
          </cell>
          <cell r="B856" t="str">
            <v>53-7041</v>
          </cell>
          <cell r="C856" t="str">
            <v xml:space="preserve">      Graders and sorters, agricultural products</v>
          </cell>
          <cell r="D856" t="str">
            <v>Line item</v>
          </cell>
          <cell r="E856">
            <v>-5.4</v>
          </cell>
        </row>
        <row r="857">
          <cell r="A857" t="str">
            <v>45-2091</v>
          </cell>
          <cell r="B857" t="str">
            <v>53-7061</v>
          </cell>
          <cell r="C857" t="str">
            <v xml:space="preserve">        Agricultural equipment operators</v>
          </cell>
          <cell r="D857" t="str">
            <v>Line item</v>
          </cell>
          <cell r="E857">
            <v>7.7</v>
          </cell>
        </row>
        <row r="858">
          <cell r="A858" t="str">
            <v>45-2092</v>
          </cell>
          <cell r="B858" t="str">
            <v>53-7062</v>
          </cell>
          <cell r="C858" t="str">
            <v xml:space="preserve">        Farmworkers and laborers, crop, nursery, and greenhouse</v>
          </cell>
          <cell r="D858" t="str">
            <v>Line item</v>
          </cell>
          <cell r="E858">
            <v>-3.3</v>
          </cell>
        </row>
        <row r="859">
          <cell r="A859" t="str">
            <v>45-2093</v>
          </cell>
          <cell r="B859" t="str">
            <v>53-7063</v>
          </cell>
          <cell r="C859" t="str">
            <v xml:space="preserve">        Farmworkers, farm, ranch, and aquacultural animals</v>
          </cell>
          <cell r="D859" t="str">
            <v>Line item</v>
          </cell>
          <cell r="E859">
            <v>-5</v>
          </cell>
        </row>
        <row r="860">
          <cell r="A860" t="str">
            <v>45-4011</v>
          </cell>
          <cell r="B860" t="str">
            <v>53-7073</v>
          </cell>
          <cell r="C860" t="str">
            <v xml:space="preserve">      Forest and conservation workers</v>
          </cell>
          <cell r="D860" t="str">
            <v>Line item</v>
          </cell>
          <cell r="E860">
            <v>-4.7</v>
          </cell>
        </row>
        <row r="861">
          <cell r="A861" t="str">
            <v>45-4021</v>
          </cell>
          <cell r="B861" t="str">
            <v>53-7121</v>
          </cell>
          <cell r="C861" t="str">
            <v xml:space="preserve">        Fallers</v>
          </cell>
          <cell r="D861" t="str">
            <v>Line item</v>
          </cell>
          <cell r="E861">
            <v>-7.3</v>
          </cell>
        </row>
        <row r="862">
          <cell r="A862" t="str">
            <v>45-4022</v>
          </cell>
          <cell r="C862" t="str">
            <v xml:space="preserve">        Logging equipment operators</v>
          </cell>
          <cell r="D862" t="str">
            <v>Line item</v>
          </cell>
          <cell r="E862">
            <v>-1.4</v>
          </cell>
        </row>
        <row r="863">
          <cell r="A863" t="str">
            <v>45-4023</v>
          </cell>
          <cell r="C863" t="str">
            <v xml:space="preserve">        Log graders and scalers</v>
          </cell>
          <cell r="D863" t="str">
            <v>Line item</v>
          </cell>
          <cell r="E863">
            <v>-0.7</v>
          </cell>
        </row>
        <row r="864">
          <cell r="A864" t="str">
            <v>47-1011</v>
          </cell>
          <cell r="C864" t="str">
            <v xml:space="preserve">      First-line supervisors of construction trades and extraction workers</v>
          </cell>
          <cell r="D864" t="str">
            <v>Line item</v>
          </cell>
          <cell r="E864">
            <v>5.3</v>
          </cell>
        </row>
        <row r="865">
          <cell r="A865" t="str">
            <v>47-2011</v>
          </cell>
          <cell r="C865" t="str">
            <v xml:space="preserve">      Boilermakers</v>
          </cell>
          <cell r="D865" t="str">
            <v>Line item</v>
          </cell>
          <cell r="E865">
            <v>-2.4</v>
          </cell>
        </row>
        <row r="866">
          <cell r="A866" t="str">
            <v>47-2021</v>
          </cell>
          <cell r="C866" t="str">
            <v xml:space="preserve">        Brickmasons and blockmasons</v>
          </cell>
          <cell r="D866" t="str">
            <v>Line item</v>
          </cell>
          <cell r="E866">
            <v>3.2</v>
          </cell>
        </row>
        <row r="867">
          <cell r="A867" t="str">
            <v>47-2022</v>
          </cell>
          <cell r="C867" t="str">
            <v xml:space="preserve">        Stonemasons</v>
          </cell>
          <cell r="D867" t="str">
            <v>Line item</v>
          </cell>
          <cell r="E867">
            <v>-3</v>
          </cell>
        </row>
        <row r="868">
          <cell r="A868" t="str">
            <v>47-2031</v>
          </cell>
          <cell r="C868" t="str">
            <v xml:space="preserve">      Carpenters</v>
          </cell>
          <cell r="D868" t="str">
            <v>Line item</v>
          </cell>
          <cell r="E868">
            <v>4.5</v>
          </cell>
        </row>
        <row r="869">
          <cell r="A869" t="str">
            <v>47-2041</v>
          </cell>
          <cell r="C869" t="str">
            <v xml:space="preserve">        Carpet installers</v>
          </cell>
          <cell r="D869" t="str">
            <v>Line item</v>
          </cell>
          <cell r="E869">
            <v>-9.6</v>
          </cell>
        </row>
        <row r="870">
          <cell r="A870" t="str">
            <v>47-2042</v>
          </cell>
          <cell r="C870" t="str">
            <v xml:space="preserve">        Floor layers, except carpet, wood, and hard tiles</v>
          </cell>
          <cell r="D870" t="str">
            <v>Line item</v>
          </cell>
          <cell r="E870">
            <v>9.5</v>
          </cell>
        </row>
        <row r="871">
          <cell r="A871" t="str">
            <v>47-2043</v>
          </cell>
          <cell r="C871" t="str">
            <v xml:space="preserve">        Floor sanders and finishers</v>
          </cell>
          <cell r="D871" t="str">
            <v>Line item</v>
          </cell>
          <cell r="E871">
            <v>2.6</v>
          </cell>
        </row>
        <row r="872">
          <cell r="A872" t="str">
            <v>47-2044</v>
          </cell>
          <cell r="C872" t="str">
            <v xml:space="preserve">        Tile and stone setters</v>
          </cell>
          <cell r="D872" t="str">
            <v>Line item</v>
          </cell>
          <cell r="E872">
            <v>10.1</v>
          </cell>
        </row>
        <row r="873">
          <cell r="A873" t="str">
            <v>47-2051</v>
          </cell>
          <cell r="C873" t="str">
            <v xml:space="preserve">        Cement masons and concrete finishers</v>
          </cell>
          <cell r="D873" t="str">
            <v>Line item</v>
          </cell>
          <cell r="E873">
            <v>1.8</v>
          </cell>
        </row>
        <row r="874">
          <cell r="A874" t="str">
            <v>47-2053</v>
          </cell>
          <cell r="C874" t="str">
            <v xml:space="preserve">        Terrazzo workers and finishers</v>
          </cell>
          <cell r="D874" t="str">
            <v>Line item</v>
          </cell>
          <cell r="E874">
            <v>-11.1</v>
          </cell>
        </row>
        <row r="875">
          <cell r="A875" t="str">
            <v>47-2061</v>
          </cell>
          <cell r="C875" t="str">
            <v xml:space="preserve">      Construction laborers</v>
          </cell>
          <cell r="D875" t="str">
            <v>Line item</v>
          </cell>
          <cell r="E875">
            <v>7.3</v>
          </cell>
        </row>
        <row r="876">
          <cell r="A876" t="str">
            <v>47-2071</v>
          </cell>
          <cell r="C876" t="str">
            <v xml:space="preserve">        Paving, surfacing, and tamping equipment operators</v>
          </cell>
          <cell r="D876" t="str">
            <v>Line item</v>
          </cell>
          <cell r="E876">
            <v>3.2</v>
          </cell>
        </row>
        <row r="877">
          <cell r="A877" t="str">
            <v>47-2072</v>
          </cell>
          <cell r="C877" t="str">
            <v xml:space="preserve">        Pile driver operators</v>
          </cell>
          <cell r="D877" t="str">
            <v>Line item</v>
          </cell>
          <cell r="E877">
            <v>4.3</v>
          </cell>
        </row>
        <row r="878">
          <cell r="A878" t="str">
            <v>47-2073</v>
          </cell>
          <cell r="C878" t="str">
            <v xml:space="preserve">        Operating engineers and other construction equipment operators</v>
          </cell>
          <cell r="D878" t="str">
            <v>Line item</v>
          </cell>
          <cell r="E878">
            <v>3.6</v>
          </cell>
        </row>
        <row r="879">
          <cell r="A879" t="str">
            <v>47-2081</v>
          </cell>
          <cell r="C879" t="str">
            <v xml:space="preserve">        Drywall and ceiling tile installers</v>
          </cell>
          <cell r="D879" t="str">
            <v>Line item</v>
          </cell>
          <cell r="E879">
            <v>4.2</v>
          </cell>
        </row>
        <row r="880">
          <cell r="A880" t="str">
            <v>47-2082</v>
          </cell>
          <cell r="C880" t="str">
            <v xml:space="preserve">        Tapers</v>
          </cell>
          <cell r="D880" t="str">
            <v>Line item</v>
          </cell>
          <cell r="E880">
            <v>0.1</v>
          </cell>
        </row>
        <row r="881">
          <cell r="A881" t="str">
            <v>47-2111</v>
          </cell>
          <cell r="C881" t="str">
            <v xml:space="preserve">      Electricians</v>
          </cell>
          <cell r="D881" t="str">
            <v>Line item</v>
          </cell>
          <cell r="E881">
            <v>9.5</v>
          </cell>
        </row>
        <row r="882">
          <cell r="A882" t="str">
            <v>47-2121</v>
          </cell>
          <cell r="C882" t="str">
            <v xml:space="preserve">      Glaziers</v>
          </cell>
          <cell r="D882" t="str">
            <v>Line item</v>
          </cell>
          <cell r="E882">
            <v>3.3</v>
          </cell>
        </row>
        <row r="883">
          <cell r="A883" t="str">
            <v>47-2131</v>
          </cell>
          <cell r="C883" t="str">
            <v xml:space="preserve">        Insulation workers, floor, ceiling, and wall</v>
          </cell>
          <cell r="D883" t="str">
            <v>Line item</v>
          </cell>
          <cell r="E883">
            <v>3.8</v>
          </cell>
        </row>
        <row r="884">
          <cell r="A884" t="str">
            <v>47-2132</v>
          </cell>
          <cell r="C884" t="str">
            <v xml:space="preserve">        Insulation workers, mechanical</v>
          </cell>
          <cell r="D884" t="str">
            <v>Line item</v>
          </cell>
          <cell r="E884">
            <v>4.7</v>
          </cell>
        </row>
        <row r="885">
          <cell r="A885" t="str">
            <v>47-2141</v>
          </cell>
          <cell r="C885" t="str">
            <v xml:space="preserve">        Painters, construction and maintenance</v>
          </cell>
          <cell r="D885" t="str">
            <v>Line item</v>
          </cell>
          <cell r="E885">
            <v>3.8</v>
          </cell>
        </row>
        <row r="886">
          <cell r="A886" t="str">
            <v>47-2142</v>
          </cell>
          <cell r="C886" t="str">
            <v xml:space="preserve">        Paperhangers</v>
          </cell>
          <cell r="D886" t="str">
            <v>Line item</v>
          </cell>
          <cell r="E886">
            <v>5.3</v>
          </cell>
        </row>
        <row r="887">
          <cell r="A887" t="str">
            <v>47-2151</v>
          </cell>
          <cell r="C887" t="str">
            <v xml:space="preserve">        Pipelayers</v>
          </cell>
          <cell r="D887" t="str">
            <v>Line item</v>
          </cell>
          <cell r="E887">
            <v>-4.0999999999999996</v>
          </cell>
        </row>
        <row r="888">
          <cell r="A888" t="str">
            <v>47-2152</v>
          </cell>
          <cell r="C888" t="str">
            <v xml:space="preserve">        Plumbers, pipefitters, and steamfitters</v>
          </cell>
          <cell r="D888" t="str">
            <v>Line item</v>
          </cell>
          <cell r="E888">
            <v>4.5</v>
          </cell>
        </row>
        <row r="889">
          <cell r="A889" t="str">
            <v>47-2161</v>
          </cell>
          <cell r="C889" t="str">
            <v xml:space="preserve">      Plasterers and stucco masons</v>
          </cell>
          <cell r="D889" t="str">
            <v>Line item</v>
          </cell>
          <cell r="E889">
            <v>4.0999999999999996</v>
          </cell>
        </row>
        <row r="890">
          <cell r="A890" t="str">
            <v>47-2171</v>
          </cell>
          <cell r="C890" t="str">
            <v xml:space="preserve">      Reinforcing iron and rebar workers</v>
          </cell>
          <cell r="D890" t="str">
            <v>Line item</v>
          </cell>
          <cell r="E890">
            <v>4.5999999999999996</v>
          </cell>
        </row>
        <row r="891">
          <cell r="A891" t="str">
            <v>47-2181</v>
          </cell>
          <cell r="C891" t="str">
            <v xml:space="preserve">      Roofers</v>
          </cell>
          <cell r="D891" t="str">
            <v>Line item</v>
          </cell>
          <cell r="E891">
            <v>5.9</v>
          </cell>
        </row>
        <row r="892">
          <cell r="A892" t="str">
            <v>47-2211</v>
          </cell>
          <cell r="C892" t="str">
            <v xml:space="preserve">      Sheet metal workers</v>
          </cell>
          <cell r="D892" t="str">
            <v>Line item</v>
          </cell>
          <cell r="E892">
            <v>2.4</v>
          </cell>
        </row>
        <row r="893">
          <cell r="A893" t="str">
            <v>47-2221</v>
          </cell>
          <cell r="C893" t="str">
            <v xml:space="preserve">      Structural iron and steel workers</v>
          </cell>
          <cell r="D893" t="str">
            <v>Line item</v>
          </cell>
          <cell r="E893">
            <v>4.4000000000000004</v>
          </cell>
        </row>
        <row r="894">
          <cell r="A894" t="str">
            <v>47-2231</v>
          </cell>
          <cell r="C894" t="str">
            <v xml:space="preserve">      Solar photovoltaic installers</v>
          </cell>
          <cell r="D894" t="str">
            <v>Line item</v>
          </cell>
          <cell r="E894">
            <v>42.1</v>
          </cell>
        </row>
        <row r="895">
          <cell r="A895" t="str">
            <v>47-3011</v>
          </cell>
          <cell r="C895" t="str">
            <v xml:space="preserve">      Helpers--brickmasons, blockmasons, stonemasons, and tile and marble setters</v>
          </cell>
          <cell r="D895" t="str">
            <v>Line item</v>
          </cell>
          <cell r="E895">
            <v>-10.5</v>
          </cell>
        </row>
        <row r="896">
          <cell r="A896" t="str">
            <v>47-3012</v>
          </cell>
          <cell r="C896" t="str">
            <v xml:space="preserve">      Helpers--carpenters</v>
          </cell>
          <cell r="D896" t="str">
            <v>Line item</v>
          </cell>
          <cell r="E896">
            <v>4.5</v>
          </cell>
        </row>
        <row r="897">
          <cell r="A897" t="str">
            <v>47-3013</v>
          </cell>
          <cell r="C897" t="str">
            <v xml:space="preserve">      Helpers--electricians</v>
          </cell>
          <cell r="D897" t="str">
            <v>Line item</v>
          </cell>
          <cell r="E897">
            <v>0.2</v>
          </cell>
        </row>
        <row r="898">
          <cell r="A898" t="str">
            <v>47-3014</v>
          </cell>
          <cell r="C898" t="str">
            <v xml:space="preserve">      Helpers--painters, paperhangers, plasterers, and stucco masons</v>
          </cell>
          <cell r="D898" t="str">
            <v>Line item</v>
          </cell>
          <cell r="E898">
            <v>2.2999999999999998</v>
          </cell>
        </row>
        <row r="899">
          <cell r="A899" t="str">
            <v>47-3015</v>
          </cell>
          <cell r="C899" t="str">
            <v xml:space="preserve">      Helpers--pipelayers, plumbers, pipefitters, and steamfitters</v>
          </cell>
          <cell r="D899" t="str">
            <v>Line item</v>
          </cell>
          <cell r="E899">
            <v>4.9000000000000004</v>
          </cell>
        </row>
        <row r="900">
          <cell r="A900" t="str">
            <v>47-3016</v>
          </cell>
          <cell r="C900" t="str">
            <v xml:space="preserve">      Helpers--roofers</v>
          </cell>
          <cell r="D900" t="str">
            <v>Line item</v>
          </cell>
          <cell r="E900">
            <v>5.7</v>
          </cell>
        </row>
        <row r="901">
          <cell r="A901" t="str">
            <v>47-4000</v>
          </cell>
          <cell r="C901" t="str">
            <v xml:space="preserve">    Other construction and related workers</v>
          </cell>
          <cell r="D901" t="str">
            <v>Summary</v>
          </cell>
          <cell r="E901">
            <v>2.1</v>
          </cell>
        </row>
        <row r="902">
          <cell r="A902" t="str">
            <v>47-4011</v>
          </cell>
          <cell r="C902" t="str">
            <v xml:space="preserve">      Construction and building inspectors</v>
          </cell>
          <cell r="D902" t="str">
            <v>Line item</v>
          </cell>
          <cell r="E902">
            <v>-0.8</v>
          </cell>
        </row>
        <row r="903">
          <cell r="A903" t="str">
            <v>47-4021</v>
          </cell>
          <cell r="C903" t="str">
            <v xml:space="preserve">      Elevator and escalator installers and repairers</v>
          </cell>
          <cell r="D903" t="str">
            <v>Line item</v>
          </cell>
          <cell r="E903">
            <v>5</v>
          </cell>
        </row>
        <row r="904">
          <cell r="A904" t="str">
            <v>47-4031</v>
          </cell>
          <cell r="C904" t="str">
            <v xml:space="preserve">      Fence erectors</v>
          </cell>
          <cell r="D904" t="str">
            <v>Line item</v>
          </cell>
          <cell r="E904">
            <v>4.5999999999999996</v>
          </cell>
        </row>
        <row r="905">
          <cell r="A905" t="str">
            <v>47-4041</v>
          </cell>
          <cell r="C905" t="str">
            <v xml:space="preserve">      Hazardous materials removal workers</v>
          </cell>
          <cell r="D905" t="str">
            <v>Line item</v>
          </cell>
          <cell r="E905">
            <v>1</v>
          </cell>
        </row>
        <row r="906">
          <cell r="A906" t="str">
            <v>47-4051</v>
          </cell>
          <cell r="C906" t="str">
            <v xml:space="preserve">      Highway maintenance workers</v>
          </cell>
          <cell r="D906" t="str">
            <v>Line item</v>
          </cell>
          <cell r="E906">
            <v>3</v>
          </cell>
        </row>
        <row r="907">
          <cell r="A907" t="str">
            <v>47-4061</v>
          </cell>
          <cell r="C907" t="str">
            <v xml:space="preserve">      Rail-track laying and maintenance equipment operators</v>
          </cell>
          <cell r="D907" t="str">
            <v>Line item</v>
          </cell>
          <cell r="E907">
            <v>1.6</v>
          </cell>
        </row>
        <row r="908">
          <cell r="A908" t="str">
            <v>47-4071</v>
          </cell>
          <cell r="C908" t="str">
            <v xml:space="preserve">      Septic tank servicers and sewer pipe cleaners</v>
          </cell>
          <cell r="D908" t="str">
            <v>Line item</v>
          </cell>
          <cell r="E908">
            <v>7.6</v>
          </cell>
        </row>
        <row r="909">
          <cell r="A909" t="str">
            <v>47-5011</v>
          </cell>
          <cell r="C909" t="str">
            <v xml:space="preserve">        Derrick operators, oil and gas</v>
          </cell>
          <cell r="D909" t="str">
            <v>Line item</v>
          </cell>
          <cell r="E909">
            <v>0.5</v>
          </cell>
        </row>
        <row r="910">
          <cell r="A910" t="str">
            <v>47-5012</v>
          </cell>
          <cell r="C910" t="str">
            <v xml:space="preserve">        Rotary drill operators, oil and gas</v>
          </cell>
          <cell r="D910" t="str">
            <v>Line item</v>
          </cell>
          <cell r="E910">
            <v>0.2</v>
          </cell>
        </row>
        <row r="911">
          <cell r="A911" t="str">
            <v>47-5013</v>
          </cell>
          <cell r="C911" t="str">
            <v xml:space="preserve">        Service unit operators, oil and gas</v>
          </cell>
          <cell r="D911" t="str">
            <v>Line item</v>
          </cell>
          <cell r="E911">
            <v>0.4</v>
          </cell>
        </row>
        <row r="912">
          <cell r="A912" t="str">
            <v>47-5020</v>
          </cell>
          <cell r="C912" t="str">
            <v xml:space="preserve">      Surface mining machine operators and earth drillers</v>
          </cell>
          <cell r="D912" t="str">
            <v>Summary</v>
          </cell>
          <cell r="E912">
            <v>0.7</v>
          </cell>
        </row>
        <row r="913">
          <cell r="A913" t="str">
            <v>47-5022</v>
          </cell>
          <cell r="C913" t="str">
            <v xml:space="preserve">        Excavating and loading machine and dragline operators, surface mining</v>
          </cell>
          <cell r="D913" t="str">
            <v>Line item</v>
          </cell>
          <cell r="E913">
            <v>-0.4</v>
          </cell>
        </row>
        <row r="914">
          <cell r="A914" t="str">
            <v>47-5023</v>
          </cell>
          <cell r="C914" t="str">
            <v xml:space="preserve">        Earth drillers, except oil and gas</v>
          </cell>
          <cell r="D914" t="str">
            <v>Line item</v>
          </cell>
          <cell r="E914">
            <v>2.9</v>
          </cell>
        </row>
        <row r="915">
          <cell r="A915" t="str">
            <v>47-5041</v>
          </cell>
          <cell r="C915" t="str">
            <v xml:space="preserve">        Continuous mining machine operators</v>
          </cell>
          <cell r="D915" t="str">
            <v>Line item</v>
          </cell>
          <cell r="E915">
            <v>0.6</v>
          </cell>
        </row>
        <row r="916">
          <cell r="A916" t="str">
            <v>47-5043</v>
          </cell>
          <cell r="C916" t="str">
            <v xml:space="preserve">        Roof bolters, mining</v>
          </cell>
          <cell r="D916" t="str">
            <v>Line item</v>
          </cell>
          <cell r="E916">
            <v>-34.200000000000003</v>
          </cell>
        </row>
        <row r="917">
          <cell r="A917" t="str">
            <v>47-5044</v>
          </cell>
          <cell r="C917" t="str">
            <v xml:space="preserve">        Loading and moving machine operators, underground mining</v>
          </cell>
          <cell r="D917" t="str">
            <v>Line item</v>
          </cell>
          <cell r="E917">
            <v>-22.3</v>
          </cell>
        </row>
        <row r="918">
          <cell r="A918" t="str">
            <v>47-5051</v>
          </cell>
          <cell r="C918" t="str">
            <v xml:space="preserve">      Rock splitters, quarry</v>
          </cell>
          <cell r="D918" t="str">
            <v>Line item</v>
          </cell>
          <cell r="E918">
            <v>4.4000000000000004</v>
          </cell>
        </row>
        <row r="919">
          <cell r="A919" t="str">
            <v>47-5071</v>
          </cell>
          <cell r="C919" t="str">
            <v xml:space="preserve">      Roustabouts, oil and gas</v>
          </cell>
          <cell r="D919" t="str">
            <v>Line item</v>
          </cell>
          <cell r="E919">
            <v>2.5</v>
          </cell>
        </row>
        <row r="920">
          <cell r="A920" t="str">
            <v>47-5081</v>
          </cell>
          <cell r="C920" t="str">
            <v xml:space="preserve">      Helpers--extraction workers</v>
          </cell>
          <cell r="D920" t="str">
            <v>Line item</v>
          </cell>
          <cell r="E920">
            <v>-1.7</v>
          </cell>
        </row>
        <row r="921">
          <cell r="A921" t="str">
            <v>49-1011</v>
          </cell>
          <cell r="C921" t="str">
            <v xml:space="preserve">      First-line supervisors of mechanics, installers, and repairers</v>
          </cell>
          <cell r="D921" t="str">
            <v>Line item</v>
          </cell>
          <cell r="E921">
            <v>3.1</v>
          </cell>
        </row>
        <row r="922">
          <cell r="A922" t="str">
            <v>49-2011</v>
          </cell>
          <cell r="C922" t="str">
            <v xml:space="preserve">      Computer, automated teller, and office machine repairers</v>
          </cell>
          <cell r="D922" t="str">
            <v>Line item</v>
          </cell>
          <cell r="E922">
            <v>-0.9</v>
          </cell>
        </row>
        <row r="923">
          <cell r="A923" t="str">
            <v>49-2021</v>
          </cell>
          <cell r="C923" t="str">
            <v xml:space="preserve">        Radio, cellular, and tower equipment installers and repairers</v>
          </cell>
          <cell r="D923" t="str">
            <v>Line item</v>
          </cell>
          <cell r="E923">
            <v>8.6</v>
          </cell>
        </row>
        <row r="924">
          <cell r="A924" t="str">
            <v>49-2022</v>
          </cell>
          <cell r="C924" t="str">
            <v xml:space="preserve">        Telecommunications equipment installers and repairers, except line installers</v>
          </cell>
          <cell r="D924" t="str">
            <v>Line item</v>
          </cell>
          <cell r="E924">
            <v>-4.2</v>
          </cell>
        </row>
        <row r="925">
          <cell r="A925" t="str">
            <v>49-2091</v>
          </cell>
          <cell r="C925" t="str">
            <v xml:space="preserve">        Avionics technicians</v>
          </cell>
          <cell r="D925" t="str">
            <v>Line item</v>
          </cell>
          <cell r="E925">
            <v>8.1999999999999993</v>
          </cell>
        </row>
        <row r="926">
          <cell r="A926" t="str">
            <v>49-2092</v>
          </cell>
          <cell r="C926" t="str">
            <v xml:space="preserve">        Electric motor, power tool, and related repairers</v>
          </cell>
          <cell r="D926" t="str">
            <v>Line item</v>
          </cell>
          <cell r="E926">
            <v>3.4</v>
          </cell>
        </row>
        <row r="927">
          <cell r="A927" t="str">
            <v>49-2093</v>
          </cell>
          <cell r="C927" t="str">
            <v xml:space="preserve">        Electrical and electronics installers and repairers, transportation equipment</v>
          </cell>
          <cell r="D927" t="str">
            <v>Line item</v>
          </cell>
          <cell r="E927">
            <v>6.1</v>
          </cell>
        </row>
        <row r="928">
          <cell r="A928" t="str">
            <v>49-2094</v>
          </cell>
          <cell r="C928" t="str">
            <v xml:space="preserve">        Electrical and electronics repairers, commercial and industrial equipment</v>
          </cell>
          <cell r="D928" t="str">
            <v>Line item</v>
          </cell>
          <cell r="E928">
            <v>-0.8</v>
          </cell>
        </row>
        <row r="929">
          <cell r="A929" t="str">
            <v>49-2095</v>
          </cell>
          <cell r="C929" t="str">
            <v xml:space="preserve">        Electrical and electronics repairers, powerhouse, substation, and relay</v>
          </cell>
          <cell r="D929" t="str">
            <v>Line item</v>
          </cell>
          <cell r="E929">
            <v>5.5</v>
          </cell>
        </row>
        <row r="930">
          <cell r="A930" t="str">
            <v>49-2096</v>
          </cell>
          <cell r="C930" t="str">
            <v xml:space="preserve">        Electronic equipment installers and repairers, motor vehicles</v>
          </cell>
          <cell r="D930" t="str">
            <v>Line item</v>
          </cell>
          <cell r="E930">
            <v>-13.6</v>
          </cell>
        </row>
        <row r="931">
          <cell r="A931" t="str">
            <v>49-2097</v>
          </cell>
          <cell r="C931" t="str">
            <v xml:space="preserve">        Audiovisual equipment installers and repairers</v>
          </cell>
          <cell r="D931" t="str">
            <v>Line item</v>
          </cell>
          <cell r="E931">
            <v>6.6</v>
          </cell>
        </row>
        <row r="932">
          <cell r="A932" t="str">
            <v>49-2098</v>
          </cell>
          <cell r="C932" t="str">
            <v xml:space="preserve">        Security and fire alarm systems installers</v>
          </cell>
          <cell r="D932" t="str">
            <v>Line item</v>
          </cell>
          <cell r="E932">
            <v>10.4</v>
          </cell>
        </row>
        <row r="933">
          <cell r="A933" t="str">
            <v>49-3011</v>
          </cell>
          <cell r="C933" t="str">
            <v xml:space="preserve">      Aircraft mechanics and service technicians</v>
          </cell>
          <cell r="D933" t="str">
            <v>Line item</v>
          </cell>
          <cell r="E933">
            <v>4</v>
          </cell>
        </row>
        <row r="934">
          <cell r="A934" t="str">
            <v>49-3021</v>
          </cell>
          <cell r="C934" t="str">
            <v xml:space="preserve">        Automotive body and related repairers</v>
          </cell>
          <cell r="D934" t="str">
            <v>Line item</v>
          </cell>
          <cell r="E934">
            <v>1.6</v>
          </cell>
        </row>
        <row r="935">
          <cell r="A935" t="str">
            <v>49-3022</v>
          </cell>
          <cell r="C935" t="str">
            <v xml:space="preserve">        Automotive glass installers and repairers</v>
          </cell>
          <cell r="D935" t="str">
            <v>Line item</v>
          </cell>
          <cell r="E935">
            <v>3.6</v>
          </cell>
        </row>
        <row r="936">
          <cell r="A936" t="str">
            <v>49-3023</v>
          </cell>
          <cell r="C936" t="str">
            <v xml:space="preserve">        Automotive service technicians and mechanics</v>
          </cell>
          <cell r="D936" t="str">
            <v>Line item</v>
          </cell>
          <cell r="E936">
            <v>4.2</v>
          </cell>
        </row>
        <row r="937">
          <cell r="A937" t="str">
            <v>49-3031</v>
          </cell>
          <cell r="C937" t="str">
            <v xml:space="preserve">      Bus and truck mechanics and diesel engine specialists</v>
          </cell>
          <cell r="D937" t="str">
            <v>Line item</v>
          </cell>
          <cell r="E937">
            <v>2.4</v>
          </cell>
        </row>
        <row r="938">
          <cell r="A938" t="str">
            <v>49-3041</v>
          </cell>
          <cell r="C938" t="str">
            <v xml:space="preserve">        Farm equipment mechanics and service technicians</v>
          </cell>
          <cell r="D938" t="str">
            <v>Line item</v>
          </cell>
          <cell r="E938">
            <v>11</v>
          </cell>
        </row>
        <row r="939">
          <cell r="A939" t="str">
            <v>49-3042</v>
          </cell>
          <cell r="C939" t="str">
            <v xml:space="preserve">        Mobile heavy equipment mechanics, except engines</v>
          </cell>
          <cell r="D939" t="str">
            <v>Line item</v>
          </cell>
          <cell r="E939">
            <v>5.8</v>
          </cell>
        </row>
        <row r="940">
          <cell r="A940" t="str">
            <v>49-3043</v>
          </cell>
          <cell r="C940" t="str">
            <v xml:space="preserve">        Rail car repairers</v>
          </cell>
          <cell r="D940" t="str">
            <v>Line item</v>
          </cell>
          <cell r="E940">
            <v>2.8</v>
          </cell>
        </row>
        <row r="941">
          <cell r="A941" t="str">
            <v>49-3051</v>
          </cell>
          <cell r="C941" t="str">
            <v xml:space="preserve">        Motorboat mechanics and service technicians</v>
          </cell>
          <cell r="D941" t="str">
            <v>Line item</v>
          </cell>
          <cell r="E941">
            <v>6</v>
          </cell>
        </row>
        <row r="942">
          <cell r="A942" t="str">
            <v>49-3052</v>
          </cell>
          <cell r="C942" t="str">
            <v xml:space="preserve">        Motorcycle mechanics</v>
          </cell>
          <cell r="D942" t="str">
            <v>Line item</v>
          </cell>
          <cell r="E942">
            <v>5.3</v>
          </cell>
        </row>
        <row r="943">
          <cell r="A943" t="str">
            <v>49-3053</v>
          </cell>
          <cell r="C943" t="str">
            <v xml:space="preserve">        Outdoor power equipment and other small engine mechanics</v>
          </cell>
          <cell r="D943" t="str">
            <v>Line item</v>
          </cell>
          <cell r="E943">
            <v>2.5</v>
          </cell>
        </row>
        <row r="944">
          <cell r="A944" t="str">
            <v>49-3091</v>
          </cell>
          <cell r="C944" t="str">
            <v xml:space="preserve">        Bicycle repairers</v>
          </cell>
          <cell r="D944" t="str">
            <v>Line item</v>
          </cell>
          <cell r="E944">
            <v>-2.2999999999999998</v>
          </cell>
        </row>
        <row r="945">
          <cell r="A945" t="str">
            <v>49-3092</v>
          </cell>
          <cell r="C945" t="str">
            <v xml:space="preserve">        Recreational vehicle service technicians</v>
          </cell>
          <cell r="D945" t="str">
            <v>Line item</v>
          </cell>
          <cell r="E945">
            <v>11.5</v>
          </cell>
        </row>
        <row r="946">
          <cell r="A946" t="str">
            <v>49-3093</v>
          </cell>
          <cell r="C946" t="str">
            <v xml:space="preserve">        Tire repairers and changers</v>
          </cell>
          <cell r="D946" t="str">
            <v>Line item</v>
          </cell>
          <cell r="E946">
            <v>5.7</v>
          </cell>
        </row>
        <row r="947">
          <cell r="A947" t="str">
            <v>49-9011</v>
          </cell>
          <cell r="C947" t="str">
            <v xml:space="preserve">        Mechanical door repairers</v>
          </cell>
          <cell r="D947" t="str">
            <v>Line item</v>
          </cell>
          <cell r="E947">
            <v>11.4</v>
          </cell>
        </row>
        <row r="948">
          <cell r="A948" t="str">
            <v>49-9012</v>
          </cell>
          <cell r="C948" t="str">
            <v xml:space="preserve">        Control and valve installers and repairers, except mechanical door</v>
          </cell>
          <cell r="D948" t="str">
            <v>Line item</v>
          </cell>
          <cell r="E948">
            <v>1.3</v>
          </cell>
        </row>
        <row r="949">
          <cell r="A949" t="str">
            <v>49-9021</v>
          </cell>
          <cell r="C949" t="str">
            <v xml:space="preserve">      Heating, air conditioning, and refrigeration mechanics and installers</v>
          </cell>
          <cell r="D949" t="str">
            <v>Line item</v>
          </cell>
          <cell r="E949">
            <v>8.1</v>
          </cell>
        </row>
        <row r="950">
          <cell r="A950" t="str">
            <v>49-9031</v>
          </cell>
          <cell r="C950" t="str">
            <v xml:space="preserve">      Home appliance repairers</v>
          </cell>
          <cell r="D950" t="str">
            <v>Line item</v>
          </cell>
          <cell r="E950">
            <v>2.6</v>
          </cell>
        </row>
        <row r="951">
          <cell r="A951" t="str">
            <v>49-9041</v>
          </cell>
          <cell r="C951" t="str">
            <v xml:space="preserve">        Industrial machinery mechanics</v>
          </cell>
          <cell r="D951" t="str">
            <v>Line item</v>
          </cell>
          <cell r="E951">
            <v>16.100000000000001</v>
          </cell>
        </row>
        <row r="952">
          <cell r="A952" t="str">
            <v>49-9043</v>
          </cell>
          <cell r="C952" t="str">
            <v xml:space="preserve">        Maintenance workers, machinery</v>
          </cell>
          <cell r="D952" t="str">
            <v>Line item</v>
          </cell>
          <cell r="E952">
            <v>-2.8</v>
          </cell>
        </row>
        <row r="953">
          <cell r="A953" t="str">
            <v>49-9044</v>
          </cell>
          <cell r="C953" t="str">
            <v xml:space="preserve">        Millwrights</v>
          </cell>
          <cell r="D953" t="str">
            <v>Line item</v>
          </cell>
          <cell r="E953">
            <v>0</v>
          </cell>
        </row>
        <row r="954">
          <cell r="A954" t="str">
            <v>49-9045</v>
          </cell>
          <cell r="C954" t="str">
            <v xml:space="preserve">        Refractory materials repairers, except brickmasons</v>
          </cell>
          <cell r="D954" t="str">
            <v>Line item</v>
          </cell>
          <cell r="E954">
            <v>-16.899999999999999</v>
          </cell>
        </row>
        <row r="955">
          <cell r="A955" t="str">
            <v>49-9051</v>
          </cell>
          <cell r="C955" t="str">
            <v xml:space="preserve">        Electrical power-line installers and repairers</v>
          </cell>
          <cell r="D955" t="str">
            <v>Line item</v>
          </cell>
          <cell r="E955">
            <v>6.6</v>
          </cell>
        </row>
        <row r="956">
          <cell r="A956" t="str">
            <v>49-9052</v>
          </cell>
          <cell r="C956" t="str">
            <v xml:space="preserve">        Telecommunications line installers and repairers</v>
          </cell>
          <cell r="D956" t="str">
            <v>Line item</v>
          </cell>
          <cell r="E956">
            <v>-3.1</v>
          </cell>
        </row>
        <row r="957">
          <cell r="A957" t="str">
            <v>49-9061</v>
          </cell>
          <cell r="C957" t="str">
            <v xml:space="preserve">        Camera and photographic equipment repairers</v>
          </cell>
          <cell r="D957" t="str">
            <v>Line item</v>
          </cell>
          <cell r="E957">
            <v>-15.1</v>
          </cell>
        </row>
        <row r="958">
          <cell r="A958" t="str">
            <v>49-9062</v>
          </cell>
          <cell r="C958" t="str">
            <v xml:space="preserve">        Medical equipment repairers</v>
          </cell>
          <cell r="D958" t="str">
            <v>Line item</v>
          </cell>
          <cell r="E958">
            <v>12.9</v>
          </cell>
        </row>
        <row r="959">
          <cell r="A959" t="str">
            <v>49-9063</v>
          </cell>
          <cell r="C959" t="str">
            <v xml:space="preserve">        Musical instrument repairers and tuners</v>
          </cell>
          <cell r="D959" t="str">
            <v>Line item</v>
          </cell>
          <cell r="E959">
            <v>1.4</v>
          </cell>
        </row>
        <row r="960">
          <cell r="A960" t="str">
            <v>49-9064</v>
          </cell>
          <cell r="C960" t="str">
            <v xml:space="preserve">        Watch and clock repairers</v>
          </cell>
          <cell r="D960" t="str">
            <v>Line item</v>
          </cell>
          <cell r="E960">
            <v>-1.1000000000000001</v>
          </cell>
        </row>
        <row r="961">
          <cell r="A961" t="str">
            <v>49-9071</v>
          </cell>
          <cell r="C961" t="str">
            <v xml:space="preserve">      Maintenance and repair workers, general</v>
          </cell>
          <cell r="D961" t="str">
            <v>Line item</v>
          </cell>
          <cell r="E961">
            <v>3.8</v>
          </cell>
        </row>
        <row r="962">
          <cell r="A962" t="str">
            <v>49-9081</v>
          </cell>
          <cell r="C962" t="str">
            <v xml:space="preserve">      Wind turbine service technicians</v>
          </cell>
          <cell r="D962" t="str">
            <v>Line item</v>
          </cell>
          <cell r="E962">
            <v>49.9</v>
          </cell>
        </row>
        <row r="963">
          <cell r="A963" t="str">
            <v>49-9091</v>
          </cell>
          <cell r="C963" t="str">
            <v xml:space="preserve">        Coin, vending, and amusement machine servicers and repairers</v>
          </cell>
          <cell r="D963" t="str">
            <v>Line item</v>
          </cell>
          <cell r="E963">
            <v>-2.9</v>
          </cell>
        </row>
        <row r="964">
          <cell r="A964" t="str">
            <v>49-9092</v>
          </cell>
          <cell r="C964" t="str">
            <v xml:space="preserve">        Commercial divers</v>
          </cell>
          <cell r="D964" t="str">
            <v>Line item</v>
          </cell>
          <cell r="E964">
            <v>8.5</v>
          </cell>
        </row>
        <row r="965">
          <cell r="A965" t="str">
            <v>49-9094</v>
          </cell>
          <cell r="C965" t="str">
            <v xml:space="preserve">        Locksmiths and safe repairers</v>
          </cell>
          <cell r="D965" t="str">
            <v>Line item</v>
          </cell>
          <cell r="E965">
            <v>-8.3000000000000007</v>
          </cell>
        </row>
        <row r="966">
          <cell r="A966" t="str">
            <v>49-9095</v>
          </cell>
          <cell r="C966" t="str">
            <v xml:space="preserve">        Manufactured building and mobile home installers</v>
          </cell>
          <cell r="D966" t="str">
            <v>Line item</v>
          </cell>
          <cell r="E966">
            <v>5.9</v>
          </cell>
        </row>
        <row r="967">
          <cell r="A967" t="str">
            <v>49-9096</v>
          </cell>
          <cell r="C967" t="str">
            <v xml:space="preserve">        Riggers</v>
          </cell>
          <cell r="D967" t="str">
            <v>Line item</v>
          </cell>
          <cell r="E967">
            <v>3.2</v>
          </cell>
        </row>
        <row r="968">
          <cell r="A968" t="str">
            <v>49-9097</v>
          </cell>
          <cell r="C968" t="str">
            <v xml:space="preserve">        Signal and track switch repairers</v>
          </cell>
          <cell r="D968" t="str">
            <v>Line item</v>
          </cell>
          <cell r="E968">
            <v>1.7</v>
          </cell>
        </row>
        <row r="969">
          <cell r="A969" t="str">
            <v>49-9098</v>
          </cell>
          <cell r="C969" t="str">
            <v xml:space="preserve">        Helpers--installation, maintenance, and repair workers</v>
          </cell>
          <cell r="D969" t="str">
            <v>Line item</v>
          </cell>
          <cell r="E969">
            <v>2.2999999999999998</v>
          </cell>
        </row>
        <row r="970">
          <cell r="A970" t="str">
            <v>49-9099</v>
          </cell>
          <cell r="C970" t="str">
            <v xml:space="preserve">        Installation, maintenance, and repair workers, all other</v>
          </cell>
          <cell r="D970" t="str">
            <v>Line item</v>
          </cell>
          <cell r="E970">
            <v>2.4</v>
          </cell>
        </row>
        <row r="971">
          <cell r="A971" t="str">
            <v>51-1011</v>
          </cell>
          <cell r="C971" t="str">
            <v xml:space="preserve">      First-line supervisors of production and operating workers</v>
          </cell>
          <cell r="D971" t="str">
            <v>Line item</v>
          </cell>
          <cell r="E971">
            <v>1.2</v>
          </cell>
        </row>
        <row r="972">
          <cell r="A972" t="str">
            <v>51-2011</v>
          </cell>
          <cell r="C972" t="str">
            <v xml:space="preserve">      Aircraft structure, surfaces, rigging, and systems assemblers</v>
          </cell>
          <cell r="D972" t="str">
            <v>Line item</v>
          </cell>
          <cell r="E972">
            <v>-14.5</v>
          </cell>
        </row>
        <row r="973">
          <cell r="A973" t="str">
            <v>51-2020</v>
          </cell>
          <cell r="C973" t="str">
            <v xml:space="preserve">      Electrical, electronics, and electromechanical assemblers</v>
          </cell>
          <cell r="D973" t="str">
            <v>Summary</v>
          </cell>
          <cell r="E973">
            <v>4.0999999999999996</v>
          </cell>
        </row>
        <row r="974">
          <cell r="A974" t="str">
            <v>51-2021</v>
          </cell>
          <cell r="C974" t="str">
            <v xml:space="preserve">        Coil winders, tapers, and finishers</v>
          </cell>
          <cell r="D974" t="str">
            <v>Line item</v>
          </cell>
          <cell r="E974">
            <v>-6.3</v>
          </cell>
        </row>
        <row r="975">
          <cell r="A975" t="str">
            <v>51-2031</v>
          </cell>
          <cell r="C975" t="str">
            <v xml:space="preserve">      Engine and other machine assemblers</v>
          </cell>
          <cell r="D975" t="str">
            <v>Line item</v>
          </cell>
          <cell r="E975">
            <v>-21.1</v>
          </cell>
        </row>
        <row r="976">
          <cell r="A976" t="str">
            <v>51-2041</v>
          </cell>
          <cell r="C976" t="str">
            <v xml:space="preserve">      Structural metal fabricators and fitters</v>
          </cell>
          <cell r="D976" t="str">
            <v>Line item</v>
          </cell>
          <cell r="E976">
            <v>-16.3</v>
          </cell>
        </row>
        <row r="977">
          <cell r="A977" t="str">
            <v>51-2090</v>
          </cell>
          <cell r="C977" t="str">
            <v xml:space="preserve">      Miscellaneous assemblers and fabricators</v>
          </cell>
          <cell r="D977" t="str">
            <v>Line item</v>
          </cell>
          <cell r="E977">
            <v>-0.1</v>
          </cell>
        </row>
        <row r="978">
          <cell r="A978" t="str">
            <v>51-3011</v>
          </cell>
          <cell r="C978" t="str">
            <v xml:space="preserve">      Bakers</v>
          </cell>
          <cell r="D978" t="str">
            <v>Line item</v>
          </cell>
          <cell r="E978">
            <v>5.6</v>
          </cell>
        </row>
        <row r="979">
          <cell r="A979" t="str">
            <v>51-3021</v>
          </cell>
          <cell r="C979" t="str">
            <v xml:space="preserve">        Butchers and meat cutters</v>
          </cell>
          <cell r="D979" t="str">
            <v>Line item</v>
          </cell>
          <cell r="E979">
            <v>1</v>
          </cell>
        </row>
        <row r="980">
          <cell r="A980" t="str">
            <v>51-3022</v>
          </cell>
          <cell r="C980" t="str">
            <v xml:space="preserve">        Meat, poultry, and fish cutters and trimmers</v>
          </cell>
          <cell r="D980" t="str">
            <v>Line item</v>
          </cell>
          <cell r="E980">
            <v>5.5</v>
          </cell>
        </row>
        <row r="981">
          <cell r="A981" t="str">
            <v>51-3023</v>
          </cell>
          <cell r="C981" t="str">
            <v xml:space="preserve">        Slaughterers and meat packers</v>
          </cell>
          <cell r="D981" t="str">
            <v>Line item</v>
          </cell>
          <cell r="E981">
            <v>2.2000000000000002</v>
          </cell>
        </row>
        <row r="982">
          <cell r="A982" t="str">
            <v>51-3091</v>
          </cell>
          <cell r="C982" t="str">
            <v xml:space="preserve">        Food and tobacco roasting, baking, and drying machine operators and tenders</v>
          </cell>
          <cell r="D982" t="str">
            <v>Line item</v>
          </cell>
          <cell r="E982">
            <v>0.6</v>
          </cell>
        </row>
        <row r="983">
          <cell r="A983" t="str">
            <v>51-3092</v>
          </cell>
          <cell r="C983" t="str">
            <v xml:space="preserve">        Food batchmakers</v>
          </cell>
          <cell r="D983" t="str">
            <v>Line item</v>
          </cell>
          <cell r="E983">
            <v>6.9</v>
          </cell>
        </row>
        <row r="984">
          <cell r="A984" t="str">
            <v>51-3093</v>
          </cell>
          <cell r="C984" t="str">
            <v xml:space="preserve">        Food cooking machine operators and tenders</v>
          </cell>
          <cell r="D984" t="str">
            <v>Line item</v>
          </cell>
          <cell r="E984">
            <v>0.6</v>
          </cell>
        </row>
        <row r="985">
          <cell r="A985" t="str">
            <v>51-4021</v>
          </cell>
          <cell r="C985" t="str">
            <v xml:space="preserve">        Extruding and drawing machine setters, operators, and tenders, metal and plastic</v>
          </cell>
          <cell r="D985" t="str">
            <v>Line item</v>
          </cell>
          <cell r="E985">
            <v>1.2</v>
          </cell>
        </row>
        <row r="986">
          <cell r="A986" t="str">
            <v>51-4022</v>
          </cell>
          <cell r="C986" t="str">
            <v xml:space="preserve">        Forging machine setters, operators, and tenders, metal and plastic</v>
          </cell>
          <cell r="D986" t="str">
            <v>Line item</v>
          </cell>
          <cell r="E986">
            <v>-18.899999999999999</v>
          </cell>
        </row>
        <row r="987">
          <cell r="A987" t="str">
            <v>51-4023</v>
          </cell>
          <cell r="C987" t="str">
            <v xml:space="preserve">        Rolling machine setters, operators, and tenders, metal and plastic</v>
          </cell>
          <cell r="D987" t="str">
            <v>Line item</v>
          </cell>
          <cell r="E987">
            <v>-8.3000000000000007</v>
          </cell>
        </row>
        <row r="988">
          <cell r="A988" t="str">
            <v>51-4030</v>
          </cell>
          <cell r="C988" t="str">
            <v xml:space="preserve">      Machine tool cutting setters, operators, and tenders, metal and plastic</v>
          </cell>
          <cell r="D988" t="str">
            <v>Summary</v>
          </cell>
          <cell r="E988">
            <v>-12.4</v>
          </cell>
        </row>
        <row r="989">
          <cell r="A989" t="str">
            <v>51-4031</v>
          </cell>
          <cell r="C989" t="str">
            <v xml:space="preserve">        Cutting, punching, and press machine setters, operators, and tenders, metal and plastic</v>
          </cell>
          <cell r="D989" t="str">
            <v>Line item</v>
          </cell>
          <cell r="E989">
            <v>-12.1</v>
          </cell>
        </row>
        <row r="990">
          <cell r="A990" t="str">
            <v>51-4032</v>
          </cell>
          <cell r="C990" t="str">
            <v xml:space="preserve">        Drilling and boring machine tool setters, operators, and tenders, metal and plastic</v>
          </cell>
          <cell r="D990" t="str">
            <v>Line item</v>
          </cell>
          <cell r="E990">
            <v>-19.600000000000001</v>
          </cell>
        </row>
        <row r="991">
          <cell r="A991" t="str">
            <v>51-4033</v>
          </cell>
          <cell r="C991" t="str">
            <v xml:space="preserve">        Grinding, lapping, polishing, and buffing machine tool setters, operators, and tenders, metal and plastic</v>
          </cell>
          <cell r="D991" t="str">
            <v>Line item</v>
          </cell>
          <cell r="E991">
            <v>-12</v>
          </cell>
        </row>
        <row r="992">
          <cell r="A992" t="str">
            <v>51-4034</v>
          </cell>
          <cell r="C992" t="str">
            <v xml:space="preserve">        Lathe and turning machine tool setters, operators, and tenders, metal and plastic</v>
          </cell>
          <cell r="D992" t="str">
            <v>Line item</v>
          </cell>
          <cell r="E992">
            <v>-13.6</v>
          </cell>
        </row>
        <row r="993">
          <cell r="A993" t="str">
            <v>51-4035</v>
          </cell>
          <cell r="C993" t="str">
            <v xml:space="preserve">        Milling and planing machine setters, operators, and tenders, metal and plastic</v>
          </cell>
          <cell r="D993" t="str">
            <v>Line item</v>
          </cell>
          <cell r="E993">
            <v>-14.4</v>
          </cell>
        </row>
        <row r="994">
          <cell r="A994" t="str">
            <v>51-4041</v>
          </cell>
          <cell r="C994" t="str">
            <v xml:space="preserve">      Machinists</v>
          </cell>
          <cell r="D994" t="str">
            <v>Line item</v>
          </cell>
          <cell r="E994">
            <v>0</v>
          </cell>
        </row>
        <row r="995">
          <cell r="A995" t="str">
            <v>51-4051</v>
          </cell>
          <cell r="C995" t="str">
            <v xml:space="preserve">        Metal-refining furnace operators and tenders</v>
          </cell>
          <cell r="D995" t="str">
            <v>Line item</v>
          </cell>
          <cell r="E995">
            <v>-2.2999999999999998</v>
          </cell>
        </row>
        <row r="996">
          <cell r="A996" t="str">
            <v>51-4052</v>
          </cell>
          <cell r="C996" t="str">
            <v xml:space="preserve">        Pourers and casters, metal</v>
          </cell>
          <cell r="D996" t="str">
            <v>Line item</v>
          </cell>
          <cell r="E996">
            <v>-4.7</v>
          </cell>
        </row>
        <row r="997">
          <cell r="A997" t="str">
            <v>51-4061</v>
          </cell>
          <cell r="C997" t="str">
            <v xml:space="preserve">        Model makers, metal and plastic</v>
          </cell>
          <cell r="D997" t="str">
            <v>Line item</v>
          </cell>
          <cell r="E997">
            <v>-18.2</v>
          </cell>
        </row>
        <row r="998">
          <cell r="A998" t="str">
            <v>51-4062</v>
          </cell>
          <cell r="C998" t="str">
            <v xml:space="preserve">        Patternmakers, metal and plastic</v>
          </cell>
          <cell r="D998" t="str">
            <v>Line item</v>
          </cell>
          <cell r="E998">
            <v>-24.4</v>
          </cell>
        </row>
        <row r="999">
          <cell r="A999" t="str">
            <v>51-4071</v>
          </cell>
          <cell r="C999" t="str">
            <v xml:space="preserve">        Foundry mold and coremakers</v>
          </cell>
          <cell r="D999" t="str">
            <v>Line item</v>
          </cell>
          <cell r="E999">
            <v>-25.9</v>
          </cell>
        </row>
        <row r="1000">
          <cell r="A1000" t="str">
            <v>51-4072</v>
          </cell>
          <cell r="C1000" t="str">
            <v xml:space="preserve">        Molding, coremaking, and casting machine setters, operators, and tenders, metal and plastic</v>
          </cell>
          <cell r="D1000" t="str">
            <v>Line item</v>
          </cell>
          <cell r="E1000">
            <v>-3.8</v>
          </cell>
        </row>
        <row r="1001">
          <cell r="A1001" t="str">
            <v>51-4081</v>
          </cell>
          <cell r="C1001" t="str">
            <v xml:space="preserve">      Multiple machine tool setters, operators, and tenders, metal and plastic</v>
          </cell>
          <cell r="D1001" t="str">
            <v>Line item</v>
          </cell>
          <cell r="E1001">
            <v>-0.5</v>
          </cell>
        </row>
        <row r="1002">
          <cell r="A1002" t="str">
            <v>51-4111</v>
          </cell>
          <cell r="C1002" t="str">
            <v xml:space="preserve">      Tool and die makers</v>
          </cell>
          <cell r="D1002" t="str">
            <v>Line item</v>
          </cell>
          <cell r="E1002">
            <v>-10.8</v>
          </cell>
        </row>
        <row r="1003">
          <cell r="A1003" t="str">
            <v>51-4121</v>
          </cell>
          <cell r="C1003" t="str">
            <v xml:space="preserve">        Welders, cutters, solderers, and brazers</v>
          </cell>
          <cell r="D1003" t="str">
            <v>Line item</v>
          </cell>
          <cell r="E1003">
            <v>2.2000000000000002</v>
          </cell>
        </row>
        <row r="1004">
          <cell r="A1004" t="str">
            <v>51-4122</v>
          </cell>
          <cell r="C1004" t="str">
            <v xml:space="preserve">        Welding, soldering, and brazing machine setters, operators, and tenders</v>
          </cell>
          <cell r="D1004" t="str">
            <v>Line item</v>
          </cell>
          <cell r="E1004">
            <v>-9</v>
          </cell>
        </row>
        <row r="1005">
          <cell r="A1005" t="str">
            <v>51-4191</v>
          </cell>
          <cell r="C1005" t="str">
            <v xml:space="preserve">        Heat treating equipment setters, operators, and tenders, metal and plastic</v>
          </cell>
          <cell r="D1005" t="str">
            <v>Line item</v>
          </cell>
          <cell r="E1005">
            <v>-12.8</v>
          </cell>
        </row>
        <row r="1006">
          <cell r="A1006" t="str">
            <v>51-4192</v>
          </cell>
          <cell r="C1006" t="str">
            <v xml:space="preserve">        Layout workers, metal and plastic</v>
          </cell>
          <cell r="D1006" t="str">
            <v>Line item</v>
          </cell>
          <cell r="E1006">
            <v>-5.4</v>
          </cell>
        </row>
        <row r="1007">
          <cell r="A1007" t="str">
            <v>51-4193</v>
          </cell>
          <cell r="C1007" t="str">
            <v xml:space="preserve">        Plating machine setters, operators, and tenders, metal and plastic</v>
          </cell>
          <cell r="D1007" t="str">
            <v>Line item</v>
          </cell>
          <cell r="E1007">
            <v>-13.6</v>
          </cell>
        </row>
        <row r="1008">
          <cell r="A1008" t="str">
            <v>51-4194</v>
          </cell>
          <cell r="C1008" t="str">
            <v xml:space="preserve">        Tool grinders, filers, and sharpeners</v>
          </cell>
          <cell r="D1008" t="str">
            <v>Line item</v>
          </cell>
          <cell r="E1008">
            <v>-7.8</v>
          </cell>
        </row>
        <row r="1009">
          <cell r="A1009" t="str">
            <v>51-5111</v>
          </cell>
          <cell r="C1009" t="str">
            <v xml:space="preserve">      Prepress technicians and workers</v>
          </cell>
          <cell r="D1009" t="str">
            <v>Line item</v>
          </cell>
          <cell r="E1009">
            <v>-14.6</v>
          </cell>
        </row>
        <row r="1010">
          <cell r="A1010" t="str">
            <v>51-5112</v>
          </cell>
          <cell r="C1010" t="str">
            <v xml:space="preserve">      Printing press operators</v>
          </cell>
          <cell r="D1010" t="str">
            <v>Line item</v>
          </cell>
          <cell r="E1010">
            <v>-8.1</v>
          </cell>
        </row>
        <row r="1011">
          <cell r="A1011" t="str">
            <v>51-5113</v>
          </cell>
          <cell r="C1011" t="str">
            <v xml:space="preserve">      Print binding and finishing workers</v>
          </cell>
          <cell r="D1011" t="str">
            <v>Line item</v>
          </cell>
          <cell r="E1011">
            <v>-16.100000000000001</v>
          </cell>
        </row>
        <row r="1012">
          <cell r="A1012" t="str">
            <v>51-6011</v>
          </cell>
          <cell r="C1012" t="str">
            <v xml:space="preserve">      Laundry and dry-cleaning workers</v>
          </cell>
          <cell r="D1012" t="str">
            <v>Line item</v>
          </cell>
          <cell r="E1012">
            <v>5.4</v>
          </cell>
        </row>
        <row r="1013">
          <cell r="A1013" t="str">
            <v>51-6021</v>
          </cell>
          <cell r="C1013" t="str">
            <v xml:space="preserve">      Pressers, textile, garment, and related materials</v>
          </cell>
          <cell r="D1013" t="str">
            <v>Line item</v>
          </cell>
          <cell r="E1013">
            <v>-13.5</v>
          </cell>
        </row>
        <row r="1014">
          <cell r="A1014" t="str">
            <v>51-6031</v>
          </cell>
          <cell r="C1014" t="str">
            <v xml:space="preserve">      Sewing machine operators</v>
          </cell>
          <cell r="D1014" t="str">
            <v>Line item</v>
          </cell>
          <cell r="E1014">
            <v>-10.8</v>
          </cell>
        </row>
        <row r="1015">
          <cell r="A1015" t="str">
            <v>51-6041</v>
          </cell>
          <cell r="C1015" t="str">
            <v xml:space="preserve">        Shoe and leather workers and repairers</v>
          </cell>
          <cell r="D1015" t="str">
            <v>Line item</v>
          </cell>
          <cell r="E1015">
            <v>-3.8</v>
          </cell>
        </row>
        <row r="1016">
          <cell r="A1016" t="str">
            <v>51-6042</v>
          </cell>
          <cell r="C1016" t="str">
            <v xml:space="preserve">        Shoe machine operators and tenders</v>
          </cell>
          <cell r="D1016" t="str">
            <v>Line item</v>
          </cell>
          <cell r="E1016">
            <v>-3.7</v>
          </cell>
        </row>
        <row r="1017">
          <cell r="A1017" t="str">
            <v>51-6051</v>
          </cell>
          <cell r="C1017" t="str">
            <v xml:space="preserve">        Sewers, hand</v>
          </cell>
          <cell r="D1017" t="str">
            <v>Line item</v>
          </cell>
          <cell r="E1017">
            <v>-7</v>
          </cell>
        </row>
        <row r="1018">
          <cell r="A1018" t="str">
            <v>51-6052</v>
          </cell>
          <cell r="C1018" t="str">
            <v xml:space="preserve">        Tailors, dressmakers, and custom sewers</v>
          </cell>
          <cell r="D1018" t="str">
            <v>Line item</v>
          </cell>
          <cell r="E1018">
            <v>-4.5</v>
          </cell>
        </row>
        <row r="1019">
          <cell r="A1019" t="str">
            <v>51-6061</v>
          </cell>
          <cell r="C1019" t="str">
            <v xml:space="preserve">        Textile bleaching and dyeing machine operators and tenders</v>
          </cell>
          <cell r="D1019" t="str">
            <v>Line item</v>
          </cell>
          <cell r="E1019">
            <v>-10.1</v>
          </cell>
        </row>
        <row r="1020">
          <cell r="A1020" t="str">
            <v>51-6062</v>
          </cell>
          <cell r="C1020" t="str">
            <v xml:space="preserve">        Textile cutting machine setters, operators, and tenders</v>
          </cell>
          <cell r="D1020" t="str">
            <v>Line item</v>
          </cell>
          <cell r="E1020">
            <v>-11.7</v>
          </cell>
        </row>
        <row r="1021">
          <cell r="A1021" t="str">
            <v>51-6063</v>
          </cell>
          <cell r="C1021" t="str">
            <v xml:space="preserve">        Textile knitting and weaving machine setters, operators, and tenders</v>
          </cell>
          <cell r="D1021" t="str">
            <v>Line item</v>
          </cell>
          <cell r="E1021">
            <v>-11.2</v>
          </cell>
        </row>
        <row r="1022">
          <cell r="A1022" t="str">
            <v>51-6064</v>
          </cell>
          <cell r="C1022" t="str">
            <v xml:space="preserve">        Textile winding, twisting, and drawing out machine setters, operators, and tenders</v>
          </cell>
          <cell r="D1022" t="str">
            <v>Line item</v>
          </cell>
          <cell r="E1022">
            <v>-9</v>
          </cell>
        </row>
        <row r="1023">
          <cell r="A1023" t="str">
            <v>51-6091</v>
          </cell>
          <cell r="C1023" t="str">
            <v xml:space="preserve">        Extruding and forming machine setters, operators, and tenders, synthetic and glass fibers</v>
          </cell>
          <cell r="D1023" t="str">
            <v>Line item</v>
          </cell>
          <cell r="E1023">
            <v>-1.1000000000000001</v>
          </cell>
        </row>
        <row r="1024">
          <cell r="A1024" t="str">
            <v>51-6092</v>
          </cell>
          <cell r="C1024" t="str">
            <v xml:space="preserve">        Fabric and apparel patternmakers</v>
          </cell>
          <cell r="D1024" t="str">
            <v>Line item</v>
          </cell>
          <cell r="E1024">
            <v>-10.199999999999999</v>
          </cell>
        </row>
        <row r="1025">
          <cell r="A1025" t="str">
            <v>51-6093</v>
          </cell>
          <cell r="C1025" t="str">
            <v xml:space="preserve">        Upholsterers</v>
          </cell>
          <cell r="D1025" t="str">
            <v>Line item</v>
          </cell>
          <cell r="E1025">
            <v>-1.8</v>
          </cell>
        </row>
        <row r="1026">
          <cell r="A1026" t="str">
            <v>51-7011</v>
          </cell>
          <cell r="C1026" t="str">
            <v xml:space="preserve">      Cabinetmakers and bench carpenters</v>
          </cell>
          <cell r="D1026" t="str">
            <v>Line item</v>
          </cell>
          <cell r="E1026">
            <v>-1.6</v>
          </cell>
        </row>
        <row r="1027">
          <cell r="A1027" t="str">
            <v>51-7021</v>
          </cell>
          <cell r="C1027" t="str">
            <v xml:space="preserve">      Furniture finishers</v>
          </cell>
          <cell r="D1027" t="str">
            <v>Line item</v>
          </cell>
          <cell r="E1027">
            <v>-3.3</v>
          </cell>
        </row>
        <row r="1028">
          <cell r="A1028" t="str">
            <v>51-7031</v>
          </cell>
          <cell r="C1028" t="str">
            <v xml:space="preserve">        Model makers, wood</v>
          </cell>
          <cell r="D1028" t="str">
            <v>Line item</v>
          </cell>
          <cell r="E1028">
            <v>-4.5</v>
          </cell>
        </row>
        <row r="1029">
          <cell r="A1029" t="str">
            <v>51-7032</v>
          </cell>
          <cell r="C1029" t="str">
            <v xml:space="preserve">        Patternmakers, wood</v>
          </cell>
          <cell r="D1029" t="str">
            <v>Line item</v>
          </cell>
          <cell r="E1029">
            <v>-5</v>
          </cell>
        </row>
        <row r="1030">
          <cell r="A1030" t="str">
            <v>51-7041</v>
          </cell>
          <cell r="C1030" t="str">
            <v xml:space="preserve">        Sawing machine setters, operators, and tenders, wood</v>
          </cell>
          <cell r="D1030" t="str">
            <v>Line item</v>
          </cell>
          <cell r="E1030">
            <v>-0.6</v>
          </cell>
        </row>
        <row r="1031">
          <cell r="A1031" t="str">
            <v>51-7042</v>
          </cell>
          <cell r="C1031" t="str">
            <v xml:space="preserve">        Woodworking machine setters, operators, and tenders, except sawing</v>
          </cell>
          <cell r="D1031" t="str">
            <v>Line item</v>
          </cell>
          <cell r="E1031">
            <v>-1.8</v>
          </cell>
        </row>
        <row r="1032">
          <cell r="A1032" t="str">
            <v>51-8011</v>
          </cell>
          <cell r="C1032" t="str">
            <v xml:space="preserve">        Nuclear power reactor operators</v>
          </cell>
          <cell r="D1032" t="str">
            <v>Line item</v>
          </cell>
          <cell r="E1032">
            <v>-15.3</v>
          </cell>
        </row>
        <row r="1033">
          <cell r="A1033" t="str">
            <v>51-8012</v>
          </cell>
          <cell r="C1033" t="str">
            <v xml:space="preserve">        Power distributors and dispatchers</v>
          </cell>
          <cell r="D1033" t="str">
            <v>Line item</v>
          </cell>
          <cell r="E1033">
            <v>-3.2</v>
          </cell>
        </row>
        <row r="1034">
          <cell r="A1034" t="str">
            <v>51-8013</v>
          </cell>
          <cell r="C1034" t="str">
            <v xml:space="preserve">        Power plant operators</v>
          </cell>
          <cell r="D1034" t="str">
            <v>Line item</v>
          </cell>
          <cell r="E1034">
            <v>-11.2</v>
          </cell>
        </row>
        <row r="1035">
          <cell r="A1035" t="str">
            <v>51-8021</v>
          </cell>
          <cell r="C1035" t="str">
            <v xml:space="preserve">      Stationary engineers and boiler operators</v>
          </cell>
          <cell r="D1035" t="str">
            <v>Line item</v>
          </cell>
          <cell r="E1035">
            <v>2.2000000000000002</v>
          </cell>
        </row>
        <row r="1036">
          <cell r="A1036" t="str">
            <v>51-8031</v>
          </cell>
          <cell r="C1036" t="str">
            <v xml:space="preserve">      Water and wastewater treatment plant and system operators</v>
          </cell>
          <cell r="D1036" t="str">
            <v>Line item</v>
          </cell>
          <cell r="E1036">
            <v>-6.5</v>
          </cell>
        </row>
        <row r="1037">
          <cell r="A1037" t="str">
            <v>51-8091</v>
          </cell>
          <cell r="C1037" t="str">
            <v xml:space="preserve">        Chemical plant and system operators</v>
          </cell>
          <cell r="D1037" t="str">
            <v>Line item</v>
          </cell>
          <cell r="E1037">
            <v>-6.1</v>
          </cell>
        </row>
        <row r="1038">
          <cell r="A1038" t="str">
            <v>51-8092</v>
          </cell>
          <cell r="C1038" t="str">
            <v xml:space="preserve">        Gas plant operators</v>
          </cell>
          <cell r="D1038" t="str">
            <v>Line item</v>
          </cell>
          <cell r="E1038">
            <v>-8.8000000000000007</v>
          </cell>
        </row>
        <row r="1039">
          <cell r="A1039" t="str">
            <v>51-8093</v>
          </cell>
          <cell r="C1039" t="str">
            <v xml:space="preserve">        Petroleum pump system operators, refinery operators, and gaugers</v>
          </cell>
          <cell r="D1039" t="str">
            <v>Line item</v>
          </cell>
          <cell r="E1039">
            <v>-2.8</v>
          </cell>
        </row>
        <row r="1040">
          <cell r="A1040" t="str">
            <v>51-8099</v>
          </cell>
          <cell r="C1040" t="str">
            <v xml:space="preserve">        Plant and system operators, all other</v>
          </cell>
          <cell r="D1040" t="str">
            <v>Line item</v>
          </cell>
          <cell r="E1040">
            <v>1.6</v>
          </cell>
        </row>
        <row r="1041">
          <cell r="A1041" t="str">
            <v>51-9011</v>
          </cell>
          <cell r="C1041" t="str">
            <v xml:space="preserve">        Chemical equipment operators and tenders</v>
          </cell>
          <cell r="D1041" t="str">
            <v>Line item</v>
          </cell>
          <cell r="E1041">
            <v>3.3</v>
          </cell>
        </row>
        <row r="1042">
          <cell r="A1042" t="str">
            <v>51-9012</v>
          </cell>
          <cell r="C1042" t="str">
            <v xml:space="preserve">        Separating, filtering, clarifying, precipitating, and still machine setters, operators, and tenders</v>
          </cell>
          <cell r="D1042" t="str">
            <v>Line item</v>
          </cell>
          <cell r="E1042">
            <v>-4.3</v>
          </cell>
        </row>
        <row r="1043">
          <cell r="A1043" t="str">
            <v>51-9021</v>
          </cell>
          <cell r="C1043" t="str">
            <v xml:space="preserve">        Crushing, grinding, and polishing machine setters, operators, and tenders</v>
          </cell>
          <cell r="D1043" t="str">
            <v>Line item</v>
          </cell>
          <cell r="E1043">
            <v>-2.5</v>
          </cell>
        </row>
        <row r="1044">
          <cell r="A1044" t="str">
            <v>51-9022</v>
          </cell>
          <cell r="C1044" t="str">
            <v xml:space="preserve">        Grinding and polishing workers, hand</v>
          </cell>
          <cell r="D1044" t="str">
            <v>Line item</v>
          </cell>
          <cell r="E1044">
            <v>-21.2</v>
          </cell>
        </row>
        <row r="1045">
          <cell r="A1045" t="str">
            <v>51-9023</v>
          </cell>
          <cell r="C1045" t="str">
            <v xml:space="preserve">        Mixing and blending machine setters, operators, and tenders</v>
          </cell>
          <cell r="D1045" t="str">
            <v>Line item</v>
          </cell>
          <cell r="E1045">
            <v>-6.8</v>
          </cell>
        </row>
        <row r="1046">
          <cell r="A1046" t="str">
            <v>51-9031</v>
          </cell>
          <cell r="C1046" t="str">
            <v xml:space="preserve">        Cutters and trimmers, hand</v>
          </cell>
          <cell r="D1046" t="str">
            <v>Line item</v>
          </cell>
          <cell r="E1046">
            <v>-18.100000000000001</v>
          </cell>
        </row>
        <row r="1047">
          <cell r="A1047" t="str">
            <v>51-9032</v>
          </cell>
          <cell r="C1047" t="str">
            <v xml:space="preserve">        Cutting and slicing machine setters, operators, and tenders</v>
          </cell>
          <cell r="D1047" t="str">
            <v>Line item</v>
          </cell>
          <cell r="E1047">
            <v>-2.2999999999999998</v>
          </cell>
        </row>
        <row r="1048">
          <cell r="A1048" t="str">
            <v>51-9041</v>
          </cell>
          <cell r="C1048" t="str">
            <v xml:space="preserve">      Extruding, forming, pressing, and compacting machine setters, operators, and tenders</v>
          </cell>
          <cell r="D1048" t="str">
            <v>Line item</v>
          </cell>
          <cell r="E1048">
            <v>2</v>
          </cell>
        </row>
        <row r="1049">
          <cell r="A1049" t="str">
            <v>51-9051</v>
          </cell>
          <cell r="C1049" t="str">
            <v xml:space="preserve">      Furnace, kiln, oven, drier, and kettle operators and tenders</v>
          </cell>
          <cell r="D1049" t="str">
            <v>Line item</v>
          </cell>
          <cell r="E1049">
            <v>3</v>
          </cell>
        </row>
        <row r="1050">
          <cell r="A1050" t="str">
            <v>51-9061</v>
          </cell>
          <cell r="C1050" t="str">
            <v xml:space="preserve">      Inspectors, testers, sorters, samplers, and weighers</v>
          </cell>
          <cell r="D1050" t="str">
            <v>Line item</v>
          </cell>
          <cell r="E1050">
            <v>0</v>
          </cell>
        </row>
        <row r="1051">
          <cell r="A1051" t="str">
            <v>51-9071</v>
          </cell>
          <cell r="C1051" t="str">
            <v xml:space="preserve">      Jewelers and precious stone and metal workers</v>
          </cell>
          <cell r="D1051" t="str">
            <v>Line item</v>
          </cell>
          <cell r="E1051">
            <v>-5.5</v>
          </cell>
        </row>
        <row r="1052">
          <cell r="A1052" t="str">
            <v>51-9081</v>
          </cell>
          <cell r="C1052" t="str">
            <v xml:space="preserve">        Dental laboratory technicians</v>
          </cell>
          <cell r="D1052" t="str">
            <v>Line item</v>
          </cell>
          <cell r="E1052">
            <v>-4.7</v>
          </cell>
        </row>
        <row r="1053">
          <cell r="A1053" t="str">
            <v>51-9082</v>
          </cell>
          <cell r="C1053" t="str">
            <v xml:space="preserve">        Medical appliance technicians</v>
          </cell>
          <cell r="D1053" t="str">
            <v>Line item</v>
          </cell>
          <cell r="E1053">
            <v>3.7</v>
          </cell>
        </row>
        <row r="1054">
          <cell r="A1054" t="str">
            <v>51-9083</v>
          </cell>
          <cell r="C1054" t="str">
            <v xml:space="preserve">        Ophthalmic laboratory technicians</v>
          </cell>
          <cell r="D1054" t="str">
            <v>Line item</v>
          </cell>
          <cell r="E1054">
            <v>2.2999999999999998</v>
          </cell>
        </row>
        <row r="1055">
          <cell r="A1055" t="str">
            <v>51-9111</v>
          </cell>
          <cell r="C1055" t="str">
            <v xml:space="preserve">      Packaging and filling machine operators and tenders</v>
          </cell>
          <cell r="D1055" t="str">
            <v>Line item</v>
          </cell>
          <cell r="E1055">
            <v>4.5</v>
          </cell>
        </row>
        <row r="1056">
          <cell r="A1056" t="str">
            <v>51-9123</v>
          </cell>
          <cell r="C1056" t="str">
            <v xml:space="preserve">        Painting, coating, and decorating workers</v>
          </cell>
          <cell r="D1056" t="str">
            <v>Line item</v>
          </cell>
          <cell r="E1056">
            <v>1.4</v>
          </cell>
        </row>
        <row r="1057">
          <cell r="A1057" t="str">
            <v>51-9124</v>
          </cell>
          <cell r="C1057" t="str">
            <v xml:space="preserve">        Coating, painting, and spraying machine setters, operators, and tenders</v>
          </cell>
          <cell r="D1057" t="str">
            <v>Line item</v>
          </cell>
          <cell r="E1057">
            <v>0.7</v>
          </cell>
        </row>
        <row r="1058">
          <cell r="A1058" t="str">
            <v>51-9141</v>
          </cell>
          <cell r="C1058" t="str">
            <v xml:space="preserve">      Semiconductor processing technicians</v>
          </cell>
          <cell r="D1058" t="str">
            <v>Line item</v>
          </cell>
          <cell r="E1058">
            <v>10.9</v>
          </cell>
        </row>
        <row r="1059">
          <cell r="A1059" t="str">
            <v>51-9151</v>
          </cell>
          <cell r="C1059" t="str">
            <v xml:space="preserve">      Photographic process workers and processing machine operators</v>
          </cell>
          <cell r="D1059" t="str">
            <v>Line item</v>
          </cell>
          <cell r="E1059">
            <v>-2.6</v>
          </cell>
        </row>
        <row r="1060">
          <cell r="A1060" t="str">
            <v>51-9161</v>
          </cell>
          <cell r="C1060" t="str">
            <v xml:space="preserve">        Computer numerically controlled tool operators</v>
          </cell>
          <cell r="D1060" t="str">
            <v>Line item</v>
          </cell>
          <cell r="E1060">
            <v>-10.7</v>
          </cell>
        </row>
        <row r="1061">
          <cell r="A1061" t="str">
            <v>51-9191</v>
          </cell>
          <cell r="C1061" t="str">
            <v xml:space="preserve">        Adhesive bonding machine operators and tenders</v>
          </cell>
          <cell r="D1061" t="str">
            <v>Line item</v>
          </cell>
          <cell r="E1061">
            <v>1</v>
          </cell>
        </row>
        <row r="1062">
          <cell r="A1062" t="str">
            <v>51-9192</v>
          </cell>
          <cell r="C1062" t="str">
            <v xml:space="preserve">        Cleaning, washing, and metal pickling equipment operators and tenders</v>
          </cell>
          <cell r="D1062" t="str">
            <v>Line item</v>
          </cell>
          <cell r="E1062">
            <v>3.6</v>
          </cell>
        </row>
        <row r="1063">
          <cell r="A1063" t="str">
            <v>51-9193</v>
          </cell>
          <cell r="C1063" t="str">
            <v xml:space="preserve">        Cooling and freezing equipment operators and tenders</v>
          </cell>
          <cell r="D1063" t="str">
            <v>Line item</v>
          </cell>
          <cell r="E1063">
            <v>7.2</v>
          </cell>
        </row>
        <row r="1064">
          <cell r="A1064" t="str">
            <v>51-9194</v>
          </cell>
          <cell r="C1064" t="str">
            <v xml:space="preserve">        Etchers and engravers</v>
          </cell>
          <cell r="D1064" t="str">
            <v>Line item</v>
          </cell>
          <cell r="E1064">
            <v>-0.7</v>
          </cell>
        </row>
        <row r="1065">
          <cell r="A1065" t="str">
            <v>51-9195</v>
          </cell>
          <cell r="C1065" t="str">
            <v xml:space="preserve">        Molders, shapers, and casters, except metal and plastic</v>
          </cell>
          <cell r="D1065" t="str">
            <v>Line item</v>
          </cell>
          <cell r="E1065">
            <v>6.2</v>
          </cell>
        </row>
        <row r="1066">
          <cell r="A1066" t="str">
            <v>51-9196</v>
          </cell>
          <cell r="C1066" t="str">
            <v xml:space="preserve">        Paper goods machine setters, operators, and tenders</v>
          </cell>
          <cell r="D1066" t="str">
            <v>Line item</v>
          </cell>
          <cell r="E1066">
            <v>-6.3</v>
          </cell>
        </row>
        <row r="1067">
          <cell r="A1067" t="str">
            <v>51-9197</v>
          </cell>
          <cell r="C1067" t="str">
            <v xml:space="preserve">        Tire builders</v>
          </cell>
          <cell r="D1067" t="str">
            <v>Line item</v>
          </cell>
          <cell r="E1067">
            <v>2.2999999999999998</v>
          </cell>
        </row>
        <row r="1068">
          <cell r="A1068" t="str">
            <v>51-9198</v>
          </cell>
          <cell r="C1068" t="str">
            <v xml:space="preserve">        Helpers--production workers</v>
          </cell>
          <cell r="D1068" t="str">
            <v>Line item</v>
          </cell>
          <cell r="E1068">
            <v>-8.9</v>
          </cell>
        </row>
        <row r="1069">
          <cell r="A1069" t="str">
            <v>51-9199</v>
          </cell>
          <cell r="C1069" t="str">
            <v xml:space="preserve">        Production workers, all other</v>
          </cell>
          <cell r="D1069" t="str">
            <v>Line item</v>
          </cell>
          <cell r="E1069">
            <v>0.5</v>
          </cell>
        </row>
        <row r="1070">
          <cell r="A1070" t="str">
            <v>53-1041</v>
          </cell>
          <cell r="C1070" t="str">
            <v xml:space="preserve">      Aircraft cargo handling supervisors</v>
          </cell>
          <cell r="D1070" t="str">
            <v>Line item</v>
          </cell>
          <cell r="E1070">
            <v>5.2</v>
          </cell>
        </row>
        <row r="1071">
          <cell r="A1071" t="str">
            <v>53-1047</v>
          </cell>
          <cell r="C1071" t="str">
            <v xml:space="preserve">      First-line supervisors of transportation and material moving workers, except aircraft cargo handling supervisors</v>
          </cell>
          <cell r="D1071" t="str">
            <v>Line item</v>
          </cell>
          <cell r="E1071">
            <v>3.7</v>
          </cell>
        </row>
        <row r="1072">
          <cell r="A1072" t="str">
            <v>53-2011</v>
          </cell>
          <cell r="C1072" t="str">
            <v xml:space="preserve">        Airline pilots, copilots, and flight engineers</v>
          </cell>
          <cell r="D1072" t="str">
            <v>Line item</v>
          </cell>
          <cell r="E1072">
            <v>3.9</v>
          </cell>
        </row>
        <row r="1073">
          <cell r="A1073" t="str">
            <v>53-2012</v>
          </cell>
          <cell r="C1073" t="str">
            <v xml:space="preserve">        Commercial pilots</v>
          </cell>
          <cell r="D1073" t="str">
            <v>Line item</v>
          </cell>
          <cell r="E1073">
            <v>5.0999999999999996</v>
          </cell>
        </row>
        <row r="1074">
          <cell r="A1074" t="str">
            <v>53-2021</v>
          </cell>
          <cell r="C1074" t="str">
            <v xml:space="preserve">        Air traffic controllers</v>
          </cell>
          <cell r="D1074" t="str">
            <v>Line item</v>
          </cell>
          <cell r="E1074">
            <v>1.2</v>
          </cell>
        </row>
        <row r="1075">
          <cell r="A1075" t="str">
            <v>53-2022</v>
          </cell>
          <cell r="C1075" t="str">
            <v xml:space="preserve">        Airfield operations specialists</v>
          </cell>
          <cell r="D1075" t="str">
            <v>Line item</v>
          </cell>
          <cell r="E1075">
            <v>4.2</v>
          </cell>
        </row>
        <row r="1076">
          <cell r="A1076" t="str">
            <v>53-2031</v>
          </cell>
          <cell r="C1076" t="str">
            <v xml:space="preserve">      Flight attendants</v>
          </cell>
          <cell r="D1076" t="str">
            <v>Line item</v>
          </cell>
          <cell r="E1076">
            <v>9.1999999999999993</v>
          </cell>
        </row>
        <row r="1077">
          <cell r="A1077" t="str">
            <v>53-3011</v>
          </cell>
          <cell r="C1077" t="str">
            <v xml:space="preserve">      Ambulance drivers and attendants, except emergency medical technicians</v>
          </cell>
          <cell r="D1077" t="str">
            <v>Line item</v>
          </cell>
          <cell r="E1077">
            <v>-1.3</v>
          </cell>
        </row>
        <row r="1078">
          <cell r="A1078" t="str">
            <v>53-3031</v>
          </cell>
          <cell r="C1078" t="str">
            <v xml:space="preserve">        Driver/sales workers</v>
          </cell>
          <cell r="D1078" t="str">
            <v>Line item</v>
          </cell>
          <cell r="E1078">
            <v>8.8000000000000007</v>
          </cell>
        </row>
        <row r="1079">
          <cell r="A1079" t="str">
            <v>53-3032</v>
          </cell>
          <cell r="C1079" t="str">
            <v xml:space="preserve">        Heavy and tractor-trailer truck drivers</v>
          </cell>
          <cell r="D1079" t="str">
            <v>Line item</v>
          </cell>
          <cell r="E1079">
            <v>4</v>
          </cell>
        </row>
        <row r="1080">
          <cell r="A1080" t="str">
            <v>53-3033</v>
          </cell>
          <cell r="C1080" t="str">
            <v xml:space="preserve">        Light truck drivers</v>
          </cell>
          <cell r="D1080" t="str">
            <v>Line item</v>
          </cell>
          <cell r="E1080">
            <v>7.3</v>
          </cell>
        </row>
        <row r="1081">
          <cell r="A1081" t="str">
            <v>53-3051</v>
          </cell>
          <cell r="C1081" t="str">
            <v xml:space="preserve">        Bus drivers, school</v>
          </cell>
          <cell r="D1081" t="str">
            <v>Line item</v>
          </cell>
          <cell r="E1081">
            <v>0.2</v>
          </cell>
        </row>
        <row r="1082">
          <cell r="A1082" t="str">
            <v>53-3052</v>
          </cell>
          <cell r="C1082" t="str">
            <v xml:space="preserve">        Bus drivers, transit and intercity</v>
          </cell>
          <cell r="D1082" t="str">
            <v>Line item</v>
          </cell>
          <cell r="E1082">
            <v>4.3</v>
          </cell>
        </row>
        <row r="1083">
          <cell r="A1083" t="str">
            <v>53-3053</v>
          </cell>
          <cell r="C1083" t="str">
            <v xml:space="preserve">        Shuttle drivers and chauffeurs</v>
          </cell>
          <cell r="D1083" t="str">
            <v>Line item</v>
          </cell>
          <cell r="E1083">
            <v>6.7</v>
          </cell>
        </row>
        <row r="1084">
          <cell r="A1084" t="str">
            <v>53-3054</v>
          </cell>
          <cell r="C1084" t="str">
            <v xml:space="preserve">        Taxi drivers</v>
          </cell>
          <cell r="D1084" t="str">
            <v>Line item</v>
          </cell>
          <cell r="E1084">
            <v>11.1</v>
          </cell>
        </row>
        <row r="1085">
          <cell r="A1085" t="str">
            <v>53-4010</v>
          </cell>
          <cell r="C1085" t="str">
            <v xml:space="preserve">      Locomotive engineers and operators</v>
          </cell>
          <cell r="D1085" t="str">
            <v>Summary</v>
          </cell>
          <cell r="E1085">
            <v>0.7</v>
          </cell>
        </row>
        <row r="1086">
          <cell r="A1086" t="str">
            <v>53-4011</v>
          </cell>
          <cell r="C1086" t="str">
            <v xml:space="preserve">        Locomotive engineers</v>
          </cell>
          <cell r="D1086" t="str">
            <v>Line item</v>
          </cell>
          <cell r="E1086">
            <v>0.7</v>
          </cell>
        </row>
        <row r="1087">
          <cell r="A1087" t="str">
            <v>53-4013</v>
          </cell>
          <cell r="C1087" t="str">
            <v xml:space="preserve">        Rail yard engineers, dinkey operators, and hostlers</v>
          </cell>
          <cell r="D1087" t="str">
            <v>Line item</v>
          </cell>
          <cell r="E1087">
            <v>0.3</v>
          </cell>
        </row>
        <row r="1088">
          <cell r="A1088" t="str">
            <v>53-4031</v>
          </cell>
          <cell r="C1088" t="str">
            <v xml:space="preserve">      Railroad conductors and yardmasters</v>
          </cell>
          <cell r="D1088" t="str">
            <v>Line item</v>
          </cell>
          <cell r="E1088">
            <v>1.1000000000000001</v>
          </cell>
        </row>
        <row r="1089">
          <cell r="A1089" t="str">
            <v>53-4041</v>
          </cell>
          <cell r="C1089" t="str">
            <v xml:space="preserve">      Subway and streetcar operators</v>
          </cell>
          <cell r="D1089" t="str">
            <v>Line item</v>
          </cell>
          <cell r="E1089">
            <v>3.4</v>
          </cell>
        </row>
        <row r="1090">
          <cell r="A1090" t="str">
            <v>53-5011</v>
          </cell>
          <cell r="C1090" t="str">
            <v xml:space="preserve">      Sailors and marine oilers</v>
          </cell>
          <cell r="D1090" t="str">
            <v>Line item</v>
          </cell>
          <cell r="E1090">
            <v>2.2999999999999998</v>
          </cell>
        </row>
        <row r="1091">
          <cell r="A1091" t="str">
            <v>53-5021</v>
          </cell>
          <cell r="C1091" t="str">
            <v xml:space="preserve">        Captains, mates, and pilots of water vessels</v>
          </cell>
          <cell r="D1091" t="str">
            <v>Line item</v>
          </cell>
          <cell r="E1091">
            <v>0.5</v>
          </cell>
        </row>
        <row r="1092">
          <cell r="A1092" t="str">
            <v>53-5022</v>
          </cell>
          <cell r="C1092" t="str">
            <v xml:space="preserve">        Motorboat operators</v>
          </cell>
          <cell r="D1092" t="str">
            <v>Line item</v>
          </cell>
          <cell r="E1092">
            <v>1.4</v>
          </cell>
        </row>
        <row r="1093">
          <cell r="A1093" t="str">
            <v>53-5031</v>
          </cell>
          <cell r="C1093" t="str">
            <v xml:space="preserve">      Ship engineers</v>
          </cell>
          <cell r="D1093" t="str">
            <v>Line item</v>
          </cell>
          <cell r="E1093">
            <v>1.6</v>
          </cell>
        </row>
        <row r="1094">
          <cell r="A1094" t="str">
            <v>53-6011</v>
          </cell>
          <cell r="C1094" t="str">
            <v xml:space="preserve">      Bridge and lock tenders</v>
          </cell>
          <cell r="D1094" t="str">
            <v>Line item</v>
          </cell>
          <cell r="E1094">
            <v>-3.3</v>
          </cell>
        </row>
        <row r="1095">
          <cell r="A1095" t="str">
            <v>53-6021</v>
          </cell>
          <cell r="C1095" t="str">
            <v xml:space="preserve">      Parking attendants</v>
          </cell>
          <cell r="D1095" t="str">
            <v>Line item</v>
          </cell>
          <cell r="E1095">
            <v>3</v>
          </cell>
        </row>
        <row r="1096">
          <cell r="A1096" t="str">
            <v>53-6031</v>
          </cell>
          <cell r="C1096" t="str">
            <v xml:space="preserve">        Automotive and watercraft service attendants</v>
          </cell>
          <cell r="D1096" t="str">
            <v>Line item</v>
          </cell>
          <cell r="E1096">
            <v>-1</v>
          </cell>
        </row>
        <row r="1097">
          <cell r="A1097" t="str">
            <v>53-6041</v>
          </cell>
          <cell r="C1097" t="str">
            <v xml:space="preserve">      Traffic technicians</v>
          </cell>
          <cell r="D1097" t="str">
            <v>Line item</v>
          </cell>
          <cell r="E1097">
            <v>3.7</v>
          </cell>
        </row>
        <row r="1098">
          <cell r="A1098" t="str">
            <v>53-6051</v>
          </cell>
          <cell r="C1098" t="str">
            <v xml:space="preserve">      Transportation inspectors</v>
          </cell>
          <cell r="D1098" t="str">
            <v>Line item</v>
          </cell>
          <cell r="E1098">
            <v>1.7</v>
          </cell>
        </row>
        <row r="1099">
          <cell r="A1099" t="str">
            <v>53-6061</v>
          </cell>
          <cell r="C1099" t="str">
            <v xml:space="preserve">      Passenger attendants</v>
          </cell>
          <cell r="D1099" t="str">
            <v>Line item</v>
          </cell>
          <cell r="E1099">
            <v>4.7</v>
          </cell>
        </row>
        <row r="1100">
          <cell r="A1100" t="str">
            <v>53-7011</v>
          </cell>
          <cell r="C1100" t="str">
            <v xml:space="preserve">      Conveyor operators and tenders</v>
          </cell>
          <cell r="D1100" t="str">
            <v>Line item</v>
          </cell>
          <cell r="E1100">
            <v>-3.4</v>
          </cell>
        </row>
        <row r="1101">
          <cell r="A1101" t="str">
            <v>53-7021</v>
          </cell>
          <cell r="C1101" t="str">
            <v xml:space="preserve">      Crane and tower operators</v>
          </cell>
          <cell r="D1101" t="str">
            <v>Line item</v>
          </cell>
          <cell r="E1101">
            <v>3</v>
          </cell>
        </row>
        <row r="1102">
          <cell r="A1102" t="str">
            <v>53-7031</v>
          </cell>
          <cell r="C1102" t="str">
            <v xml:space="preserve">      Dredge operators</v>
          </cell>
          <cell r="D1102" t="str">
            <v>Line item</v>
          </cell>
          <cell r="E1102">
            <v>1.2</v>
          </cell>
        </row>
        <row r="1103">
          <cell r="A1103" t="str">
            <v>53-7041</v>
          </cell>
          <cell r="C1103" t="str">
            <v xml:space="preserve">      Hoist and winch operators</v>
          </cell>
          <cell r="D1103" t="str">
            <v>Line item</v>
          </cell>
          <cell r="E1103">
            <v>-1.1000000000000001</v>
          </cell>
        </row>
        <row r="1104">
          <cell r="A1104" t="str">
            <v>53-7051</v>
          </cell>
          <cell r="C1104" t="str">
            <v xml:space="preserve">      Industrial truck and tractor operators</v>
          </cell>
          <cell r="D1104" t="str">
            <v>Line item</v>
          </cell>
          <cell r="E1104">
            <v>1.1000000000000001</v>
          </cell>
        </row>
        <row r="1105">
          <cell r="A1105" t="str">
            <v>53-7061</v>
          </cell>
          <cell r="C1105" t="str">
            <v xml:space="preserve">        Cleaners of vehicles and equipment</v>
          </cell>
          <cell r="D1105" t="str">
            <v>Line item</v>
          </cell>
          <cell r="E1105">
            <v>3.9</v>
          </cell>
        </row>
        <row r="1106">
          <cell r="A1106" t="str">
            <v>53-7062</v>
          </cell>
          <cell r="C1106" t="str">
            <v xml:space="preserve">        Laborers and freight, stock, and material movers, hand</v>
          </cell>
          <cell r="D1106" t="str">
            <v>Line item</v>
          </cell>
          <cell r="E1106">
            <v>1.5</v>
          </cell>
        </row>
        <row r="1107">
          <cell r="A1107" t="str">
            <v>53-7063</v>
          </cell>
          <cell r="C1107" t="str">
            <v xml:space="preserve">        Machine feeders and offbearers</v>
          </cell>
          <cell r="D1107" t="str">
            <v>Line item</v>
          </cell>
          <cell r="E1107">
            <v>-13</v>
          </cell>
        </row>
        <row r="1108">
          <cell r="A1108" t="str">
            <v>53-7064</v>
          </cell>
          <cell r="C1108" t="str">
            <v xml:space="preserve">        Packers and packagers, hand</v>
          </cell>
          <cell r="D1108" t="str">
            <v>Line item</v>
          </cell>
          <cell r="E1108">
            <v>-5.4</v>
          </cell>
        </row>
        <row r="1109">
          <cell r="A1109" t="str">
            <v>53-7065</v>
          </cell>
          <cell r="C1109" t="str">
            <v xml:space="preserve">        Stockers and order fillers</v>
          </cell>
          <cell r="D1109" t="str">
            <v>Line item</v>
          </cell>
          <cell r="E1109">
            <v>8.5</v>
          </cell>
        </row>
        <row r="1110">
          <cell r="A1110" t="str">
            <v>53-7071</v>
          </cell>
          <cell r="C1110" t="str">
            <v xml:space="preserve">        Gas compressor and gas pumping station operators</v>
          </cell>
          <cell r="D1110" t="str">
            <v>Line item</v>
          </cell>
          <cell r="E1110">
            <v>-1.3</v>
          </cell>
        </row>
        <row r="1111">
          <cell r="A1111" t="str">
            <v>53-7072</v>
          </cell>
          <cell r="C1111" t="str">
            <v xml:space="preserve">        Pump operators, except wellhead pumpers</v>
          </cell>
          <cell r="D1111" t="str">
            <v>Line item</v>
          </cell>
          <cell r="E1111">
            <v>2.6</v>
          </cell>
        </row>
        <row r="1112">
          <cell r="A1112" t="str">
            <v>53-7073</v>
          </cell>
          <cell r="C1112" t="str">
            <v xml:space="preserve">        Wellhead pumpers</v>
          </cell>
          <cell r="D1112" t="str">
            <v>Line item</v>
          </cell>
          <cell r="E1112">
            <v>-4.7</v>
          </cell>
        </row>
        <row r="1113">
          <cell r="A1113" t="str">
            <v>53-7081</v>
          </cell>
          <cell r="C1113" t="str">
            <v xml:space="preserve">      Refuse and recyclable material collectors</v>
          </cell>
          <cell r="D1113" t="str">
            <v>Line item</v>
          </cell>
          <cell r="E1113">
            <v>0.9</v>
          </cell>
        </row>
        <row r="1114">
          <cell r="A1114" t="str">
            <v>53-7121</v>
          </cell>
          <cell r="C1114" t="str">
            <v xml:space="preserve">      Tank car, truck, and ship loaders</v>
          </cell>
          <cell r="D1114" t="str">
            <v>Line item</v>
          </cell>
          <cell r="E1114">
            <v>4.3</v>
          </cell>
        </row>
      </sheetData>
      <sheetData sheetId="8">
        <row r="1">
          <cell r="A1" t="str">
            <v>SOC Code</v>
          </cell>
          <cell r="B1" t="str">
            <v>Occupation Title</v>
          </cell>
          <cell r="C1" t="str">
            <v>AIOE</v>
          </cell>
          <cell r="D1" t="str">
            <v>median wage (annual) 2024</v>
          </cell>
          <cell r="E1" t="str">
            <v>employment in 2025</v>
          </cell>
          <cell r="F1" t="str">
            <v>A_median_wage_2025</v>
          </cell>
          <cell r="G1" t="str">
            <v>employment in 2024</v>
          </cell>
        </row>
        <row r="2">
          <cell r="A2" t="str">
            <v>29-9092</v>
          </cell>
          <cell r="B2" t="str">
            <v>Genetic Counselors</v>
          </cell>
          <cell r="C2">
            <v>1.5276670000000001</v>
          </cell>
          <cell r="D2">
            <v>36010</v>
          </cell>
          <cell r="E2" t="e">
            <v>#N/A</v>
          </cell>
          <cell r="G2">
            <v>3510</v>
          </cell>
        </row>
        <row r="3">
          <cell r="A3" t="str">
            <v>13-2061</v>
          </cell>
          <cell r="B3" t="str">
            <v>Financial Examiners</v>
          </cell>
          <cell r="C3">
            <v>1.5260640000000001</v>
          </cell>
          <cell r="D3">
            <v>101020</v>
          </cell>
          <cell r="E3">
            <v>67830</v>
          </cell>
          <cell r="G3">
            <v>62830</v>
          </cell>
        </row>
        <row r="4">
          <cell r="A4" t="str">
            <v>15-2011</v>
          </cell>
          <cell r="B4" t="str">
            <v>Actuaries</v>
          </cell>
          <cell r="C4">
            <v>1.5164740000000001</v>
          </cell>
          <cell r="D4">
            <v>79880</v>
          </cell>
          <cell r="E4">
            <v>26670</v>
          </cell>
          <cell r="G4">
            <v>28340</v>
          </cell>
        </row>
        <row r="5">
          <cell r="A5" t="str">
            <v>13-1023</v>
          </cell>
          <cell r="B5" t="str">
            <v>Purchasing Agents, Except Wholesale, Retail, and Farm Products</v>
          </cell>
          <cell r="C5">
            <v>1.5091810000000001</v>
          </cell>
          <cell r="D5">
            <v>50480</v>
          </cell>
          <cell r="E5" t="e">
            <v>#N/A</v>
          </cell>
          <cell r="G5" t="e">
            <v>#N/A</v>
          </cell>
        </row>
        <row r="6">
          <cell r="A6" t="str">
            <v>13-2031</v>
          </cell>
          <cell r="B6" t="str">
            <v>Budget Analysts</v>
          </cell>
          <cell r="C6">
            <v>1.502988</v>
          </cell>
          <cell r="D6">
            <v>82540</v>
          </cell>
          <cell r="E6">
            <v>47160</v>
          </cell>
          <cell r="G6">
            <v>47170</v>
          </cell>
        </row>
        <row r="7">
          <cell r="A7" t="str">
            <v>23-1023</v>
          </cell>
          <cell r="B7" t="str">
            <v>Judges, Magistrate Judges, and Magistrates</v>
          </cell>
          <cell r="C7">
            <v>1.496494</v>
          </cell>
          <cell r="D7" t="e">
            <v>#N/A</v>
          </cell>
          <cell r="E7">
            <v>24030</v>
          </cell>
          <cell r="G7">
            <v>25580</v>
          </cell>
        </row>
        <row r="8">
          <cell r="A8" t="str">
            <v>43-3061</v>
          </cell>
          <cell r="B8" t="str">
            <v>Procurement Clerks</v>
          </cell>
          <cell r="C8">
            <v>1.487838</v>
          </cell>
          <cell r="D8">
            <v>48690</v>
          </cell>
          <cell r="E8">
            <v>55810</v>
          </cell>
          <cell r="G8">
            <v>59900</v>
          </cell>
        </row>
        <row r="9">
          <cell r="A9" t="str">
            <v>13-2011</v>
          </cell>
          <cell r="B9" t="str">
            <v>Accountants and Auditors</v>
          </cell>
          <cell r="C9">
            <v>1.4819560000000001</v>
          </cell>
          <cell r="D9">
            <v>106120</v>
          </cell>
          <cell r="E9">
            <v>1449500</v>
          </cell>
          <cell r="G9">
            <v>1448290</v>
          </cell>
        </row>
        <row r="10">
          <cell r="A10" t="str">
            <v>15-2021</v>
          </cell>
          <cell r="B10" t="str">
            <v>Mathematicians</v>
          </cell>
          <cell r="C10">
            <v>1.4723189999999999</v>
          </cell>
          <cell r="D10">
            <v>64690</v>
          </cell>
          <cell r="E10" t="e">
            <v>#N/A</v>
          </cell>
          <cell r="G10">
            <v>2220</v>
          </cell>
        </row>
        <row r="11">
          <cell r="A11" t="str">
            <v>23-1012</v>
          </cell>
          <cell r="B11" t="str">
            <v>Judicial Law Clerks</v>
          </cell>
          <cell r="C11">
            <v>1.4629730000000001</v>
          </cell>
          <cell r="D11">
            <v>104070</v>
          </cell>
          <cell r="E11">
            <v>13290</v>
          </cell>
          <cell r="G11">
            <v>13220</v>
          </cell>
        </row>
        <row r="12">
          <cell r="A12" t="str">
            <v>11-9033</v>
          </cell>
          <cell r="B12" t="str">
            <v>Education Administrators, Postsecondary</v>
          </cell>
          <cell r="C12">
            <v>1.461149</v>
          </cell>
          <cell r="D12">
            <v>67710</v>
          </cell>
          <cell r="E12">
            <v>180470</v>
          </cell>
          <cell r="G12">
            <v>176420</v>
          </cell>
        </row>
        <row r="13">
          <cell r="A13" t="str">
            <v>19-3031</v>
          </cell>
          <cell r="B13" t="str">
            <v>Clinical, Counseling, and School Psychologists</v>
          </cell>
          <cell r="C13">
            <v>1.456361</v>
          </cell>
          <cell r="D13">
            <v>91670</v>
          </cell>
          <cell r="E13" t="e">
            <v>#N/A</v>
          </cell>
          <cell r="G13" t="e">
            <v>#N/A</v>
          </cell>
        </row>
        <row r="14">
          <cell r="A14" t="str">
            <v>11-3031</v>
          </cell>
          <cell r="B14" t="str">
            <v>Financial Managers</v>
          </cell>
          <cell r="C14">
            <v>1.446232</v>
          </cell>
          <cell r="D14">
            <v>121680</v>
          </cell>
          <cell r="E14">
            <v>841710</v>
          </cell>
          <cell r="G14">
            <v>818620</v>
          </cell>
        </row>
        <row r="15">
          <cell r="A15" t="str">
            <v>13-1141</v>
          </cell>
          <cell r="B15" t="str">
            <v>Compensation, Benefits, and Job Analysis Specialists</v>
          </cell>
          <cell r="C15">
            <v>1.440985</v>
          </cell>
          <cell r="D15">
            <v>80190</v>
          </cell>
          <cell r="E15">
            <v>112380</v>
          </cell>
          <cell r="G15">
            <v>102370</v>
          </cell>
        </row>
        <row r="16">
          <cell r="A16" t="str">
            <v>43-4041</v>
          </cell>
          <cell r="B16" t="str">
            <v>Credit Authorizers, Checkers, and Clerks</v>
          </cell>
          <cell r="C16">
            <v>1.440296</v>
          </cell>
          <cell r="D16">
            <v>50280</v>
          </cell>
          <cell r="E16" t="e">
            <v>#N/A</v>
          </cell>
          <cell r="G16">
            <v>11960</v>
          </cell>
        </row>
        <row r="17">
          <cell r="A17" t="str">
            <v>25-1125</v>
          </cell>
          <cell r="B17" t="str">
            <v>History Teachers, Postsecondary</v>
          </cell>
          <cell r="C17">
            <v>1.4374899999999999</v>
          </cell>
          <cell r="D17" t="e">
            <v>#N/A</v>
          </cell>
          <cell r="E17">
            <v>18790</v>
          </cell>
          <cell r="G17">
            <v>19860</v>
          </cell>
        </row>
        <row r="18">
          <cell r="A18" t="str">
            <v>19-3092</v>
          </cell>
          <cell r="B18" t="str">
            <v>Geographers</v>
          </cell>
          <cell r="C18">
            <v>1.4362980000000001</v>
          </cell>
          <cell r="D18">
            <v>78240</v>
          </cell>
          <cell r="E18" t="e">
            <v>#N/A</v>
          </cell>
          <cell r="G18">
            <v>1380</v>
          </cell>
        </row>
        <row r="19">
          <cell r="A19" t="str">
            <v>19-1041</v>
          </cell>
          <cell r="B19" t="str">
            <v>Epidemiologists</v>
          </cell>
          <cell r="C19">
            <v>1.4362870000000001</v>
          </cell>
          <cell r="D19">
            <v>51500</v>
          </cell>
          <cell r="E19">
            <v>12090</v>
          </cell>
          <cell r="G19">
            <v>11460</v>
          </cell>
        </row>
        <row r="20">
          <cell r="A20" t="str">
            <v>13-1111</v>
          </cell>
          <cell r="B20" t="str">
            <v>Management Analysts</v>
          </cell>
          <cell r="C20">
            <v>1.4324170000000001</v>
          </cell>
          <cell r="D20">
            <v>59740</v>
          </cell>
          <cell r="E20">
            <v>898280</v>
          </cell>
          <cell r="G20">
            <v>893900</v>
          </cell>
        </row>
        <row r="21">
          <cell r="A21" t="str">
            <v>23-1022</v>
          </cell>
          <cell r="B21" t="str">
            <v>Arbitrators, Mediators, and Conciliators</v>
          </cell>
          <cell r="C21">
            <v>1.4315929999999999</v>
          </cell>
          <cell r="D21">
            <v>96690</v>
          </cell>
          <cell r="E21" t="e">
            <v>#N/A</v>
          </cell>
          <cell r="G21">
            <v>7860</v>
          </cell>
        </row>
        <row r="22">
          <cell r="A22" t="str">
            <v>13-1161</v>
          </cell>
          <cell r="B22" t="str">
            <v>Market Research Analysts and Marketing Specialists</v>
          </cell>
          <cell r="C22">
            <v>1.4267570000000001</v>
          </cell>
          <cell r="D22">
            <v>126650</v>
          </cell>
          <cell r="E22">
            <v>899580</v>
          </cell>
          <cell r="G22">
            <v>861140</v>
          </cell>
        </row>
        <row r="23">
          <cell r="A23" t="str">
            <v>19-3022</v>
          </cell>
          <cell r="B23" t="str">
            <v>Survey Researchers</v>
          </cell>
          <cell r="C23">
            <v>1.4265300000000001</v>
          </cell>
          <cell r="D23" t="e">
            <v>#N/A</v>
          </cell>
          <cell r="E23">
            <v>8290</v>
          </cell>
          <cell r="G23">
            <v>7720</v>
          </cell>
        </row>
        <row r="24">
          <cell r="A24" t="str">
            <v>11-3061</v>
          </cell>
          <cell r="B24" t="str">
            <v>Purchasing Managers</v>
          </cell>
          <cell r="C24">
            <v>1.4234260000000001</v>
          </cell>
          <cell r="D24">
            <v>103960</v>
          </cell>
          <cell r="E24">
            <v>84320</v>
          </cell>
          <cell r="G24">
            <v>81240</v>
          </cell>
        </row>
        <row r="25">
          <cell r="A25" t="str">
            <v>19-3094</v>
          </cell>
          <cell r="B25" t="str">
            <v>Political Scientists</v>
          </cell>
          <cell r="C25">
            <v>1.418863</v>
          </cell>
          <cell r="D25">
            <v>144580</v>
          </cell>
          <cell r="E25" t="e">
            <v>#N/A</v>
          </cell>
          <cell r="G25">
            <v>5950</v>
          </cell>
        </row>
        <row r="26">
          <cell r="A26" t="str">
            <v>25-1123</v>
          </cell>
          <cell r="B26" t="str">
            <v>English Language and Literature Teachers, Postsecondary</v>
          </cell>
          <cell r="C26">
            <v>1.4178329999999999</v>
          </cell>
          <cell r="D26">
            <v>68090</v>
          </cell>
          <cell r="E26">
            <v>57720</v>
          </cell>
          <cell r="G26">
            <v>59590</v>
          </cell>
        </row>
        <row r="27">
          <cell r="A27" t="str">
            <v>19-3041</v>
          </cell>
          <cell r="B27" t="str">
            <v>Sociologists</v>
          </cell>
          <cell r="C27">
            <v>1.411125</v>
          </cell>
          <cell r="D27">
            <v>75890</v>
          </cell>
          <cell r="E27" t="e">
            <v>#N/A</v>
          </cell>
          <cell r="G27">
            <v>2950</v>
          </cell>
        </row>
        <row r="28">
          <cell r="A28" t="str">
            <v>43-5011</v>
          </cell>
          <cell r="B28" t="str">
            <v>Cargo and Freight Agents</v>
          </cell>
          <cell r="C28">
            <v>1.4054150000000001</v>
          </cell>
          <cell r="D28">
            <v>63360</v>
          </cell>
          <cell r="E28">
            <v>97670</v>
          </cell>
          <cell r="G28">
            <v>97800</v>
          </cell>
        </row>
        <row r="29">
          <cell r="A29" t="str">
            <v>19-3011</v>
          </cell>
          <cell r="B29" t="str">
            <v>Economists</v>
          </cell>
          <cell r="C29">
            <v>1.403764</v>
          </cell>
          <cell r="D29">
            <v>64580</v>
          </cell>
          <cell r="E29">
            <v>17790</v>
          </cell>
          <cell r="G29">
            <v>15880</v>
          </cell>
        </row>
        <row r="30">
          <cell r="A30" t="str">
            <v>19-3032</v>
          </cell>
          <cell r="B30" t="str">
            <v>Industrial-Organizational Psychologists</v>
          </cell>
          <cell r="C30">
            <v>1.4024749999999999</v>
          </cell>
          <cell r="D30">
            <v>46610</v>
          </cell>
          <cell r="E30" t="e">
            <v>#N/A</v>
          </cell>
          <cell r="G30">
            <v>1050</v>
          </cell>
        </row>
        <row r="31">
          <cell r="A31" t="str">
            <v>13-2052</v>
          </cell>
          <cell r="B31" t="str">
            <v>Personal Financial Advisors</v>
          </cell>
          <cell r="C31">
            <v>1.400749</v>
          </cell>
          <cell r="D31">
            <v>77800</v>
          </cell>
          <cell r="E31">
            <v>266800</v>
          </cell>
          <cell r="G31">
            <v>270480</v>
          </cell>
        </row>
        <row r="32">
          <cell r="A32" t="str">
            <v>15-2031</v>
          </cell>
          <cell r="B32" t="str">
            <v>Operations Research Analysts</v>
          </cell>
          <cell r="C32">
            <v>1.40002</v>
          </cell>
          <cell r="D32">
            <v>95770</v>
          </cell>
          <cell r="E32">
            <v>108510</v>
          </cell>
          <cell r="G32">
            <v>107760</v>
          </cell>
        </row>
        <row r="33">
          <cell r="A33" t="str">
            <v>25-1111</v>
          </cell>
          <cell r="B33" t="str">
            <v>Criminal Justice and Law Enforcement Teachers, Postsecondary</v>
          </cell>
          <cell r="C33">
            <v>1.389999</v>
          </cell>
          <cell r="D33">
            <v>136550</v>
          </cell>
          <cell r="E33">
            <v>13150</v>
          </cell>
          <cell r="G33">
            <v>13560</v>
          </cell>
        </row>
        <row r="34">
          <cell r="A34" t="str">
            <v>43-9111</v>
          </cell>
          <cell r="B34" t="str">
            <v>Statistical Assistants</v>
          </cell>
          <cell r="C34">
            <v>1.3899649999999999</v>
          </cell>
          <cell r="D34">
            <v>92430</v>
          </cell>
          <cell r="E34" t="e">
            <v>#N/A</v>
          </cell>
          <cell r="G34">
            <v>5900</v>
          </cell>
        </row>
        <row r="35">
          <cell r="A35" t="str">
            <v>19-3039</v>
          </cell>
          <cell r="B35" t="str">
            <v>Psychologists, All Other</v>
          </cell>
          <cell r="C35">
            <v>1.3898539999999999</v>
          </cell>
          <cell r="D35">
            <v>47700</v>
          </cell>
          <cell r="E35">
            <v>18820</v>
          </cell>
          <cell r="G35">
            <v>17790</v>
          </cell>
        </row>
        <row r="36">
          <cell r="A36" t="str">
            <v>25-1082</v>
          </cell>
          <cell r="B36" t="str">
            <v>Library Science Teachers, Postsecondary</v>
          </cell>
          <cell r="C36">
            <v>1.3862920000000001</v>
          </cell>
          <cell r="D36">
            <v>65140</v>
          </cell>
          <cell r="E36" t="e">
            <v>#N/A</v>
          </cell>
          <cell r="G36">
            <v>4100</v>
          </cell>
        </row>
        <row r="37">
          <cell r="A37" t="str">
            <v>13-2072</v>
          </cell>
          <cell r="B37" t="str">
            <v>Loan Officers</v>
          </cell>
          <cell r="C37">
            <v>1.3857390000000001</v>
          </cell>
          <cell r="D37">
            <v>80970</v>
          </cell>
          <cell r="E37">
            <v>274330</v>
          </cell>
          <cell r="G37">
            <v>290530</v>
          </cell>
        </row>
        <row r="38">
          <cell r="A38" t="str">
            <v>13-2071</v>
          </cell>
          <cell r="B38" t="str">
            <v>Loan Counselors</v>
          </cell>
          <cell r="C38">
            <v>1.385381</v>
          </cell>
          <cell r="D38">
            <v>166290</v>
          </cell>
          <cell r="E38">
            <v>27770</v>
          </cell>
          <cell r="G38">
            <v>28110</v>
          </cell>
        </row>
        <row r="39">
          <cell r="A39" t="str">
            <v>15-2041</v>
          </cell>
          <cell r="B39" t="str">
            <v>Statisticians</v>
          </cell>
          <cell r="C39">
            <v>1.3827240000000001</v>
          </cell>
          <cell r="D39">
            <v>140030</v>
          </cell>
          <cell r="E39">
            <v>29030</v>
          </cell>
          <cell r="G39">
            <v>29800</v>
          </cell>
        </row>
        <row r="40">
          <cell r="A40" t="str">
            <v>13-2051</v>
          </cell>
          <cell r="B40" t="str">
            <v>Financial Analysts</v>
          </cell>
          <cell r="C40">
            <v>1.3806149999999999</v>
          </cell>
          <cell r="D40">
            <v>87710</v>
          </cell>
          <cell r="E40">
            <v>361980</v>
          </cell>
          <cell r="G40">
            <v>340580</v>
          </cell>
        </row>
        <row r="41">
          <cell r="A41" t="str">
            <v>23-1021</v>
          </cell>
          <cell r="B41" t="str">
            <v>Administrative Law Judges, Adjudicators, and Hearing Officers</v>
          </cell>
          <cell r="C41">
            <v>1.374714</v>
          </cell>
          <cell r="D41">
            <v>81270</v>
          </cell>
          <cell r="E41">
            <v>16370</v>
          </cell>
          <cell r="G41">
            <v>16230</v>
          </cell>
        </row>
        <row r="42">
          <cell r="A42" t="str">
            <v>19-2021</v>
          </cell>
          <cell r="B42" t="str">
            <v>Atmospheric and Space Scientists</v>
          </cell>
          <cell r="C42">
            <v>1.3739170000000001</v>
          </cell>
          <cell r="D42">
            <v>77280</v>
          </cell>
          <cell r="E42">
            <v>10000</v>
          </cell>
          <cell r="G42">
            <v>8780</v>
          </cell>
        </row>
        <row r="43">
          <cell r="A43" t="str">
            <v>19-2011</v>
          </cell>
          <cell r="B43" t="str">
            <v>Astronomers</v>
          </cell>
          <cell r="C43">
            <v>1.373737</v>
          </cell>
          <cell r="D43">
            <v>44640</v>
          </cell>
          <cell r="E43" t="e">
            <v>#N/A</v>
          </cell>
          <cell r="G43">
            <v>1560</v>
          </cell>
        </row>
        <row r="44">
          <cell r="A44" t="str">
            <v>25-1065</v>
          </cell>
          <cell r="B44" t="str">
            <v>Political Science Teachers, Postsecondary</v>
          </cell>
          <cell r="C44">
            <v>1.3683970000000001</v>
          </cell>
          <cell r="D44">
            <v>109660</v>
          </cell>
          <cell r="E44">
            <v>16970</v>
          </cell>
          <cell r="G44">
            <v>17170</v>
          </cell>
        </row>
        <row r="45">
          <cell r="A45" t="str">
            <v>13-1051</v>
          </cell>
          <cell r="B45" t="str">
            <v>Cost Estimators</v>
          </cell>
          <cell r="C45">
            <v>1.367669</v>
          </cell>
          <cell r="D45">
            <v>97450</v>
          </cell>
          <cell r="E45">
            <v>224220</v>
          </cell>
          <cell r="G45">
            <v>219530</v>
          </cell>
        </row>
        <row r="46">
          <cell r="A46" t="str">
            <v>21-1013</v>
          </cell>
          <cell r="B46" t="str">
            <v>Marriage and Family Therapists</v>
          </cell>
          <cell r="C46">
            <v>1.367434</v>
          </cell>
          <cell r="D46">
            <v>63490</v>
          </cell>
          <cell r="E46">
            <v>66740</v>
          </cell>
          <cell r="G46">
            <v>65870</v>
          </cell>
        </row>
        <row r="47">
          <cell r="A47" t="str">
            <v>13-2081</v>
          </cell>
          <cell r="B47" t="str">
            <v>Tax Examiners, Collectors, and Revenue Agents</v>
          </cell>
          <cell r="C47">
            <v>1.3668199999999999</v>
          </cell>
          <cell r="D47">
            <v>104170</v>
          </cell>
          <cell r="E47">
            <v>56610</v>
          </cell>
          <cell r="G47">
            <v>53530</v>
          </cell>
        </row>
        <row r="48">
          <cell r="A48" t="str">
            <v>43-4131</v>
          </cell>
          <cell r="B48" t="str">
            <v>Loan Interviewers and Clerks</v>
          </cell>
          <cell r="C48">
            <v>1.364395</v>
          </cell>
          <cell r="D48" t="e">
            <v>#N/A</v>
          </cell>
          <cell r="E48">
            <v>164790</v>
          </cell>
          <cell r="G48">
            <v>173100</v>
          </cell>
        </row>
        <row r="49">
          <cell r="A49" t="str">
            <v>25-1126</v>
          </cell>
          <cell r="B49" t="str">
            <v>Philosophy and Religion Teachers, Postsecondary</v>
          </cell>
          <cell r="C49">
            <v>1.3635219999999999</v>
          </cell>
          <cell r="D49">
            <v>105620</v>
          </cell>
          <cell r="E49">
            <v>20460</v>
          </cell>
          <cell r="G49">
            <v>20840</v>
          </cell>
        </row>
        <row r="50">
          <cell r="A50" t="str">
            <v>13-2099</v>
          </cell>
          <cell r="B50" t="str">
            <v>Financial Specialists, All Other</v>
          </cell>
          <cell r="C50">
            <v>1.361362</v>
          </cell>
          <cell r="D50" t="e">
            <v>#N/A</v>
          </cell>
          <cell r="E50">
            <v>132130</v>
          </cell>
          <cell r="G50">
            <v>127450</v>
          </cell>
        </row>
        <row r="51">
          <cell r="A51" t="str">
            <v>13-1071</v>
          </cell>
          <cell r="B51" t="str">
            <v>Employment, Recruitment, and Placement Specialists</v>
          </cell>
          <cell r="C51">
            <v>1.36005</v>
          </cell>
          <cell r="D51">
            <v>132170</v>
          </cell>
          <cell r="E51">
            <v>912430</v>
          </cell>
          <cell r="G51">
            <v>917460</v>
          </cell>
        </row>
        <row r="52">
          <cell r="A52" t="str">
            <v>25-1112</v>
          </cell>
          <cell r="B52" t="str">
            <v>Law Teachers, Postsecondary</v>
          </cell>
          <cell r="C52">
            <v>1.3564499999999999</v>
          </cell>
          <cell r="D52" t="e">
            <v>#N/A</v>
          </cell>
          <cell r="E52">
            <v>20060</v>
          </cell>
          <cell r="G52">
            <v>22800</v>
          </cell>
        </row>
        <row r="53">
          <cell r="A53" t="str">
            <v>43-4161</v>
          </cell>
          <cell r="B53" t="str">
            <v>Human Resources Assistants, Except Payroll and Timekeeping</v>
          </cell>
          <cell r="C53">
            <v>1.3530979999999999</v>
          </cell>
          <cell r="D53" t="e">
            <v>#N/A</v>
          </cell>
          <cell r="E53">
            <v>90220</v>
          </cell>
          <cell r="G53">
            <v>92580</v>
          </cell>
        </row>
        <row r="54">
          <cell r="A54" t="str">
            <v>25-1032</v>
          </cell>
          <cell r="B54" t="str">
            <v>Engineering Teachers, Postsecondary</v>
          </cell>
          <cell r="C54">
            <v>1.3511329999999999</v>
          </cell>
          <cell r="D54">
            <v>104160</v>
          </cell>
          <cell r="E54">
            <v>40270</v>
          </cell>
          <cell r="G54">
            <v>39910</v>
          </cell>
        </row>
        <row r="55">
          <cell r="A55" t="str">
            <v>25-1011</v>
          </cell>
          <cell r="B55" t="str">
            <v>Business Teachers, Postsecondary</v>
          </cell>
          <cell r="C55">
            <v>1.3493139999999999</v>
          </cell>
          <cell r="D55">
            <v>66140</v>
          </cell>
          <cell r="E55">
            <v>82150</v>
          </cell>
          <cell r="G55">
            <v>81780</v>
          </cell>
        </row>
        <row r="56">
          <cell r="A56" t="str">
            <v>25-1067</v>
          </cell>
          <cell r="B56" t="str">
            <v>Sociology Teachers, Postsecondary</v>
          </cell>
          <cell r="C56">
            <v>1.349229</v>
          </cell>
          <cell r="D56">
            <v>72270</v>
          </cell>
          <cell r="E56">
            <v>11850</v>
          </cell>
          <cell r="G56">
            <v>12380</v>
          </cell>
        </row>
        <row r="57">
          <cell r="A57" t="str">
            <v>25-3011</v>
          </cell>
          <cell r="B57" t="str">
            <v>Adult Literacy, Remedial Education, and GED Teachers and Instructors</v>
          </cell>
          <cell r="C57">
            <v>1.348951</v>
          </cell>
          <cell r="D57">
            <v>56270</v>
          </cell>
          <cell r="E57">
            <v>37310</v>
          </cell>
          <cell r="G57">
            <v>36260</v>
          </cell>
        </row>
        <row r="58">
          <cell r="A58" t="str">
            <v>25-1053</v>
          </cell>
          <cell r="B58" t="str">
            <v>Environmental Science Teachers, Postsecondary</v>
          </cell>
          <cell r="C58">
            <v>1.3475189999999999</v>
          </cell>
          <cell r="D58">
            <v>39130</v>
          </cell>
          <cell r="E58" t="e">
            <v>#N/A</v>
          </cell>
          <cell r="G58">
            <v>7130</v>
          </cell>
        </row>
        <row r="59">
          <cell r="A59" t="str">
            <v>25-1122</v>
          </cell>
          <cell r="B59" t="str">
            <v>Communications Teachers, Postsecondary</v>
          </cell>
          <cell r="C59">
            <v>1.3474349999999999</v>
          </cell>
          <cell r="D59">
            <v>83480</v>
          </cell>
          <cell r="E59">
            <v>29420</v>
          </cell>
          <cell r="G59">
            <v>29260</v>
          </cell>
        </row>
        <row r="60">
          <cell r="A60" t="str">
            <v>25-1113</v>
          </cell>
          <cell r="B60" t="str">
            <v>Social Work Teachers, Postsecondary</v>
          </cell>
          <cell r="C60">
            <v>1.3473269999999999</v>
          </cell>
          <cell r="D60">
            <v>42830</v>
          </cell>
          <cell r="E60">
            <v>12610</v>
          </cell>
          <cell r="G60">
            <v>13350</v>
          </cell>
        </row>
        <row r="61">
          <cell r="A61" t="str">
            <v>17-2151</v>
          </cell>
          <cell r="B61" t="str">
            <v>Mining and Geological Engineers, Including Mining Safety Engineers</v>
          </cell>
          <cell r="C61">
            <v>1.3469500000000001</v>
          </cell>
          <cell r="D61">
            <v>69780</v>
          </cell>
          <cell r="E61">
            <v>6080</v>
          </cell>
          <cell r="G61">
            <v>6770</v>
          </cell>
        </row>
        <row r="62">
          <cell r="A62" t="str">
            <v>19-2012</v>
          </cell>
          <cell r="B62" t="str">
            <v>Physicists</v>
          </cell>
          <cell r="C62">
            <v>1.345736</v>
          </cell>
          <cell r="D62">
            <v>66700</v>
          </cell>
          <cell r="E62">
            <v>20430</v>
          </cell>
          <cell r="G62">
            <v>21340</v>
          </cell>
        </row>
        <row r="63">
          <cell r="A63" t="str">
            <v>13-2041</v>
          </cell>
          <cell r="B63" t="str">
            <v>Credit Analysts</v>
          </cell>
          <cell r="C63">
            <v>1.3452679999999999</v>
          </cell>
          <cell r="D63">
            <v>59950</v>
          </cell>
          <cell r="E63">
            <v>64390</v>
          </cell>
          <cell r="G63">
            <v>67370</v>
          </cell>
        </row>
        <row r="64">
          <cell r="A64" t="str">
            <v>17-2081</v>
          </cell>
          <cell r="B64" t="str">
            <v>Environmental Engineers</v>
          </cell>
          <cell r="C64">
            <v>1.343561</v>
          </cell>
          <cell r="D64">
            <v>126960</v>
          </cell>
          <cell r="E64">
            <v>38340</v>
          </cell>
          <cell r="G64">
            <v>37950</v>
          </cell>
        </row>
        <row r="65">
          <cell r="A65" t="str">
            <v>29-1031</v>
          </cell>
          <cell r="B65" t="str">
            <v>Dietitians and Nutritionists</v>
          </cell>
          <cell r="C65">
            <v>1.3428089999999999</v>
          </cell>
          <cell r="D65">
            <v>61560</v>
          </cell>
          <cell r="E65">
            <v>77570</v>
          </cell>
          <cell r="G65">
            <v>76570</v>
          </cell>
        </row>
        <row r="66">
          <cell r="A66" t="str">
            <v>21-1014</v>
          </cell>
          <cell r="B66" t="str">
            <v>Mental Health Counselors</v>
          </cell>
          <cell r="C66">
            <v>1.34239</v>
          </cell>
          <cell r="D66">
            <v>60060</v>
          </cell>
          <cell r="E66" t="e">
            <v>#N/A</v>
          </cell>
          <cell r="G66" t="e">
            <v>#N/A</v>
          </cell>
        </row>
        <row r="67">
          <cell r="A67" t="str">
            <v>17-2041</v>
          </cell>
          <cell r="B67" t="str">
            <v>Chemical Engineers</v>
          </cell>
          <cell r="C67">
            <v>1.3413360000000001</v>
          </cell>
          <cell r="D67">
            <v>74720</v>
          </cell>
          <cell r="E67">
            <v>21070</v>
          </cell>
          <cell r="G67">
            <v>20330</v>
          </cell>
        </row>
        <row r="68">
          <cell r="A68" t="str">
            <v>41-3021</v>
          </cell>
          <cell r="B68" t="str">
            <v>Insurance Sales Agents</v>
          </cell>
          <cell r="C68">
            <v>1.3412580000000001</v>
          </cell>
          <cell r="D68">
            <v>70760</v>
          </cell>
          <cell r="E68">
            <v>479100</v>
          </cell>
          <cell r="G68">
            <v>469480</v>
          </cell>
        </row>
        <row r="69">
          <cell r="A69" t="str">
            <v>17-2011</v>
          </cell>
          <cell r="B69" t="str">
            <v>Aerospace Engineers</v>
          </cell>
          <cell r="C69">
            <v>1.338738</v>
          </cell>
          <cell r="D69">
            <v>101390</v>
          </cell>
          <cell r="E69">
            <v>67710</v>
          </cell>
          <cell r="G69">
            <v>68440</v>
          </cell>
        </row>
        <row r="70">
          <cell r="A70" t="str">
            <v>25-1022</v>
          </cell>
          <cell r="B70" t="str">
            <v>Mathematical Science Teachers, Postsecondary</v>
          </cell>
          <cell r="C70">
            <v>1.338676</v>
          </cell>
          <cell r="D70" t="e">
            <v>#N/A</v>
          </cell>
          <cell r="E70">
            <v>47670</v>
          </cell>
          <cell r="G70">
            <v>48820</v>
          </cell>
        </row>
        <row r="71">
          <cell r="A71" t="str">
            <v>13-1075</v>
          </cell>
          <cell r="B71" t="str">
            <v>Labor Relations Specialists</v>
          </cell>
          <cell r="C71">
            <v>1.3348340000000001</v>
          </cell>
          <cell r="D71">
            <v>77070</v>
          </cell>
          <cell r="E71">
            <v>64810</v>
          </cell>
          <cell r="G71">
            <v>64590</v>
          </cell>
        </row>
        <row r="72">
          <cell r="A72" t="str">
            <v>11-1011</v>
          </cell>
          <cell r="B72" t="str">
            <v>Chief Executives</v>
          </cell>
          <cell r="C72">
            <v>1.334246</v>
          </cell>
          <cell r="D72">
            <v>98910</v>
          </cell>
          <cell r="E72">
            <v>204350</v>
          </cell>
          <cell r="F72">
            <v>213990</v>
          </cell>
          <cell r="G72">
            <v>211850</v>
          </cell>
        </row>
        <row r="73">
          <cell r="A73" t="str">
            <v>25-1124</v>
          </cell>
          <cell r="B73" t="str">
            <v>Foreign Language and Literature Teachers, Postsecondary</v>
          </cell>
          <cell r="C73">
            <v>1.33412</v>
          </cell>
          <cell r="D73">
            <v>64200</v>
          </cell>
          <cell r="E73">
            <v>19830</v>
          </cell>
          <cell r="G73">
            <v>21170</v>
          </cell>
        </row>
        <row r="74">
          <cell r="A74" t="str">
            <v>25-1052</v>
          </cell>
          <cell r="B74" t="str">
            <v>Chemistry Teachers, Postsecondary</v>
          </cell>
          <cell r="C74">
            <v>1.333947</v>
          </cell>
          <cell r="D74">
            <v>111040</v>
          </cell>
          <cell r="E74">
            <v>19980</v>
          </cell>
          <cell r="G74">
            <v>20390</v>
          </cell>
        </row>
        <row r="75">
          <cell r="A75" t="str">
            <v>25-1066</v>
          </cell>
          <cell r="B75" t="str">
            <v>Psychology Teachers, Postsecondary</v>
          </cell>
          <cell r="C75">
            <v>1.3336600000000001</v>
          </cell>
          <cell r="D75">
            <v>43630</v>
          </cell>
          <cell r="E75">
            <v>41530</v>
          </cell>
          <cell r="G75">
            <v>41610</v>
          </cell>
        </row>
        <row r="76">
          <cell r="A76" t="str">
            <v>43-3021</v>
          </cell>
          <cell r="B76" t="str">
            <v>Billing and Posting Clerks and Machine Operators</v>
          </cell>
          <cell r="C76">
            <v>1.3334550000000001</v>
          </cell>
          <cell r="D76">
            <v>38370</v>
          </cell>
          <cell r="E76">
            <v>404060</v>
          </cell>
          <cell r="G76">
            <v>417500</v>
          </cell>
        </row>
        <row r="77">
          <cell r="A77" t="str">
            <v>23-1011</v>
          </cell>
          <cell r="B77" t="str">
            <v>Lawyers</v>
          </cell>
          <cell r="C77">
            <v>1.328783</v>
          </cell>
          <cell r="D77">
            <v>171200</v>
          </cell>
          <cell r="E77">
            <v>754500</v>
          </cell>
          <cell r="G77">
            <v>747750</v>
          </cell>
        </row>
        <row r="78">
          <cell r="A78" t="str">
            <v>19-3099</v>
          </cell>
          <cell r="B78" t="str">
            <v>Social Scientists and Related Workers, All Other</v>
          </cell>
          <cell r="C78">
            <v>1.3280479999999999</v>
          </cell>
          <cell r="D78">
            <v>46740</v>
          </cell>
          <cell r="E78">
            <v>37100</v>
          </cell>
          <cell r="G78">
            <v>36970</v>
          </cell>
        </row>
        <row r="79">
          <cell r="A79" t="str">
            <v>11-9121</v>
          </cell>
          <cell r="B79" t="str">
            <v>Natural Sciences Managers</v>
          </cell>
          <cell r="C79">
            <v>1.327906</v>
          </cell>
          <cell r="D79">
            <v>115440</v>
          </cell>
          <cell r="E79">
            <v>108690</v>
          </cell>
          <cell r="G79">
            <v>100870</v>
          </cell>
        </row>
        <row r="80">
          <cell r="A80" t="str">
            <v>13-2053</v>
          </cell>
          <cell r="B80" t="str">
            <v>Insurance Underwriters</v>
          </cell>
          <cell r="C80">
            <v>1.3266519999999999</v>
          </cell>
          <cell r="D80">
            <v>76210</v>
          </cell>
          <cell r="E80">
            <v>105420</v>
          </cell>
          <cell r="G80">
            <v>107820</v>
          </cell>
        </row>
        <row r="81">
          <cell r="A81" t="str">
            <v>25-3099</v>
          </cell>
          <cell r="B81" t="str">
            <v>Teachers and Instructors, All Other</v>
          </cell>
          <cell r="C81">
            <v>1.3253299999999999</v>
          </cell>
          <cell r="D81" t="e">
            <v>#N/A</v>
          </cell>
          <cell r="E81">
            <v>113790</v>
          </cell>
          <cell r="G81">
            <v>125010</v>
          </cell>
        </row>
        <row r="82">
          <cell r="A82" t="str">
            <v>25-1061</v>
          </cell>
          <cell r="B82" t="str">
            <v>Anthropology and Archeology Teachers, Postsecondary</v>
          </cell>
          <cell r="C82">
            <v>1.3216939999999999</v>
          </cell>
          <cell r="D82">
            <v>80060</v>
          </cell>
          <cell r="E82" t="e">
            <v>#N/A</v>
          </cell>
          <cell r="G82">
            <v>5260</v>
          </cell>
        </row>
        <row r="83">
          <cell r="A83" t="str">
            <v>11-3121</v>
          </cell>
          <cell r="B83" t="str">
            <v>Human Resources Managers</v>
          </cell>
          <cell r="C83">
            <v>1.320417</v>
          </cell>
          <cell r="D83">
            <v>77020</v>
          </cell>
          <cell r="E83">
            <v>220660</v>
          </cell>
          <cell r="G83">
            <v>215520</v>
          </cell>
        </row>
        <row r="84">
          <cell r="A84" t="str">
            <v>25-1063</v>
          </cell>
          <cell r="B84" t="str">
            <v>Economics Teachers, Postsecondary</v>
          </cell>
          <cell r="C84">
            <v>1.3190120000000001</v>
          </cell>
          <cell r="D84">
            <v>93330</v>
          </cell>
          <cell r="E84">
            <v>11560</v>
          </cell>
          <cell r="G84">
            <v>12420</v>
          </cell>
        </row>
        <row r="85">
          <cell r="A85" t="str">
            <v>25-1064</v>
          </cell>
          <cell r="B85" t="str">
            <v>Geography Teachers, Postsecondary</v>
          </cell>
          <cell r="C85">
            <v>1.318899</v>
          </cell>
          <cell r="D85">
            <v>102320</v>
          </cell>
          <cell r="E85" t="e">
            <v>#N/A</v>
          </cell>
          <cell r="G85">
            <v>3290</v>
          </cell>
        </row>
        <row r="86">
          <cell r="A86" t="str">
            <v>41-1012</v>
          </cell>
          <cell r="B86" t="str">
            <v>First-Line Supervisors/Managers of Non-Retail Sales Workers</v>
          </cell>
          <cell r="C86">
            <v>1.316195</v>
          </cell>
          <cell r="D86">
            <v>60990</v>
          </cell>
          <cell r="E86">
            <v>214390</v>
          </cell>
          <cell r="G86">
            <v>219010</v>
          </cell>
        </row>
        <row r="87">
          <cell r="A87" t="str">
            <v>11-2021</v>
          </cell>
          <cell r="B87" t="str">
            <v>Marketing Managers</v>
          </cell>
          <cell r="C87">
            <v>1.315032</v>
          </cell>
          <cell r="D87" t="e">
            <v>#N/A</v>
          </cell>
          <cell r="E87">
            <v>395240</v>
          </cell>
          <cell r="G87">
            <v>384980</v>
          </cell>
        </row>
        <row r="88">
          <cell r="A88" t="str">
            <v>25-1062</v>
          </cell>
          <cell r="B88" t="str">
            <v>Area, Ethnic, and Cultural Studies Teachers, Postsecondary</v>
          </cell>
          <cell r="C88">
            <v>1.3086990000000001</v>
          </cell>
          <cell r="D88">
            <v>37230</v>
          </cell>
          <cell r="E88">
            <v>11300</v>
          </cell>
          <cell r="G88">
            <v>11430</v>
          </cell>
        </row>
        <row r="89">
          <cell r="A89" t="str">
            <v>25-1051</v>
          </cell>
          <cell r="B89" t="str">
            <v>Atmospheric, Earth, Marine, and Space Sciences Teachers, Postsecondary</v>
          </cell>
          <cell r="C89">
            <v>1.3061560000000001</v>
          </cell>
          <cell r="D89">
            <v>106980</v>
          </cell>
          <cell r="E89" t="e">
            <v>#N/A</v>
          </cell>
          <cell r="G89">
            <v>11480</v>
          </cell>
        </row>
        <row r="90">
          <cell r="A90" t="str">
            <v>17-2161</v>
          </cell>
          <cell r="B90" t="str">
            <v>Nuclear Engineers</v>
          </cell>
          <cell r="C90">
            <v>1.3030090000000001</v>
          </cell>
          <cell r="D90" t="e">
            <v>#N/A</v>
          </cell>
          <cell r="E90">
            <v>15280</v>
          </cell>
          <cell r="G90">
            <v>14740</v>
          </cell>
        </row>
        <row r="91">
          <cell r="A91" t="str">
            <v>41-3099</v>
          </cell>
          <cell r="B91" t="str">
            <v>Sales Representatives, Services, All Other</v>
          </cell>
          <cell r="C91">
            <v>1.3026740000000001</v>
          </cell>
          <cell r="D91">
            <v>60250</v>
          </cell>
          <cell r="E91" t="e">
            <v>#N/A</v>
          </cell>
          <cell r="G91" t="e">
            <v>#N/A</v>
          </cell>
        </row>
        <row r="92">
          <cell r="A92" t="str">
            <v>25-9031</v>
          </cell>
          <cell r="B92" t="str">
            <v>Instructional Coordinators</v>
          </cell>
          <cell r="C92">
            <v>1.301855</v>
          </cell>
          <cell r="D92" t="e">
            <v>#N/A</v>
          </cell>
          <cell r="E92">
            <v>227760</v>
          </cell>
          <cell r="G92">
            <v>210850</v>
          </cell>
        </row>
        <row r="93">
          <cell r="A93" t="str">
            <v>11-3111</v>
          </cell>
          <cell r="B93" t="str">
            <v>Compensation and Benefits Managers</v>
          </cell>
          <cell r="C93">
            <v>1.298235</v>
          </cell>
          <cell r="D93">
            <v>161700</v>
          </cell>
          <cell r="E93">
            <v>22940</v>
          </cell>
          <cell r="G93">
            <v>20070</v>
          </cell>
        </row>
        <row r="94">
          <cell r="A94" t="str">
            <v>13-1081</v>
          </cell>
          <cell r="B94" t="str">
            <v>Logisticians</v>
          </cell>
          <cell r="C94">
            <v>1.2973030000000001</v>
          </cell>
          <cell r="D94">
            <v>63780</v>
          </cell>
          <cell r="E94">
            <v>251040</v>
          </cell>
          <cell r="G94">
            <v>235640</v>
          </cell>
        </row>
        <row r="95">
          <cell r="A95" t="str">
            <v>43-4111</v>
          </cell>
          <cell r="B95" t="str">
            <v>Interviewers, Except Eligibility and Loan</v>
          </cell>
          <cell r="C95">
            <v>1.297031</v>
          </cell>
          <cell r="D95">
            <v>59330</v>
          </cell>
          <cell r="E95">
            <v>148060</v>
          </cell>
          <cell r="G95">
            <v>157310</v>
          </cell>
        </row>
        <row r="96">
          <cell r="A96" t="str">
            <v>25-2053</v>
          </cell>
          <cell r="B96" t="str">
            <v>Special Education Teachers, Middle School</v>
          </cell>
          <cell r="C96">
            <v>1.2960719999999999</v>
          </cell>
          <cell r="D96">
            <v>65420</v>
          </cell>
          <cell r="E96" t="e">
            <v>#N/A</v>
          </cell>
          <cell r="G96" t="e">
            <v>#N/A</v>
          </cell>
        </row>
        <row r="97">
          <cell r="A97" t="str">
            <v>11-2011</v>
          </cell>
          <cell r="B97" t="str">
            <v>Advertising and Promotions Managers</v>
          </cell>
          <cell r="C97">
            <v>1.294387</v>
          </cell>
          <cell r="D97">
            <v>125770</v>
          </cell>
          <cell r="E97">
            <v>21470</v>
          </cell>
          <cell r="G97">
            <v>21100</v>
          </cell>
        </row>
        <row r="98">
          <cell r="A98" t="str">
            <v>13-2082</v>
          </cell>
          <cell r="B98" t="str">
            <v>Tax Preparers</v>
          </cell>
          <cell r="C98">
            <v>1.2937099999999999</v>
          </cell>
          <cell r="D98">
            <v>73850</v>
          </cell>
          <cell r="E98">
            <v>76480</v>
          </cell>
          <cell r="G98">
            <v>73570</v>
          </cell>
        </row>
        <row r="99">
          <cell r="A99" t="str">
            <v>11-2032</v>
          </cell>
          <cell r="B99" t="str">
            <v>Public Relations Managers</v>
          </cell>
          <cell r="C99">
            <v>1.2936890000000001</v>
          </cell>
          <cell r="D99">
            <v>156210</v>
          </cell>
          <cell r="E99">
            <v>74850</v>
          </cell>
          <cell r="G99">
            <v>76060</v>
          </cell>
        </row>
        <row r="100">
          <cell r="A100" t="str">
            <v>23-2011</v>
          </cell>
          <cell r="B100" t="str">
            <v>Paralegals and Legal Assistants</v>
          </cell>
          <cell r="C100">
            <v>1.292055</v>
          </cell>
          <cell r="D100">
            <v>97360</v>
          </cell>
          <cell r="E100">
            <v>392880</v>
          </cell>
          <cell r="G100">
            <v>367220</v>
          </cell>
        </row>
        <row r="101">
          <cell r="A101" t="str">
            <v>43-9081</v>
          </cell>
          <cell r="B101" t="str">
            <v>Proofreaders and Copy Markers</v>
          </cell>
          <cell r="C101">
            <v>1.288375</v>
          </cell>
          <cell r="D101">
            <v>48640</v>
          </cell>
          <cell r="E101" t="e">
            <v>#N/A</v>
          </cell>
          <cell r="G101">
            <v>5160</v>
          </cell>
        </row>
        <row r="102">
          <cell r="A102" t="str">
            <v>25-2022</v>
          </cell>
          <cell r="B102" t="str">
            <v>Middle School Teachers, Except Special and Vocational Education</v>
          </cell>
          <cell r="C102">
            <v>1.2864450000000001</v>
          </cell>
          <cell r="D102">
            <v>63670</v>
          </cell>
          <cell r="E102">
            <v>620090</v>
          </cell>
          <cell r="G102">
            <v>620370</v>
          </cell>
        </row>
        <row r="103">
          <cell r="A103" t="str">
            <v>27-3031</v>
          </cell>
          <cell r="B103" t="str">
            <v>Public Relations Specialists</v>
          </cell>
          <cell r="C103">
            <v>1.2849269999999999</v>
          </cell>
          <cell r="D103">
            <v>61570</v>
          </cell>
          <cell r="E103">
            <v>283380</v>
          </cell>
          <cell r="G103">
            <v>280590</v>
          </cell>
        </row>
        <row r="104">
          <cell r="A104" t="str">
            <v>15-1141</v>
          </cell>
          <cell r="B104" t="str">
            <v>Database Administrators</v>
          </cell>
          <cell r="C104">
            <v>1.2848630000000001</v>
          </cell>
          <cell r="D104">
            <v>86220</v>
          </cell>
          <cell r="E104" t="e">
            <v>#N/A</v>
          </cell>
          <cell r="G104" t="e">
            <v>#N/A</v>
          </cell>
        </row>
        <row r="105">
          <cell r="A105" t="str">
            <v>11-3131</v>
          </cell>
          <cell r="B105" t="str">
            <v>Training and Development Managers</v>
          </cell>
          <cell r="C105">
            <v>1.2844230000000001</v>
          </cell>
          <cell r="D105">
            <v>49130</v>
          </cell>
          <cell r="E105">
            <v>48050</v>
          </cell>
          <cell r="G105">
            <v>44960</v>
          </cell>
        </row>
        <row r="106">
          <cell r="A106" t="str">
            <v>15-1133</v>
          </cell>
          <cell r="B106" t="str">
            <v>Software Developers, Systems Software</v>
          </cell>
          <cell r="C106">
            <v>1.2833079999999999</v>
          </cell>
          <cell r="D106">
            <v>206420</v>
          </cell>
          <cell r="E106" t="e">
            <v>#N/A</v>
          </cell>
          <cell r="G106" t="e">
            <v>#N/A</v>
          </cell>
        </row>
        <row r="107">
          <cell r="A107" t="str">
            <v>17-2051</v>
          </cell>
          <cell r="B107" t="str">
            <v>Civil Engineers</v>
          </cell>
          <cell r="C107">
            <v>1.282867</v>
          </cell>
          <cell r="D107">
            <v>140360</v>
          </cell>
          <cell r="E107">
            <v>367840</v>
          </cell>
          <cell r="G107">
            <v>355410</v>
          </cell>
        </row>
        <row r="108">
          <cell r="A108" t="str">
            <v>21-2011</v>
          </cell>
          <cell r="B108" t="str">
            <v>Clergy</v>
          </cell>
          <cell r="C108">
            <v>1.282559</v>
          </cell>
          <cell r="D108">
            <v>96310</v>
          </cell>
          <cell r="E108">
            <v>57200</v>
          </cell>
          <cell r="G108">
            <v>58080</v>
          </cell>
        </row>
        <row r="109">
          <cell r="A109" t="str">
            <v>29-1066</v>
          </cell>
          <cell r="B109" t="str">
            <v>Psychiatrists</v>
          </cell>
          <cell r="C109">
            <v>1.280753</v>
          </cell>
          <cell r="D109">
            <v>46110</v>
          </cell>
          <cell r="E109" t="e">
            <v>#N/A</v>
          </cell>
          <cell r="G109" t="e">
            <v>#N/A</v>
          </cell>
        </row>
        <row r="110">
          <cell r="A110" t="str">
            <v>23-2093</v>
          </cell>
          <cell r="B110" t="str">
            <v>Title Examiners, Abstractors, and Searchers</v>
          </cell>
          <cell r="C110">
            <v>1.279954</v>
          </cell>
          <cell r="D110">
            <v>49210</v>
          </cell>
          <cell r="E110">
            <v>48580</v>
          </cell>
          <cell r="G110">
            <v>48170</v>
          </cell>
        </row>
        <row r="111">
          <cell r="A111" t="str">
            <v>19-1042</v>
          </cell>
          <cell r="B111" t="str">
            <v>Medical Scientists, Except Epidemiologists</v>
          </cell>
          <cell r="C111">
            <v>1.279928</v>
          </cell>
          <cell r="D111">
            <v>101480</v>
          </cell>
          <cell r="E111">
            <v>172340</v>
          </cell>
          <cell r="G111">
            <v>156300</v>
          </cell>
        </row>
        <row r="112">
          <cell r="A112" t="str">
            <v>25-1021</v>
          </cell>
          <cell r="B112" t="str">
            <v>Computer Science Teachers, Postsecondary</v>
          </cell>
          <cell r="C112">
            <v>1.2777780000000001</v>
          </cell>
          <cell r="D112">
            <v>108310</v>
          </cell>
          <cell r="E112">
            <v>35480</v>
          </cell>
          <cell r="G112">
            <v>36240</v>
          </cell>
        </row>
        <row r="113">
          <cell r="A113" t="str">
            <v>13-1031</v>
          </cell>
          <cell r="B113" t="str">
            <v>Claims Adjusters, Examiners, and Investigators</v>
          </cell>
          <cell r="C113">
            <v>1.274024</v>
          </cell>
          <cell r="D113">
            <v>103300</v>
          </cell>
          <cell r="E113">
            <v>324230</v>
          </cell>
          <cell r="G113">
            <v>305020</v>
          </cell>
        </row>
        <row r="114">
          <cell r="A114" t="str">
            <v>43-3011</v>
          </cell>
          <cell r="B114" t="str">
            <v>Bill and Account Collectors</v>
          </cell>
          <cell r="C114">
            <v>1.2719910000000001</v>
          </cell>
          <cell r="D114">
            <v>36650</v>
          </cell>
          <cell r="E114">
            <v>158830</v>
          </cell>
          <cell r="G114">
            <v>165020</v>
          </cell>
        </row>
        <row r="115">
          <cell r="A115" t="str">
            <v>15-1251</v>
          </cell>
          <cell r="B115" t="str">
            <v>Computer Programmers</v>
          </cell>
          <cell r="C115">
            <v>1.271506</v>
          </cell>
          <cell r="D115">
            <v>79350</v>
          </cell>
          <cell r="E115">
            <v>92230</v>
          </cell>
          <cell r="G115">
            <v>109870</v>
          </cell>
        </row>
        <row r="116">
          <cell r="A116" t="str">
            <v>11-2022</v>
          </cell>
          <cell r="B116" t="str">
            <v>Sales Managers</v>
          </cell>
          <cell r="C116">
            <v>1.2662800000000001</v>
          </cell>
          <cell r="D116">
            <v>87930</v>
          </cell>
          <cell r="E116">
            <v>637080</v>
          </cell>
          <cell r="G116">
            <v>603710</v>
          </cell>
        </row>
        <row r="117">
          <cell r="A117" t="str">
            <v>25-1043</v>
          </cell>
          <cell r="B117" t="str">
            <v>Forestry and Conservation Science Teachers, Postsecondary</v>
          </cell>
          <cell r="C117">
            <v>1.260278</v>
          </cell>
          <cell r="D117">
            <v>86130</v>
          </cell>
          <cell r="E117" t="e">
            <v>#N/A</v>
          </cell>
          <cell r="G117">
            <v>1310</v>
          </cell>
        </row>
        <row r="118">
          <cell r="A118" t="str">
            <v>11-9111</v>
          </cell>
          <cell r="B118" t="str">
            <v>Medical and Health Services Managers</v>
          </cell>
          <cell r="C118">
            <v>1.260259</v>
          </cell>
          <cell r="D118">
            <v>49900</v>
          </cell>
          <cell r="E118">
            <v>597080</v>
          </cell>
          <cell r="G118">
            <v>565840</v>
          </cell>
        </row>
        <row r="119">
          <cell r="A119" t="str">
            <v>43-3051</v>
          </cell>
          <cell r="B119" t="str">
            <v>Payroll and Timekeeping Clerks</v>
          </cell>
          <cell r="C119">
            <v>1.2576320000000001</v>
          </cell>
          <cell r="D119">
            <v>40860</v>
          </cell>
          <cell r="E119">
            <v>153140</v>
          </cell>
          <cell r="G119">
            <v>156950</v>
          </cell>
        </row>
        <row r="120">
          <cell r="A120" t="str">
            <v>41-3031</v>
          </cell>
          <cell r="B120" t="str">
            <v>Securities, Commodities, and Financial Services Sales Agents</v>
          </cell>
          <cell r="C120">
            <v>1.2562979999999999</v>
          </cell>
          <cell r="D120">
            <v>78690</v>
          </cell>
          <cell r="E120">
            <v>489570</v>
          </cell>
          <cell r="G120">
            <v>472300</v>
          </cell>
        </row>
        <row r="121">
          <cell r="A121" t="str">
            <v>15-1122</v>
          </cell>
          <cell r="B121" t="str">
            <v>Information Security Analysts</v>
          </cell>
          <cell r="C121">
            <v>1.250146</v>
          </cell>
          <cell r="D121">
            <v>134830</v>
          </cell>
          <cell r="E121" t="e">
            <v>#N/A</v>
          </cell>
          <cell r="G121" t="e">
            <v>#N/A</v>
          </cell>
        </row>
        <row r="122">
          <cell r="A122" t="str">
            <v>17-2171</v>
          </cell>
          <cell r="B122" t="str">
            <v>Petroleum Engineers</v>
          </cell>
          <cell r="C122">
            <v>1.247779</v>
          </cell>
          <cell r="D122">
            <v>127090</v>
          </cell>
          <cell r="E122">
            <v>18060</v>
          </cell>
          <cell r="G122">
            <v>18970</v>
          </cell>
        </row>
        <row r="123">
          <cell r="A123" t="str">
            <v>13-1131</v>
          </cell>
          <cell r="B123" t="str">
            <v>Fundraisers</v>
          </cell>
          <cell r="C123">
            <v>1.242567</v>
          </cell>
          <cell r="D123">
            <v>78050</v>
          </cell>
          <cell r="E123">
            <v>111040</v>
          </cell>
          <cell r="G123">
            <v>105930</v>
          </cell>
        </row>
        <row r="124">
          <cell r="A124" t="str">
            <v>43-9041</v>
          </cell>
          <cell r="B124" t="str">
            <v>Insurance Claims and Policy Processing Clerks</v>
          </cell>
          <cell r="C124">
            <v>1.2402010000000001</v>
          </cell>
          <cell r="D124">
            <v>37700</v>
          </cell>
          <cell r="E124">
            <v>214260</v>
          </cell>
          <cell r="G124">
            <v>229070</v>
          </cell>
        </row>
        <row r="125">
          <cell r="A125" t="str">
            <v>43-5032</v>
          </cell>
          <cell r="B125" t="str">
            <v>Dispatchers, Except Police, Fire, and Ambulance</v>
          </cell>
          <cell r="C125">
            <v>1.234523</v>
          </cell>
          <cell r="D125">
            <v>62340</v>
          </cell>
          <cell r="E125">
            <v>202810</v>
          </cell>
          <cell r="G125">
            <v>211000</v>
          </cell>
        </row>
        <row r="126">
          <cell r="A126" t="str">
            <v>15-1199</v>
          </cell>
          <cell r="B126" t="str">
            <v>Computer Occupations, All Other</v>
          </cell>
          <cell r="C126">
            <v>1.2327049999999999</v>
          </cell>
          <cell r="D126">
            <v>161180</v>
          </cell>
          <cell r="E126" t="e">
            <v>#N/A</v>
          </cell>
          <cell r="G126" t="e">
            <v>#N/A</v>
          </cell>
        </row>
        <row r="127">
          <cell r="A127" t="str">
            <v>25-1042</v>
          </cell>
          <cell r="B127" t="str">
            <v>Biological Science Teachers, Postsecondary</v>
          </cell>
          <cell r="C127">
            <v>1.2276769999999999</v>
          </cell>
          <cell r="D127" t="e">
            <v>#N/A</v>
          </cell>
          <cell r="E127">
            <v>50190</v>
          </cell>
          <cell r="G127">
            <v>53250</v>
          </cell>
        </row>
        <row r="128">
          <cell r="A128" t="str">
            <v>19-3051</v>
          </cell>
          <cell r="B128" t="str">
            <v>Urban and Regional Planners</v>
          </cell>
          <cell r="C128">
            <v>1.2275160000000001</v>
          </cell>
          <cell r="D128" t="e">
            <v>#N/A</v>
          </cell>
          <cell r="E128">
            <v>44230</v>
          </cell>
          <cell r="G128">
            <v>43040</v>
          </cell>
        </row>
        <row r="129">
          <cell r="A129" t="str">
            <v>43-4061</v>
          </cell>
          <cell r="B129" t="str">
            <v>Eligibility Interviewers, Government Programs</v>
          </cell>
          <cell r="C129">
            <v>1.226286</v>
          </cell>
          <cell r="D129">
            <v>74080</v>
          </cell>
          <cell r="E129">
            <v>154800</v>
          </cell>
          <cell r="G129">
            <v>156260</v>
          </cell>
        </row>
        <row r="130">
          <cell r="A130" t="str">
            <v>25-1031</v>
          </cell>
          <cell r="B130" t="str">
            <v>Architecture Teachers, Postsecondary</v>
          </cell>
          <cell r="C130">
            <v>1.2220219999999999</v>
          </cell>
          <cell r="D130">
            <v>79660</v>
          </cell>
          <cell r="E130" t="e">
            <v>#N/A</v>
          </cell>
          <cell r="G130">
            <v>9120</v>
          </cell>
        </row>
        <row r="131">
          <cell r="A131" t="str">
            <v>43-6013</v>
          </cell>
          <cell r="B131" t="str">
            <v>Medical Secretaries</v>
          </cell>
          <cell r="C131">
            <v>1.2179819999999999</v>
          </cell>
          <cell r="D131">
            <v>100940</v>
          </cell>
          <cell r="E131">
            <v>961610</v>
          </cell>
          <cell r="G131">
            <v>830760</v>
          </cell>
        </row>
        <row r="132">
          <cell r="A132" t="str">
            <v>11-9141</v>
          </cell>
          <cell r="B132" t="str">
            <v>Property, Real Estate, and Community Association Managers</v>
          </cell>
          <cell r="C132">
            <v>1.2153959999999999</v>
          </cell>
          <cell r="D132">
            <v>102140</v>
          </cell>
          <cell r="E132">
            <v>311180</v>
          </cell>
          <cell r="G132">
            <v>296640</v>
          </cell>
        </row>
        <row r="133">
          <cell r="A133" t="str">
            <v>25-1192</v>
          </cell>
          <cell r="B133" t="str">
            <v>Home Economics Teachers, Postsecondary</v>
          </cell>
          <cell r="C133">
            <v>1.211652</v>
          </cell>
          <cell r="D133">
            <v>73720</v>
          </cell>
          <cell r="E133" t="e">
            <v>#N/A</v>
          </cell>
          <cell r="G133">
            <v>2630</v>
          </cell>
        </row>
        <row r="134">
          <cell r="A134" t="str">
            <v>21-2021</v>
          </cell>
          <cell r="B134" t="str">
            <v>Directors, Religious Activities and Education</v>
          </cell>
          <cell r="C134">
            <v>1.2109220000000001</v>
          </cell>
          <cell r="D134">
            <v>37550</v>
          </cell>
          <cell r="E134">
            <v>22160</v>
          </cell>
          <cell r="G134">
            <v>21460</v>
          </cell>
        </row>
        <row r="135">
          <cell r="A135" t="str">
            <v>19-4061</v>
          </cell>
          <cell r="B135" t="str">
            <v>Social Science Research Assistants</v>
          </cell>
          <cell r="C135">
            <v>1.2046520000000001</v>
          </cell>
          <cell r="D135">
            <v>117960</v>
          </cell>
          <cell r="E135">
            <v>30640</v>
          </cell>
          <cell r="G135">
            <v>32940</v>
          </cell>
        </row>
        <row r="136">
          <cell r="A136" t="str">
            <v>15-1132</v>
          </cell>
          <cell r="B136" t="str">
            <v>Software Developers, Applications</v>
          </cell>
          <cell r="C136">
            <v>1.200923</v>
          </cell>
          <cell r="D136">
            <v>93500</v>
          </cell>
          <cell r="E136" t="e">
            <v>#N/A</v>
          </cell>
          <cell r="G136" t="e">
            <v>#N/A</v>
          </cell>
        </row>
        <row r="137">
          <cell r="A137" t="str">
            <v>13-1151</v>
          </cell>
          <cell r="B137" t="str">
            <v>Training and Development Specialists</v>
          </cell>
          <cell r="C137">
            <v>1.1984090000000001</v>
          </cell>
          <cell r="D137">
            <v>72910</v>
          </cell>
          <cell r="E137">
            <v>458300</v>
          </cell>
          <cell r="G137">
            <v>436610</v>
          </cell>
        </row>
        <row r="138">
          <cell r="A138" t="str">
            <v>15-1121</v>
          </cell>
          <cell r="B138" t="str">
            <v>Computer Systems Analysts</v>
          </cell>
          <cell r="C138">
            <v>1.19815</v>
          </cell>
          <cell r="D138">
            <v>60370</v>
          </cell>
          <cell r="E138" t="e">
            <v>#N/A</v>
          </cell>
          <cell r="G138" t="e">
            <v>#N/A</v>
          </cell>
        </row>
        <row r="139">
          <cell r="A139" t="str">
            <v>25-1081</v>
          </cell>
          <cell r="B139" t="str">
            <v>Education Teachers, Postsecondary</v>
          </cell>
          <cell r="C139">
            <v>1.1929879999999999</v>
          </cell>
          <cell r="D139">
            <v>38370</v>
          </cell>
          <cell r="E139">
            <v>60830</v>
          </cell>
          <cell r="G139">
            <v>59090</v>
          </cell>
        </row>
        <row r="140">
          <cell r="A140" t="str">
            <v>25-2031</v>
          </cell>
          <cell r="B140" t="str">
            <v>Secondary School Teachers, Except Special and Vocational Education</v>
          </cell>
          <cell r="C140">
            <v>1.191325</v>
          </cell>
          <cell r="D140">
            <v>56320</v>
          </cell>
          <cell r="E140">
            <v>1065210</v>
          </cell>
          <cell r="G140">
            <v>1072540</v>
          </cell>
        </row>
        <row r="141">
          <cell r="A141" t="str">
            <v>27-3022</v>
          </cell>
          <cell r="B141" t="str">
            <v>Reporters and Correspondents</v>
          </cell>
          <cell r="C141">
            <v>1.186679</v>
          </cell>
          <cell r="D141">
            <v>63000</v>
          </cell>
          <cell r="E141" t="e">
            <v>#N/A</v>
          </cell>
          <cell r="G141" t="e">
            <v>#N/A</v>
          </cell>
        </row>
        <row r="142">
          <cell r="A142" t="str">
            <v>27-3042</v>
          </cell>
          <cell r="B142" t="str">
            <v>Technical Writers</v>
          </cell>
          <cell r="C142">
            <v>1.1840010000000001</v>
          </cell>
          <cell r="D142" t="e">
            <v>#N/A</v>
          </cell>
          <cell r="E142">
            <v>45500</v>
          </cell>
          <cell r="G142">
            <v>55530</v>
          </cell>
        </row>
        <row r="143">
          <cell r="A143" t="str">
            <v>43-4141</v>
          </cell>
          <cell r="B143" t="str">
            <v>New Accounts Clerks</v>
          </cell>
          <cell r="C143">
            <v>1.174998</v>
          </cell>
          <cell r="D143">
            <v>47060</v>
          </cell>
          <cell r="E143">
            <v>36860</v>
          </cell>
          <cell r="G143">
            <v>38030</v>
          </cell>
        </row>
        <row r="144">
          <cell r="A144" t="str">
            <v>43-4031</v>
          </cell>
          <cell r="B144" t="str">
            <v>Court, Municipal, and License Clerks</v>
          </cell>
          <cell r="C144">
            <v>1.1662669999999999</v>
          </cell>
          <cell r="D144">
            <v>68180</v>
          </cell>
          <cell r="E144">
            <v>179750</v>
          </cell>
          <cell r="G144">
            <v>170010</v>
          </cell>
        </row>
        <row r="145">
          <cell r="A145" t="str">
            <v>25-1193</v>
          </cell>
          <cell r="B145" t="str">
            <v>Recreation and Fitness Studies Teachers, Postsecondary</v>
          </cell>
          <cell r="C145">
            <v>1.16489</v>
          </cell>
          <cell r="D145">
            <v>50730</v>
          </cell>
          <cell r="E145">
            <v>12630</v>
          </cell>
          <cell r="G145">
            <v>12680</v>
          </cell>
        </row>
        <row r="146">
          <cell r="A146" t="str">
            <v>27-3021</v>
          </cell>
          <cell r="B146" t="str">
            <v>Broadcast News Analysts</v>
          </cell>
          <cell r="C146">
            <v>1.1635169999999999</v>
          </cell>
          <cell r="D146">
            <v>87330</v>
          </cell>
          <cell r="E146" t="e">
            <v>#N/A</v>
          </cell>
          <cell r="G146" t="e">
            <v>#N/A</v>
          </cell>
        </row>
        <row r="147">
          <cell r="A147" t="str">
            <v>41-3011</v>
          </cell>
          <cell r="B147" t="str">
            <v>Advertising Sales Agents</v>
          </cell>
          <cell r="C147">
            <v>1.162588</v>
          </cell>
          <cell r="D147">
            <v>83400</v>
          </cell>
          <cell r="E147">
            <v>91700</v>
          </cell>
          <cell r="G147">
            <v>97470</v>
          </cell>
        </row>
        <row r="148">
          <cell r="A148" t="str">
            <v>11-9151</v>
          </cell>
          <cell r="B148" t="str">
            <v>Social and Community Service Managers</v>
          </cell>
          <cell r="C148">
            <v>1.156153</v>
          </cell>
          <cell r="D148">
            <v>91290</v>
          </cell>
          <cell r="E148">
            <v>209330</v>
          </cell>
          <cell r="G148">
            <v>195490</v>
          </cell>
        </row>
        <row r="149">
          <cell r="A149" t="str">
            <v>15-1111</v>
          </cell>
          <cell r="B149" t="str">
            <v>Computer and Information Research Scientists</v>
          </cell>
          <cell r="C149">
            <v>1.154269</v>
          </cell>
          <cell r="D149">
            <v>121860</v>
          </cell>
          <cell r="E149" t="e">
            <v>#N/A</v>
          </cell>
          <cell r="G149" t="e">
            <v>#N/A</v>
          </cell>
        </row>
        <row r="150">
          <cell r="A150" t="str">
            <v>53-2021</v>
          </cell>
          <cell r="B150" t="str">
            <v>Air Traffic Controllers</v>
          </cell>
          <cell r="C150">
            <v>1.152798</v>
          </cell>
          <cell r="D150">
            <v>47510</v>
          </cell>
          <cell r="E150" t="e">
            <v>#N/A</v>
          </cell>
          <cell r="G150">
            <v>22400</v>
          </cell>
        </row>
        <row r="151">
          <cell r="A151" t="str">
            <v>43-4021</v>
          </cell>
          <cell r="B151" t="str">
            <v>Correspondence Clerks</v>
          </cell>
          <cell r="C151">
            <v>1.1497580000000001</v>
          </cell>
          <cell r="D151">
            <v>54810</v>
          </cell>
          <cell r="E151" t="e">
            <v>#N/A</v>
          </cell>
          <cell r="G151">
            <v>6260</v>
          </cell>
        </row>
        <row r="152">
          <cell r="A152" t="str">
            <v>41-9021</v>
          </cell>
          <cell r="B152" t="str">
            <v>Real Estate Brokers</v>
          </cell>
          <cell r="C152">
            <v>1.149681</v>
          </cell>
          <cell r="D152">
            <v>40100</v>
          </cell>
          <cell r="E152">
            <v>46100</v>
          </cell>
          <cell r="G152">
            <v>49590</v>
          </cell>
        </row>
        <row r="153">
          <cell r="A153" t="str">
            <v>29-1127</v>
          </cell>
          <cell r="B153" t="str">
            <v>Speech-Language Pathologists</v>
          </cell>
          <cell r="C153">
            <v>1.1462669999999999</v>
          </cell>
          <cell r="D153" t="e">
            <v>#N/A</v>
          </cell>
          <cell r="E153">
            <v>183390</v>
          </cell>
          <cell r="G153">
            <v>178790</v>
          </cell>
        </row>
        <row r="154">
          <cell r="A154" t="str">
            <v>41-9031</v>
          </cell>
          <cell r="B154" t="str">
            <v>Sales Engineers</v>
          </cell>
          <cell r="C154">
            <v>1.145416</v>
          </cell>
          <cell r="D154">
            <v>97540</v>
          </cell>
          <cell r="E154">
            <v>51790</v>
          </cell>
          <cell r="G154">
            <v>56690</v>
          </cell>
        </row>
        <row r="155">
          <cell r="A155" t="str">
            <v>43-4011</v>
          </cell>
          <cell r="B155" t="str">
            <v>Brokerage Clerks</v>
          </cell>
          <cell r="C155">
            <v>1.1448769999999999</v>
          </cell>
          <cell r="D155">
            <v>68810</v>
          </cell>
          <cell r="E155">
            <v>35940</v>
          </cell>
          <cell r="G155">
            <v>40090</v>
          </cell>
        </row>
        <row r="156">
          <cell r="A156" t="str">
            <v>17-2061</v>
          </cell>
          <cell r="B156" t="str">
            <v>Computer Hardware Engineers</v>
          </cell>
          <cell r="C156">
            <v>1.141812</v>
          </cell>
          <cell r="D156">
            <v>80880</v>
          </cell>
          <cell r="E156">
            <v>76660</v>
          </cell>
          <cell r="G156">
            <v>75710</v>
          </cell>
        </row>
        <row r="157">
          <cell r="A157" t="str">
            <v>19-2099</v>
          </cell>
          <cell r="B157" t="str">
            <v>Physical Scientists, All Other</v>
          </cell>
          <cell r="C157">
            <v>1.1401570000000001</v>
          </cell>
          <cell r="D157">
            <v>72090</v>
          </cell>
          <cell r="E157">
            <v>22300</v>
          </cell>
          <cell r="G157">
            <v>22580</v>
          </cell>
        </row>
        <row r="158">
          <cell r="A158" t="str">
            <v>17-2112</v>
          </cell>
          <cell r="B158" t="str">
            <v>Industrial Engineers</v>
          </cell>
          <cell r="C158">
            <v>1.1378699999999999</v>
          </cell>
          <cell r="D158">
            <v>138520</v>
          </cell>
          <cell r="E158">
            <v>365740</v>
          </cell>
          <cell r="G158">
            <v>350230</v>
          </cell>
        </row>
        <row r="159">
          <cell r="A159" t="str">
            <v>41-3041</v>
          </cell>
          <cell r="B159" t="str">
            <v>Travel Agents</v>
          </cell>
          <cell r="C159">
            <v>1.1335980000000001</v>
          </cell>
          <cell r="D159">
            <v>68340</v>
          </cell>
          <cell r="E159">
            <v>55110</v>
          </cell>
          <cell r="G159">
            <v>59150</v>
          </cell>
        </row>
        <row r="160">
          <cell r="A160" t="str">
            <v>27-3041</v>
          </cell>
          <cell r="B160" t="str">
            <v>Editors</v>
          </cell>
          <cell r="C160">
            <v>1.1282209999999999</v>
          </cell>
          <cell r="D160">
            <v>127590</v>
          </cell>
          <cell r="E160">
            <v>91690</v>
          </cell>
          <cell r="G160">
            <v>95480</v>
          </cell>
        </row>
        <row r="161">
          <cell r="A161" t="str">
            <v>39-1011</v>
          </cell>
          <cell r="B161" t="str">
            <v>Gaming Supervisors</v>
          </cell>
          <cell r="C161">
            <v>1.1282030000000001</v>
          </cell>
          <cell r="D161">
            <v>37040</v>
          </cell>
          <cell r="E161" t="e">
            <v>#N/A</v>
          </cell>
          <cell r="G161" t="e">
            <v>#N/A</v>
          </cell>
        </row>
        <row r="162">
          <cell r="A162" t="str">
            <v>17-2071</v>
          </cell>
          <cell r="B162" t="str">
            <v>Electrical Engineers</v>
          </cell>
          <cell r="C162">
            <v>1.126725</v>
          </cell>
          <cell r="D162">
            <v>43830</v>
          </cell>
          <cell r="E162">
            <v>198750</v>
          </cell>
          <cell r="G162">
            <v>188790</v>
          </cell>
        </row>
        <row r="163">
          <cell r="A163" t="str">
            <v>29-1065</v>
          </cell>
          <cell r="B163" t="str">
            <v>Pediatricians, General</v>
          </cell>
          <cell r="C163">
            <v>1.126144</v>
          </cell>
          <cell r="D163">
            <v>134830</v>
          </cell>
          <cell r="E163" t="e">
            <v>#N/A</v>
          </cell>
          <cell r="G163" t="e">
            <v>#N/A</v>
          </cell>
        </row>
        <row r="164">
          <cell r="A164" t="str">
            <v>27-1025</v>
          </cell>
          <cell r="B164" t="str">
            <v>Interior Designers</v>
          </cell>
          <cell r="C164">
            <v>1.12168</v>
          </cell>
          <cell r="D164">
            <v>52370</v>
          </cell>
          <cell r="E164">
            <v>71500</v>
          </cell>
          <cell r="G164">
            <v>69580</v>
          </cell>
        </row>
        <row r="165">
          <cell r="A165" t="str">
            <v>21-1023</v>
          </cell>
          <cell r="B165" t="str">
            <v>Mental Health and Substance Abuse Social Workers</v>
          </cell>
          <cell r="C165">
            <v>1.119216</v>
          </cell>
          <cell r="D165">
            <v>34530</v>
          </cell>
          <cell r="E165">
            <v>132810</v>
          </cell>
          <cell r="G165">
            <v>125910</v>
          </cell>
        </row>
        <row r="166">
          <cell r="A166" t="str">
            <v>41-9041</v>
          </cell>
          <cell r="B166" t="str">
            <v>Telemarketers</v>
          </cell>
          <cell r="C166">
            <v>1.1181289999999999</v>
          </cell>
          <cell r="D166">
            <v>37560</v>
          </cell>
          <cell r="E166">
            <v>58430</v>
          </cell>
          <cell r="G166">
            <v>66430</v>
          </cell>
        </row>
        <row r="167">
          <cell r="A167" t="str">
            <v>25-1191</v>
          </cell>
          <cell r="B167" t="str">
            <v>Graduate Teaching Assistants</v>
          </cell>
          <cell r="C167">
            <v>1.111356</v>
          </cell>
          <cell r="D167">
            <v>64280</v>
          </cell>
          <cell r="E167" t="e">
            <v>#N/A</v>
          </cell>
          <cell r="G167" t="e">
            <v>#N/A</v>
          </cell>
        </row>
        <row r="168">
          <cell r="A168" t="str">
            <v>27-3091</v>
          </cell>
          <cell r="B168" t="str">
            <v>Interpreters and Translators</v>
          </cell>
          <cell r="C168">
            <v>1.1113189999999999</v>
          </cell>
          <cell r="D168">
            <v>92060</v>
          </cell>
          <cell r="E168">
            <v>52060</v>
          </cell>
          <cell r="G168">
            <v>53360</v>
          </cell>
        </row>
        <row r="169">
          <cell r="A169" t="str">
            <v>41-9091</v>
          </cell>
          <cell r="B169" t="str">
            <v>Door-To-Door Sales Workers, News and Street Vendors, and Related Workers</v>
          </cell>
          <cell r="C169">
            <v>1.1071009999999999</v>
          </cell>
          <cell r="D169">
            <v>38180</v>
          </cell>
          <cell r="E169" t="e">
            <v>#N/A</v>
          </cell>
          <cell r="G169">
            <v>4590</v>
          </cell>
        </row>
        <row r="170">
          <cell r="A170" t="str">
            <v>43-6014</v>
          </cell>
          <cell r="B170" t="str">
            <v>Secretaries, Except Legal, Medical, and Executive</v>
          </cell>
          <cell r="C170">
            <v>1.099056</v>
          </cell>
          <cell r="D170">
            <v>56170</v>
          </cell>
          <cell r="E170">
            <v>1706790</v>
          </cell>
          <cell r="G170">
            <v>1737820</v>
          </cell>
        </row>
        <row r="171">
          <cell r="A171" t="str">
            <v>19-3093</v>
          </cell>
          <cell r="B171" t="str">
            <v>Historians</v>
          </cell>
          <cell r="C171">
            <v>1.098921</v>
          </cell>
          <cell r="D171" t="e">
            <v>#N/A</v>
          </cell>
          <cell r="E171" t="e">
            <v>#N/A</v>
          </cell>
          <cell r="G171">
            <v>3140</v>
          </cell>
        </row>
        <row r="172">
          <cell r="A172" t="str">
            <v>15-1254</v>
          </cell>
          <cell r="B172" t="str">
            <v>Web Developers</v>
          </cell>
          <cell r="C172">
            <v>1.0894630000000001</v>
          </cell>
          <cell r="D172">
            <v>77010</v>
          </cell>
          <cell r="E172">
            <v>70190</v>
          </cell>
          <cell r="G172">
            <v>78860</v>
          </cell>
        </row>
        <row r="173">
          <cell r="A173" t="str">
            <v>43-6011</v>
          </cell>
          <cell r="B173" t="str">
            <v>Executive Secretaries and Administrative Assistants</v>
          </cell>
          <cell r="C173">
            <v>1.0796429999999999</v>
          </cell>
          <cell r="D173">
            <v>63180</v>
          </cell>
          <cell r="E173">
            <v>459910</v>
          </cell>
          <cell r="G173">
            <v>472770</v>
          </cell>
        </row>
        <row r="174">
          <cell r="A174" t="str">
            <v>13-1011</v>
          </cell>
          <cell r="B174" t="str">
            <v>Agents and Business Managers of Artists, Performers, and Athletes</v>
          </cell>
          <cell r="C174">
            <v>1.068559</v>
          </cell>
          <cell r="D174">
            <v>117580</v>
          </cell>
          <cell r="E174">
            <v>12620</v>
          </cell>
          <cell r="G174">
            <v>14220</v>
          </cell>
        </row>
        <row r="175">
          <cell r="A175" t="str">
            <v>31-9094</v>
          </cell>
          <cell r="B175" t="str">
            <v>Medical Transcriptionists</v>
          </cell>
          <cell r="C175">
            <v>1.0625899999999999</v>
          </cell>
          <cell r="D175">
            <v>53920</v>
          </cell>
          <cell r="E175">
            <v>41550</v>
          </cell>
          <cell r="G175">
            <v>43070</v>
          </cell>
        </row>
        <row r="176">
          <cell r="A176" t="str">
            <v>11-3021</v>
          </cell>
          <cell r="B176" t="str">
            <v>Computer and Information Systems Managers</v>
          </cell>
          <cell r="C176">
            <v>1.0598529999999999</v>
          </cell>
          <cell r="D176">
            <v>81680</v>
          </cell>
          <cell r="E176">
            <v>670570</v>
          </cell>
          <cell r="G176">
            <v>645970</v>
          </cell>
        </row>
        <row r="177">
          <cell r="A177" t="str">
            <v>11-9032</v>
          </cell>
          <cell r="B177" t="str">
            <v>Education Administrators, Elementary and Secondary School</v>
          </cell>
          <cell r="C177">
            <v>1.0488109999999999</v>
          </cell>
          <cell r="D177">
            <v>101190</v>
          </cell>
          <cell r="E177">
            <v>328330</v>
          </cell>
          <cell r="G177">
            <v>319630</v>
          </cell>
        </row>
        <row r="178">
          <cell r="A178" t="str">
            <v>13-1199</v>
          </cell>
          <cell r="B178" t="str">
            <v>Business Operations Specialists, All Other</v>
          </cell>
          <cell r="C178">
            <v>1.047687</v>
          </cell>
          <cell r="D178">
            <v>49440</v>
          </cell>
          <cell r="E178">
            <v>1087090</v>
          </cell>
          <cell r="G178">
            <v>1128200</v>
          </cell>
        </row>
        <row r="179">
          <cell r="A179" t="str">
            <v>17-1011</v>
          </cell>
          <cell r="B179" t="str">
            <v>Architects, Except Landscape and Naval</v>
          </cell>
          <cell r="C179">
            <v>1.047142</v>
          </cell>
          <cell r="D179">
            <v>86730</v>
          </cell>
          <cell r="E179">
            <v>106770</v>
          </cell>
          <cell r="G179">
            <v>111140</v>
          </cell>
        </row>
        <row r="180">
          <cell r="A180" t="str">
            <v>29-1063</v>
          </cell>
          <cell r="B180" t="str">
            <v>Internists, General</v>
          </cell>
          <cell r="C180">
            <v>1.0461670000000001</v>
          </cell>
          <cell r="D180">
            <v>79940</v>
          </cell>
          <cell r="E180" t="e">
            <v>#N/A</v>
          </cell>
          <cell r="G180" t="e">
            <v>#N/A</v>
          </cell>
        </row>
        <row r="181">
          <cell r="A181" t="str">
            <v>25-1054</v>
          </cell>
          <cell r="B181" t="str">
            <v>Physics Teachers, Postsecondary</v>
          </cell>
          <cell r="C181">
            <v>1.0441910000000001</v>
          </cell>
          <cell r="D181">
            <v>54140</v>
          </cell>
          <cell r="E181">
            <v>13090</v>
          </cell>
          <cell r="G181">
            <v>13590</v>
          </cell>
        </row>
        <row r="182">
          <cell r="A182" t="str">
            <v>19-1011</v>
          </cell>
          <cell r="B182" t="str">
            <v>Animal Scientists</v>
          </cell>
          <cell r="C182">
            <v>1.041358</v>
          </cell>
          <cell r="D182">
            <v>55290</v>
          </cell>
          <cell r="E182" t="e">
            <v>#N/A</v>
          </cell>
          <cell r="G182">
            <v>2470</v>
          </cell>
        </row>
        <row r="183">
          <cell r="A183" t="str">
            <v>43-3031</v>
          </cell>
          <cell r="B183" t="str">
            <v>Bookkeeping, Accounting, and Auditing Clerks</v>
          </cell>
          <cell r="C183">
            <v>1.039749</v>
          </cell>
          <cell r="D183" t="e">
            <v>#N/A</v>
          </cell>
          <cell r="E183">
            <v>1373680</v>
          </cell>
          <cell r="G183">
            <v>1455770</v>
          </cell>
        </row>
        <row r="184">
          <cell r="A184" t="str">
            <v>43-1011</v>
          </cell>
          <cell r="B184" t="str">
            <v>First-Line Supervisors/Managers of Office and Administrative Support Workers</v>
          </cell>
          <cell r="C184">
            <v>1.0386880000000001</v>
          </cell>
          <cell r="D184">
            <v>40790</v>
          </cell>
          <cell r="E184">
            <v>1436680</v>
          </cell>
          <cell r="G184">
            <v>1495580</v>
          </cell>
        </row>
        <row r="185">
          <cell r="A185" t="str">
            <v>17-2131</v>
          </cell>
          <cell r="B185" t="str">
            <v>Materials Engineers</v>
          </cell>
          <cell r="C185">
            <v>1.0372779999999999</v>
          </cell>
          <cell r="D185">
            <v>49210</v>
          </cell>
          <cell r="E185">
            <v>22770</v>
          </cell>
          <cell r="G185">
            <v>22770</v>
          </cell>
        </row>
        <row r="186">
          <cell r="A186" t="str">
            <v>25-4021</v>
          </cell>
          <cell r="B186" t="str">
            <v>Librarians</v>
          </cell>
          <cell r="C186">
            <v>1.037039</v>
          </cell>
          <cell r="D186">
            <v>66780</v>
          </cell>
          <cell r="E186" t="e">
            <v>#N/A</v>
          </cell>
          <cell r="G186" t="e">
            <v>#N/A</v>
          </cell>
        </row>
        <row r="187">
          <cell r="A187" t="str">
            <v>17-1012</v>
          </cell>
          <cell r="B187" t="str">
            <v>Landscape Architects</v>
          </cell>
          <cell r="C187">
            <v>1.0343880000000001</v>
          </cell>
          <cell r="D187">
            <v>84130</v>
          </cell>
          <cell r="E187">
            <v>19600</v>
          </cell>
          <cell r="G187">
            <v>19580</v>
          </cell>
        </row>
        <row r="188">
          <cell r="A188" t="str">
            <v>19-2032</v>
          </cell>
          <cell r="B188" t="str">
            <v>Materials Scientists</v>
          </cell>
          <cell r="C188">
            <v>1.0327569999999999</v>
          </cell>
          <cell r="D188">
            <v>58040</v>
          </cell>
          <cell r="E188">
            <v>8470</v>
          </cell>
          <cell r="G188">
            <v>8330</v>
          </cell>
        </row>
        <row r="189">
          <cell r="A189" t="str">
            <v>29-1062</v>
          </cell>
          <cell r="B189" t="str">
            <v>Family and General Practitioners</v>
          </cell>
          <cell r="C189">
            <v>1.031925</v>
          </cell>
          <cell r="D189">
            <v>63620</v>
          </cell>
          <cell r="E189" t="e">
            <v>#N/A</v>
          </cell>
          <cell r="G189" t="e">
            <v>#N/A</v>
          </cell>
        </row>
        <row r="190">
          <cell r="A190" t="str">
            <v>21-1011</v>
          </cell>
          <cell r="B190" t="str">
            <v>Substance Abuse and Behavioral Disorder Counselors</v>
          </cell>
          <cell r="C190">
            <v>1.0308409999999999</v>
          </cell>
          <cell r="D190">
            <v>111910</v>
          </cell>
          <cell r="E190" t="e">
            <v>#N/A</v>
          </cell>
          <cell r="G190" t="e">
            <v>#N/A</v>
          </cell>
        </row>
        <row r="191">
          <cell r="A191" t="str">
            <v>11-9161</v>
          </cell>
          <cell r="B191" t="str">
            <v>Emergency Management Directors</v>
          </cell>
          <cell r="C191">
            <v>1.0307679999999999</v>
          </cell>
          <cell r="D191">
            <v>71470</v>
          </cell>
          <cell r="E191">
            <v>13500</v>
          </cell>
          <cell r="G191">
            <v>12570</v>
          </cell>
        </row>
        <row r="192">
          <cell r="A192" t="str">
            <v>11-9021</v>
          </cell>
          <cell r="B192" t="str">
            <v>Construction Managers</v>
          </cell>
          <cell r="C192">
            <v>1.029139</v>
          </cell>
          <cell r="D192">
            <v>97200</v>
          </cell>
          <cell r="E192">
            <v>380360</v>
          </cell>
          <cell r="G192">
            <v>348330</v>
          </cell>
        </row>
        <row r="193">
          <cell r="A193" t="str">
            <v>27-1011</v>
          </cell>
          <cell r="B193" t="str">
            <v>Art Directors</v>
          </cell>
          <cell r="C193">
            <v>1.02251</v>
          </cell>
          <cell r="D193" t="e">
            <v>#N/A</v>
          </cell>
          <cell r="E193">
            <v>53070</v>
          </cell>
          <cell r="G193">
            <v>50370</v>
          </cell>
        </row>
        <row r="194">
          <cell r="A194" t="str">
            <v>43-2021</v>
          </cell>
          <cell r="B194" t="str">
            <v>Telephone Operators</v>
          </cell>
          <cell r="C194">
            <v>1.019712</v>
          </cell>
          <cell r="D194">
            <v>32050</v>
          </cell>
          <cell r="E194" t="e">
            <v>#N/A</v>
          </cell>
          <cell r="G194">
            <v>3950</v>
          </cell>
        </row>
        <row r="195">
          <cell r="A195" t="str">
            <v>43-6012</v>
          </cell>
          <cell r="B195" t="str">
            <v>Legal Secretaries</v>
          </cell>
          <cell r="C195">
            <v>1.0145409999999999</v>
          </cell>
          <cell r="D195">
            <v>34610</v>
          </cell>
          <cell r="E195">
            <v>156280</v>
          </cell>
          <cell r="G195">
            <v>154540</v>
          </cell>
        </row>
        <row r="196">
          <cell r="A196" t="str">
            <v>19-2041</v>
          </cell>
          <cell r="B196" t="str">
            <v>Environmental Scientists and Specialists, Including Health</v>
          </cell>
          <cell r="C196">
            <v>1.014113</v>
          </cell>
          <cell r="D196" t="e">
            <v>#N/A</v>
          </cell>
          <cell r="E196">
            <v>89250</v>
          </cell>
          <cell r="G196">
            <v>84930</v>
          </cell>
        </row>
        <row r="197">
          <cell r="A197" t="str">
            <v>43-4171</v>
          </cell>
          <cell r="B197" t="str">
            <v>Receptionists and Information Clerks</v>
          </cell>
          <cell r="C197">
            <v>1.0131859999999999</v>
          </cell>
          <cell r="D197">
            <v>77400</v>
          </cell>
          <cell r="E197">
            <v>910180</v>
          </cell>
          <cell r="G197">
            <v>964530</v>
          </cell>
        </row>
        <row r="198">
          <cell r="A198" t="str">
            <v>19-1029</v>
          </cell>
          <cell r="B198" t="str">
            <v>Biological Scientists, All Other</v>
          </cell>
          <cell r="C198">
            <v>1.0101929999999999</v>
          </cell>
          <cell r="D198" t="e">
            <v>#N/A</v>
          </cell>
          <cell r="E198">
            <v>55850</v>
          </cell>
          <cell r="G198">
            <v>59710</v>
          </cell>
        </row>
        <row r="199">
          <cell r="A199" t="str">
            <v>17-2141</v>
          </cell>
          <cell r="B199" t="str">
            <v>Mechanical Engineers</v>
          </cell>
          <cell r="C199">
            <v>1.0047090000000001</v>
          </cell>
          <cell r="D199">
            <v>62970</v>
          </cell>
          <cell r="E199">
            <v>296810</v>
          </cell>
          <cell r="G199">
            <v>286760</v>
          </cell>
        </row>
        <row r="200">
          <cell r="A200" t="str">
            <v>17-2111</v>
          </cell>
          <cell r="B200" t="str">
            <v>Health and Safety Engineers, Except Mining Safety Engineers and Inspectors</v>
          </cell>
          <cell r="C200">
            <v>0.99489349999999999</v>
          </cell>
          <cell r="D200">
            <v>50560</v>
          </cell>
          <cell r="E200">
            <v>21450</v>
          </cell>
          <cell r="G200">
            <v>23220</v>
          </cell>
        </row>
        <row r="201">
          <cell r="A201" t="str">
            <v>43-9061</v>
          </cell>
          <cell r="B201" t="str">
            <v>Office Clerks, General</v>
          </cell>
          <cell r="C201">
            <v>0.98889859999999996</v>
          </cell>
          <cell r="D201" t="e">
            <v>#N/A</v>
          </cell>
          <cell r="E201">
            <v>2464940</v>
          </cell>
          <cell r="G201">
            <v>2510550</v>
          </cell>
        </row>
        <row r="202">
          <cell r="A202" t="str">
            <v>27-3043</v>
          </cell>
          <cell r="B202" t="str">
            <v>Writers and Authors</v>
          </cell>
          <cell r="C202">
            <v>0.98792740000000001</v>
          </cell>
          <cell r="D202">
            <v>76650</v>
          </cell>
          <cell r="E202">
            <v>47940</v>
          </cell>
          <cell r="G202">
            <v>47800</v>
          </cell>
        </row>
        <row r="203">
          <cell r="A203" t="str">
            <v>17-2031</v>
          </cell>
          <cell r="B203" t="str">
            <v>Biomedical Engineers</v>
          </cell>
          <cell r="C203">
            <v>0.98742390000000002</v>
          </cell>
          <cell r="D203" t="e">
            <v>#N/A</v>
          </cell>
          <cell r="E203">
            <v>23480</v>
          </cell>
          <cell r="G203">
            <v>21860</v>
          </cell>
        </row>
        <row r="204">
          <cell r="A204" t="str">
            <v>27-4032</v>
          </cell>
          <cell r="B204" t="str">
            <v>Film and Video Editors</v>
          </cell>
          <cell r="C204">
            <v>0.985707</v>
          </cell>
          <cell r="D204">
            <v>34270</v>
          </cell>
          <cell r="E204">
            <v>25610</v>
          </cell>
          <cell r="G204">
            <v>28860</v>
          </cell>
        </row>
        <row r="205">
          <cell r="A205" t="str">
            <v>43-2011</v>
          </cell>
          <cell r="B205" t="str">
            <v>Switchboard Operators, Including Answering Service</v>
          </cell>
          <cell r="C205">
            <v>0.98326440000000004</v>
          </cell>
          <cell r="D205">
            <v>73540</v>
          </cell>
          <cell r="E205">
            <v>34280</v>
          </cell>
          <cell r="G205">
            <v>35730</v>
          </cell>
        </row>
        <row r="206">
          <cell r="A206" t="str">
            <v>21-1012</v>
          </cell>
          <cell r="B206" t="str">
            <v>Educational, Vocational, and School Counselors</v>
          </cell>
          <cell r="C206">
            <v>0.97392869999999998</v>
          </cell>
          <cell r="D206" t="e">
            <v>#N/A</v>
          </cell>
          <cell r="E206">
            <v>353310</v>
          </cell>
          <cell r="G206">
            <v>342350</v>
          </cell>
        </row>
        <row r="207">
          <cell r="A207" t="str">
            <v>11-9199</v>
          </cell>
          <cell r="B207" t="str">
            <v>Managers, All Other</v>
          </cell>
          <cell r="C207">
            <v>0.96468719999999997</v>
          </cell>
          <cell r="D207">
            <v>51440</v>
          </cell>
          <cell r="E207">
            <v>622190</v>
          </cell>
          <cell r="G207">
            <v>630980</v>
          </cell>
        </row>
        <row r="208">
          <cell r="A208" t="str">
            <v>25-2054</v>
          </cell>
          <cell r="B208" t="str">
            <v>Special Education Teachers, Secondary School</v>
          </cell>
          <cell r="C208">
            <v>0.95876530000000004</v>
          </cell>
          <cell r="D208">
            <v>68510</v>
          </cell>
          <cell r="E208" t="e">
            <v>#N/A</v>
          </cell>
          <cell r="G208" t="e">
            <v>#N/A</v>
          </cell>
        </row>
        <row r="209">
          <cell r="A209" t="str">
            <v>43-4051</v>
          </cell>
          <cell r="B209" t="str">
            <v>Customer Service Representatives</v>
          </cell>
          <cell r="C209">
            <v>0.95625190000000004</v>
          </cell>
          <cell r="D209">
            <v>71300</v>
          </cell>
          <cell r="E209">
            <v>2595750</v>
          </cell>
          <cell r="G209">
            <v>2725930</v>
          </cell>
        </row>
        <row r="210">
          <cell r="A210" t="str">
            <v>17-2021</v>
          </cell>
          <cell r="B210" t="str">
            <v>Agricultural Engineers</v>
          </cell>
          <cell r="C210">
            <v>0.94096360000000001</v>
          </cell>
          <cell r="D210">
            <v>127520</v>
          </cell>
          <cell r="E210" t="e">
            <v>#N/A</v>
          </cell>
          <cell r="G210">
            <v>1680</v>
          </cell>
        </row>
        <row r="211">
          <cell r="A211" t="str">
            <v>27-2012</v>
          </cell>
          <cell r="B211" t="str">
            <v>Producers and Directors</v>
          </cell>
          <cell r="C211">
            <v>0.93881079999999995</v>
          </cell>
          <cell r="D211">
            <v>43900</v>
          </cell>
          <cell r="E211">
            <v>143120</v>
          </cell>
          <cell r="G211">
            <v>145270</v>
          </cell>
        </row>
        <row r="212">
          <cell r="A212" t="str">
            <v>21-1022</v>
          </cell>
          <cell r="B212" t="str">
            <v>Medical and Public Health Social Workers</v>
          </cell>
          <cell r="C212">
            <v>0.93396480000000004</v>
          </cell>
          <cell r="D212">
            <v>59440</v>
          </cell>
          <cell r="E212">
            <v>187630</v>
          </cell>
          <cell r="G212">
            <v>185940</v>
          </cell>
        </row>
        <row r="213">
          <cell r="A213" t="str">
            <v>17-3022</v>
          </cell>
          <cell r="B213" t="str">
            <v>Civil Engineering Technicians</v>
          </cell>
          <cell r="C213">
            <v>0.93232190000000004</v>
          </cell>
          <cell r="D213">
            <v>100590</v>
          </cell>
          <cell r="E213">
            <v>68520</v>
          </cell>
          <cell r="G213">
            <v>62130</v>
          </cell>
        </row>
        <row r="214">
          <cell r="A214" t="str">
            <v>27-4013</v>
          </cell>
          <cell r="B214" t="str">
            <v>Radio Operators</v>
          </cell>
          <cell r="C214">
            <v>0.926126</v>
          </cell>
          <cell r="D214">
            <v>152800</v>
          </cell>
          <cell r="E214" t="e">
            <v>#N/A</v>
          </cell>
          <cell r="G214" t="e">
            <v>#N/A</v>
          </cell>
        </row>
        <row r="215">
          <cell r="A215" t="str">
            <v>25-1071</v>
          </cell>
          <cell r="B215" t="str">
            <v>Health Specialties Teachers, Postsecondary</v>
          </cell>
          <cell r="C215">
            <v>0.92475399999999996</v>
          </cell>
          <cell r="D215">
            <v>106950</v>
          </cell>
          <cell r="E215">
            <v>221270</v>
          </cell>
          <cell r="G215">
            <v>229720</v>
          </cell>
        </row>
        <row r="216">
          <cell r="A216" t="str">
            <v>17-3011</v>
          </cell>
          <cell r="B216" t="str">
            <v>Architectural and Civil Drafters</v>
          </cell>
          <cell r="C216">
            <v>0.92339249999999995</v>
          </cell>
          <cell r="D216">
            <v>99590</v>
          </cell>
          <cell r="E216">
            <v>103700</v>
          </cell>
          <cell r="G216">
            <v>109550</v>
          </cell>
        </row>
        <row r="217">
          <cell r="A217" t="str">
            <v>17-3012</v>
          </cell>
          <cell r="B217" t="str">
            <v>Electrical and Electronics Drafters</v>
          </cell>
          <cell r="C217">
            <v>0.91016600000000003</v>
          </cell>
          <cell r="D217">
            <v>60820</v>
          </cell>
          <cell r="E217">
            <v>17920</v>
          </cell>
          <cell r="G217">
            <v>20020</v>
          </cell>
        </row>
        <row r="218">
          <cell r="A218" t="str">
            <v>43-5031</v>
          </cell>
          <cell r="B218" t="str">
            <v>Police, Fire, and Ambulance Dispatchers</v>
          </cell>
          <cell r="C218">
            <v>0.90744519999999995</v>
          </cell>
          <cell r="D218">
            <v>57090</v>
          </cell>
          <cell r="E218">
            <v>102500</v>
          </cell>
          <cell r="G218">
            <v>101140</v>
          </cell>
        </row>
        <row r="219">
          <cell r="A219" t="str">
            <v>19-1021</v>
          </cell>
          <cell r="B219" t="str">
            <v>Biochemists and Biophysicists</v>
          </cell>
          <cell r="C219">
            <v>0.90605089999999999</v>
          </cell>
          <cell r="D219">
            <v>66490</v>
          </cell>
          <cell r="E219">
            <v>33830</v>
          </cell>
          <cell r="G219">
            <v>34520</v>
          </cell>
        </row>
        <row r="220">
          <cell r="A220" t="str">
            <v>41-4011</v>
          </cell>
          <cell r="B220" t="str">
            <v>Sales Representatives, Wholesale and Manufacturing, Technical and Scientific Products</v>
          </cell>
          <cell r="C220">
            <v>0.8911985</v>
          </cell>
          <cell r="D220">
            <v>34800</v>
          </cell>
          <cell r="E220">
            <v>284800</v>
          </cell>
          <cell r="G220">
            <v>293930</v>
          </cell>
        </row>
        <row r="221">
          <cell r="A221" t="str">
            <v>11-3071</v>
          </cell>
          <cell r="B221" t="str">
            <v>Transportation, Storage, and Distribution Managers</v>
          </cell>
          <cell r="C221">
            <v>0.89079229999999998</v>
          </cell>
          <cell r="D221" t="e">
            <v>#N/A</v>
          </cell>
          <cell r="E221">
            <v>221180</v>
          </cell>
          <cell r="G221">
            <v>213000</v>
          </cell>
        </row>
        <row r="222">
          <cell r="A222" t="str">
            <v>25-2021</v>
          </cell>
          <cell r="B222" t="str">
            <v>Elementary School Teachers, Except Special Education</v>
          </cell>
          <cell r="C222">
            <v>0.88694910000000005</v>
          </cell>
          <cell r="D222">
            <v>62340</v>
          </cell>
          <cell r="E222">
            <v>1388390</v>
          </cell>
          <cell r="G222">
            <v>1393310</v>
          </cell>
        </row>
        <row r="223">
          <cell r="A223" t="str">
            <v>27-2041</v>
          </cell>
          <cell r="B223" t="str">
            <v>Music Directors and Composers</v>
          </cell>
          <cell r="C223">
            <v>0.88296410000000003</v>
          </cell>
          <cell r="D223" t="e">
            <v>#N/A</v>
          </cell>
          <cell r="E223" t="e">
            <v>#N/A</v>
          </cell>
          <cell r="G223">
            <v>12330</v>
          </cell>
        </row>
        <row r="224">
          <cell r="A224" t="str">
            <v>27-1021</v>
          </cell>
          <cell r="B224" t="str">
            <v>Commercial and Industrial Designers</v>
          </cell>
          <cell r="C224">
            <v>0.867039</v>
          </cell>
          <cell r="D224">
            <v>80190</v>
          </cell>
          <cell r="E224">
            <v>33490</v>
          </cell>
          <cell r="G224">
            <v>30250</v>
          </cell>
        </row>
        <row r="225">
          <cell r="A225" t="str">
            <v>41-9022</v>
          </cell>
          <cell r="B225" t="str">
            <v>Real Estate Sales Agents</v>
          </cell>
          <cell r="C225">
            <v>0.86494450000000001</v>
          </cell>
          <cell r="D225">
            <v>45980</v>
          </cell>
          <cell r="E225">
            <v>193370</v>
          </cell>
          <cell r="G225">
            <v>190600</v>
          </cell>
        </row>
        <row r="226">
          <cell r="A226" t="str">
            <v>25-9021</v>
          </cell>
          <cell r="B226" t="str">
            <v>Farm and Home Management Advisors</v>
          </cell>
          <cell r="C226">
            <v>0.86040309999999998</v>
          </cell>
          <cell r="D226">
            <v>85310</v>
          </cell>
          <cell r="E226" t="e">
            <v>#N/A</v>
          </cell>
          <cell r="G226">
            <v>10260</v>
          </cell>
        </row>
        <row r="227">
          <cell r="A227" t="str">
            <v>39-6012</v>
          </cell>
          <cell r="B227" t="str">
            <v>Concierges</v>
          </cell>
          <cell r="C227">
            <v>0.85583200000000004</v>
          </cell>
          <cell r="D227">
            <v>42590</v>
          </cell>
          <cell r="E227">
            <v>49240</v>
          </cell>
          <cell r="G227">
            <v>44200</v>
          </cell>
        </row>
        <row r="228">
          <cell r="A228" t="str">
            <v>27-3011</v>
          </cell>
          <cell r="B228" t="str">
            <v>Radio and Television Announcers</v>
          </cell>
          <cell r="C228">
            <v>0.84935470000000002</v>
          </cell>
          <cell r="D228">
            <v>78420</v>
          </cell>
          <cell r="E228">
            <v>21240</v>
          </cell>
          <cell r="G228">
            <v>23880</v>
          </cell>
        </row>
        <row r="229">
          <cell r="A229" t="str">
            <v>13-2020</v>
          </cell>
          <cell r="B229" t="str">
            <v>Appraisers and Assessors of Real Estate</v>
          </cell>
          <cell r="C229">
            <v>0.84132030000000002</v>
          </cell>
          <cell r="D229">
            <v>97270</v>
          </cell>
          <cell r="E229">
            <v>57070</v>
          </cell>
          <cell r="G229">
            <v>59070</v>
          </cell>
        </row>
        <row r="230">
          <cell r="A230" t="str">
            <v>17-3013</v>
          </cell>
          <cell r="B230" t="str">
            <v>Mechanical Drafters</v>
          </cell>
          <cell r="C230">
            <v>0.84100710000000001</v>
          </cell>
          <cell r="D230" t="e">
            <v>#N/A</v>
          </cell>
          <cell r="E230">
            <v>39960</v>
          </cell>
          <cell r="G230">
            <v>39900</v>
          </cell>
        </row>
        <row r="231">
          <cell r="A231" t="str">
            <v>43-4151</v>
          </cell>
          <cell r="B231" t="str">
            <v>Order Clerks</v>
          </cell>
          <cell r="C231">
            <v>0.83888609999999997</v>
          </cell>
          <cell r="D231" t="e">
            <v>#N/A</v>
          </cell>
          <cell r="E231">
            <v>75200</v>
          </cell>
          <cell r="G231">
            <v>83420</v>
          </cell>
        </row>
        <row r="232">
          <cell r="A232" t="str">
            <v>11-9031</v>
          </cell>
          <cell r="B232" t="str">
            <v>Education Administrators, Preschool and Child Care Center/Program</v>
          </cell>
          <cell r="C232">
            <v>0.83800699999999995</v>
          </cell>
          <cell r="D232">
            <v>83980</v>
          </cell>
          <cell r="E232">
            <v>73660</v>
          </cell>
          <cell r="G232">
            <v>71620</v>
          </cell>
        </row>
        <row r="233">
          <cell r="A233" t="str">
            <v>11-9041</v>
          </cell>
          <cell r="B233" t="str">
            <v>Engineering Managers</v>
          </cell>
          <cell r="C233">
            <v>0.83701049999999999</v>
          </cell>
          <cell r="D233">
            <v>63380</v>
          </cell>
          <cell r="E233">
            <v>220260</v>
          </cell>
          <cell r="G233">
            <v>210340</v>
          </cell>
        </row>
        <row r="234">
          <cell r="A234" t="str">
            <v>23-2091</v>
          </cell>
          <cell r="B234" t="str">
            <v>Court Reporters</v>
          </cell>
          <cell r="C234">
            <v>0.83524600000000004</v>
          </cell>
          <cell r="D234">
            <v>79120</v>
          </cell>
          <cell r="E234" t="e">
            <v>#N/A</v>
          </cell>
          <cell r="G234" t="e">
            <v>#N/A</v>
          </cell>
        </row>
        <row r="235">
          <cell r="A235" t="str">
            <v>29-9011</v>
          </cell>
          <cell r="B235" t="str">
            <v>Occupational Health and Safety Specialists</v>
          </cell>
          <cell r="C235">
            <v>0.83493709999999999</v>
          </cell>
          <cell r="D235">
            <v>41460</v>
          </cell>
          <cell r="E235" t="e">
            <v>#N/A</v>
          </cell>
          <cell r="G235" t="e">
            <v>#N/A</v>
          </cell>
        </row>
        <row r="236">
          <cell r="A236" t="str">
            <v>11-9071</v>
          </cell>
          <cell r="B236" t="str">
            <v>Gaming Managers</v>
          </cell>
          <cell r="C236">
            <v>0.82992069999999996</v>
          </cell>
          <cell r="D236">
            <v>78270</v>
          </cell>
          <cell r="E236">
            <v>5030</v>
          </cell>
          <cell r="G236">
            <v>4620</v>
          </cell>
        </row>
        <row r="237">
          <cell r="A237" t="str">
            <v>11-9131</v>
          </cell>
          <cell r="B237" t="str">
            <v>Postmasters and Mail Superintendents</v>
          </cell>
          <cell r="C237">
            <v>0.82337570000000004</v>
          </cell>
          <cell r="D237">
            <v>109840</v>
          </cell>
          <cell r="E237">
            <v>13810</v>
          </cell>
          <cell r="G237">
            <v>13810</v>
          </cell>
        </row>
        <row r="238">
          <cell r="A238" t="str">
            <v>41-4012</v>
          </cell>
          <cell r="B238" t="str">
            <v>Sales Representatives, Wholesale and Manufacturing, Except Technical and Scientific Products</v>
          </cell>
          <cell r="C238">
            <v>0.82246810000000004</v>
          </cell>
          <cell r="D238">
            <v>46860</v>
          </cell>
          <cell r="E238">
            <v>1238190</v>
          </cell>
          <cell r="G238">
            <v>1266860</v>
          </cell>
        </row>
        <row r="239">
          <cell r="A239" t="str">
            <v>13-1022</v>
          </cell>
          <cell r="B239" t="str">
            <v>Wholesale and Retail Buyers, Except Farm Products</v>
          </cell>
          <cell r="C239">
            <v>0.81882580000000005</v>
          </cell>
          <cell r="D239">
            <v>74180</v>
          </cell>
          <cell r="E239" t="e">
            <v>#N/A</v>
          </cell>
          <cell r="G239" t="e">
            <v>#N/A</v>
          </cell>
        </row>
        <row r="240">
          <cell r="A240" t="str">
            <v>17-1021</v>
          </cell>
          <cell r="B240" t="str">
            <v>Cartographers and Photogrammetrists</v>
          </cell>
          <cell r="C240">
            <v>0.81699790000000005</v>
          </cell>
          <cell r="D240">
            <v>161030</v>
          </cell>
          <cell r="E240">
            <v>14260</v>
          </cell>
          <cell r="G240">
            <v>12790</v>
          </cell>
        </row>
        <row r="241">
          <cell r="A241" t="str">
            <v>19-1012</v>
          </cell>
          <cell r="B241" t="str">
            <v>Food Scientists and Technologists</v>
          </cell>
          <cell r="C241">
            <v>0.79435750000000005</v>
          </cell>
          <cell r="D241">
            <v>78140</v>
          </cell>
          <cell r="E241">
            <v>13060</v>
          </cell>
          <cell r="G241">
            <v>14370</v>
          </cell>
        </row>
        <row r="242">
          <cell r="A242" t="str">
            <v>15-1142</v>
          </cell>
          <cell r="B242" t="str">
            <v>Network and Computer Systems Administrators</v>
          </cell>
          <cell r="C242">
            <v>0.78953150000000005</v>
          </cell>
          <cell r="D242">
            <v>80330</v>
          </cell>
          <cell r="E242" t="e">
            <v>#N/A</v>
          </cell>
          <cell r="G242" t="e">
            <v>#N/A</v>
          </cell>
        </row>
        <row r="243">
          <cell r="A243" t="str">
            <v>17-2199</v>
          </cell>
          <cell r="B243" t="str">
            <v>Engineers, All Other</v>
          </cell>
          <cell r="C243">
            <v>0.78756599999999999</v>
          </cell>
          <cell r="D243" t="e">
            <v>#N/A</v>
          </cell>
          <cell r="E243">
            <v>154070</v>
          </cell>
          <cell r="G243">
            <v>150750</v>
          </cell>
        </row>
        <row r="244">
          <cell r="A244" t="str">
            <v>15-1152</v>
          </cell>
          <cell r="B244" t="str">
            <v>Computer Network Support Specialists</v>
          </cell>
          <cell r="C244">
            <v>0.7860606</v>
          </cell>
          <cell r="D244">
            <v>100340</v>
          </cell>
          <cell r="E244" t="e">
            <v>#N/A</v>
          </cell>
          <cell r="G244" t="e">
            <v>#N/A</v>
          </cell>
        </row>
        <row r="245">
          <cell r="A245" t="str">
            <v>21-1021</v>
          </cell>
          <cell r="B245" t="str">
            <v>Child, Family, and School Social Workers</v>
          </cell>
          <cell r="C245">
            <v>0.77617069999999999</v>
          </cell>
          <cell r="D245" t="e">
            <v>#N/A</v>
          </cell>
          <cell r="E245">
            <v>392550</v>
          </cell>
          <cell r="G245">
            <v>382960</v>
          </cell>
        </row>
        <row r="246">
          <cell r="A246" t="str">
            <v>51-8011</v>
          </cell>
          <cell r="B246" t="str">
            <v>Nuclear Power Reactor Operators</v>
          </cell>
          <cell r="C246">
            <v>0.77053020000000005</v>
          </cell>
          <cell r="D246">
            <v>62060</v>
          </cell>
          <cell r="E246" t="e">
            <v>#N/A</v>
          </cell>
          <cell r="G246">
            <v>5720</v>
          </cell>
        </row>
        <row r="247">
          <cell r="A247" t="str">
            <v>13-1020</v>
          </cell>
          <cell r="B247" t="str">
            <v>Purchasing Agents and Buyers, Farm Products</v>
          </cell>
          <cell r="C247">
            <v>0.76870539999999998</v>
          </cell>
          <cell r="D247">
            <v>78630</v>
          </cell>
          <cell r="E247">
            <v>491430</v>
          </cell>
          <cell r="G247">
            <v>486900</v>
          </cell>
        </row>
        <row r="248">
          <cell r="A248" t="str">
            <v>25-1121</v>
          </cell>
          <cell r="B248" t="str">
            <v>Art, Drama, and Music Teachers, Postsecondary</v>
          </cell>
          <cell r="C248">
            <v>0.75827690000000003</v>
          </cell>
          <cell r="D248">
            <v>84630</v>
          </cell>
          <cell r="E248">
            <v>93560</v>
          </cell>
          <cell r="G248">
            <v>97890</v>
          </cell>
        </row>
        <row r="249">
          <cell r="A249" t="str">
            <v>15-2091</v>
          </cell>
          <cell r="B249" t="str">
            <v>Mathematical Technicians</v>
          </cell>
          <cell r="C249">
            <v>0.75598030000000005</v>
          </cell>
          <cell r="D249">
            <v>119980</v>
          </cell>
          <cell r="E249" t="e">
            <v>#N/A</v>
          </cell>
          <cell r="G249" t="e">
            <v>#N/A</v>
          </cell>
        </row>
        <row r="250">
          <cell r="A250" t="str">
            <v>25-1041</v>
          </cell>
          <cell r="B250" t="str">
            <v>Agricultural Sciences Teachers, Postsecondary</v>
          </cell>
          <cell r="C250">
            <v>0.75466849999999996</v>
          </cell>
          <cell r="D250" t="e">
            <v>#N/A</v>
          </cell>
          <cell r="E250" t="e">
            <v>#N/A</v>
          </cell>
          <cell r="G250">
            <v>8700</v>
          </cell>
        </row>
        <row r="251">
          <cell r="A251" t="str">
            <v>19-1020</v>
          </cell>
          <cell r="B251" t="str">
            <v>Biologists</v>
          </cell>
          <cell r="C251">
            <v>0.752081</v>
          </cell>
          <cell r="D251">
            <v>141280</v>
          </cell>
          <cell r="E251">
            <v>126740</v>
          </cell>
          <cell r="G251">
            <v>130910</v>
          </cell>
        </row>
        <row r="252">
          <cell r="A252" t="str">
            <v>33-9021</v>
          </cell>
          <cell r="B252" t="str">
            <v>Private Detectives and Investigators</v>
          </cell>
          <cell r="C252">
            <v>0.74831080000000005</v>
          </cell>
          <cell r="D252">
            <v>49300</v>
          </cell>
          <cell r="E252">
            <v>35580</v>
          </cell>
          <cell r="G252">
            <v>38700</v>
          </cell>
        </row>
        <row r="253">
          <cell r="A253" t="str">
            <v>11-3012</v>
          </cell>
          <cell r="B253" t="str">
            <v>Administrative Services Managers</v>
          </cell>
          <cell r="C253">
            <v>0.73982780000000004</v>
          </cell>
          <cell r="D253">
            <v>48510</v>
          </cell>
          <cell r="E253">
            <v>263960</v>
          </cell>
          <cell r="G253">
            <v>254140</v>
          </cell>
        </row>
        <row r="254">
          <cell r="A254" t="str">
            <v>25-4012</v>
          </cell>
          <cell r="B254" t="str">
            <v>Curators</v>
          </cell>
          <cell r="C254">
            <v>0.73666580000000004</v>
          </cell>
          <cell r="D254">
            <v>85580</v>
          </cell>
          <cell r="E254" t="e">
            <v>#N/A</v>
          </cell>
          <cell r="G254">
            <v>12280</v>
          </cell>
        </row>
        <row r="255">
          <cell r="A255" t="str">
            <v>25-2052</v>
          </cell>
          <cell r="B255" t="str">
            <v>Special Education Teachers, Kindergarten and Elementary School</v>
          </cell>
          <cell r="C255">
            <v>0.73574859999999997</v>
          </cell>
          <cell r="D255">
            <v>45680</v>
          </cell>
          <cell r="E255">
            <v>260870</v>
          </cell>
          <cell r="G255">
            <v>231570</v>
          </cell>
        </row>
        <row r="256">
          <cell r="A256" t="str">
            <v>33-9031</v>
          </cell>
          <cell r="B256" t="str">
            <v>Gaming Surveillance Officers and Gaming Investigators</v>
          </cell>
          <cell r="C256">
            <v>0.72839330000000002</v>
          </cell>
          <cell r="D256">
            <v>58890</v>
          </cell>
          <cell r="E256" t="e">
            <v>#N/A</v>
          </cell>
          <cell r="G256">
            <v>10000</v>
          </cell>
        </row>
        <row r="257">
          <cell r="A257" t="str">
            <v>27-1024</v>
          </cell>
          <cell r="B257" t="str">
            <v>Graphic Designers</v>
          </cell>
          <cell r="C257">
            <v>0.71569579999999999</v>
          </cell>
          <cell r="D257">
            <v>93340</v>
          </cell>
          <cell r="E257">
            <v>197830</v>
          </cell>
          <cell r="G257">
            <v>214260</v>
          </cell>
        </row>
        <row r="258">
          <cell r="A258" t="str">
            <v>19-2042</v>
          </cell>
          <cell r="B258" t="str">
            <v>Geoscientists, Except Hydrologists and Geographers</v>
          </cell>
          <cell r="C258">
            <v>0.71434810000000004</v>
          </cell>
          <cell r="D258">
            <v>65850</v>
          </cell>
          <cell r="E258">
            <v>23470</v>
          </cell>
          <cell r="G258">
            <v>22510</v>
          </cell>
        </row>
        <row r="259">
          <cell r="A259" t="str">
            <v>29-1199</v>
          </cell>
          <cell r="B259" t="str">
            <v>Health Diagnosing and Treating Practitioners, All Other</v>
          </cell>
          <cell r="C259">
            <v>0.71095660000000005</v>
          </cell>
          <cell r="D259">
            <v>79830</v>
          </cell>
          <cell r="E259" t="e">
            <v>#N/A</v>
          </cell>
          <cell r="G259" t="e">
            <v>#N/A</v>
          </cell>
        </row>
        <row r="260">
          <cell r="A260" t="str">
            <v>29-1069</v>
          </cell>
          <cell r="B260" t="str">
            <v>Physicians and Surgeons, All Other</v>
          </cell>
          <cell r="C260">
            <v>0.70861229999999997</v>
          </cell>
          <cell r="D260">
            <v>84150</v>
          </cell>
          <cell r="E260" t="e">
            <v>#N/A</v>
          </cell>
          <cell r="G260" t="e">
            <v>#N/A</v>
          </cell>
        </row>
        <row r="261">
          <cell r="A261" t="str">
            <v>27-1014</v>
          </cell>
          <cell r="B261" t="str">
            <v>Multi-Media Artists and Animators</v>
          </cell>
          <cell r="C261">
            <v>0.70586510000000002</v>
          </cell>
          <cell r="D261">
            <v>75650</v>
          </cell>
          <cell r="E261">
            <v>19970</v>
          </cell>
          <cell r="G261">
            <v>21280</v>
          </cell>
        </row>
        <row r="262">
          <cell r="A262" t="str">
            <v>43-9011</v>
          </cell>
          <cell r="B262" t="str">
            <v>Computer Operators</v>
          </cell>
          <cell r="C262">
            <v>0.70405189999999995</v>
          </cell>
          <cell r="D262">
            <v>77660</v>
          </cell>
          <cell r="E262" t="e">
            <v>#N/A</v>
          </cell>
          <cell r="G262" t="e">
            <v>#N/A</v>
          </cell>
        </row>
        <row r="263">
          <cell r="A263" t="str">
            <v>43-5061</v>
          </cell>
          <cell r="B263" t="str">
            <v>Production, Planning, and Expediting Clerks</v>
          </cell>
          <cell r="C263">
            <v>0.69991029999999999</v>
          </cell>
          <cell r="D263">
            <v>47300</v>
          </cell>
          <cell r="E263">
            <v>390160</v>
          </cell>
          <cell r="G263">
            <v>385000</v>
          </cell>
        </row>
        <row r="264">
          <cell r="A264" t="str">
            <v>13-1041</v>
          </cell>
          <cell r="B264" t="str">
            <v>Compliance Officers, Except Agriculture, Construction, Health and Safety, and Transportation</v>
          </cell>
          <cell r="C264">
            <v>0.69812050000000003</v>
          </cell>
          <cell r="D264">
            <v>115230</v>
          </cell>
          <cell r="E264">
            <v>417070</v>
          </cell>
          <cell r="G264">
            <v>397770</v>
          </cell>
        </row>
        <row r="265">
          <cell r="A265" t="str">
            <v>19-3091</v>
          </cell>
          <cell r="B265" t="str">
            <v>Anthropologists and Archeologists</v>
          </cell>
          <cell r="C265">
            <v>0.69656649999999998</v>
          </cell>
          <cell r="D265">
            <v>61460</v>
          </cell>
          <cell r="E265">
            <v>8990</v>
          </cell>
          <cell r="G265">
            <v>8070</v>
          </cell>
        </row>
        <row r="266">
          <cell r="A266" t="str">
            <v>19-1022</v>
          </cell>
          <cell r="B266" t="str">
            <v>Microbiologists</v>
          </cell>
          <cell r="C266">
            <v>0.69556470000000004</v>
          </cell>
          <cell r="D266">
            <v>48450</v>
          </cell>
          <cell r="E266">
            <v>18940</v>
          </cell>
          <cell r="G266">
            <v>19760</v>
          </cell>
        </row>
        <row r="267">
          <cell r="A267" t="str">
            <v>21-1091</v>
          </cell>
          <cell r="B267" t="str">
            <v>Health Educators</v>
          </cell>
          <cell r="C267">
            <v>0.691658</v>
          </cell>
          <cell r="D267">
            <v>46290</v>
          </cell>
          <cell r="E267">
            <v>65690</v>
          </cell>
          <cell r="G267">
            <v>65150</v>
          </cell>
        </row>
        <row r="268">
          <cell r="A268" t="str">
            <v>25-4011</v>
          </cell>
          <cell r="B268" t="str">
            <v>Archivists</v>
          </cell>
          <cell r="C268">
            <v>0.67656019999999994</v>
          </cell>
          <cell r="D268" t="e">
            <v>#N/A</v>
          </cell>
          <cell r="E268" t="e">
            <v>#N/A</v>
          </cell>
          <cell r="G268">
            <v>7050</v>
          </cell>
        </row>
        <row r="269">
          <cell r="A269" t="str">
            <v>17-2072</v>
          </cell>
          <cell r="B269" t="str">
            <v>Electronics Engineers, Except Computer</v>
          </cell>
          <cell r="C269">
            <v>0.66545779999999999</v>
          </cell>
          <cell r="D269" t="e">
            <v>#N/A</v>
          </cell>
          <cell r="E269">
            <v>96900</v>
          </cell>
          <cell r="G269">
            <v>93940</v>
          </cell>
        </row>
        <row r="270">
          <cell r="A270" t="str">
            <v>27-3012</v>
          </cell>
          <cell r="B270" t="str">
            <v>Public Address System and Other Announcers</v>
          </cell>
          <cell r="C270">
            <v>0.6650665</v>
          </cell>
          <cell r="D270">
            <v>64910</v>
          </cell>
          <cell r="E270" t="e">
            <v>#N/A</v>
          </cell>
          <cell r="G270" t="e">
            <v>#N/A</v>
          </cell>
        </row>
        <row r="271">
          <cell r="A271" t="str">
            <v>13-1032</v>
          </cell>
          <cell r="B271" t="str">
            <v>Insurance Appraisers, Auto Damage</v>
          </cell>
          <cell r="C271">
            <v>0.66349550000000002</v>
          </cell>
          <cell r="D271">
            <v>101350</v>
          </cell>
          <cell r="E271">
            <v>11560</v>
          </cell>
          <cell r="G271">
            <v>7790</v>
          </cell>
        </row>
        <row r="272">
          <cell r="A272" t="str">
            <v>19-2043</v>
          </cell>
          <cell r="B272" t="str">
            <v>Hydrologists</v>
          </cell>
          <cell r="C272">
            <v>0.6405071</v>
          </cell>
          <cell r="D272" t="e">
            <v>#N/A</v>
          </cell>
          <cell r="E272" t="e">
            <v>#N/A</v>
          </cell>
          <cell r="G272">
            <v>5720</v>
          </cell>
        </row>
        <row r="273">
          <cell r="A273" t="str">
            <v>29-1181</v>
          </cell>
          <cell r="B273" t="str">
            <v>Audiologists</v>
          </cell>
          <cell r="C273">
            <v>0.63290630000000003</v>
          </cell>
          <cell r="D273">
            <v>58480</v>
          </cell>
          <cell r="E273" t="e">
            <v>#N/A</v>
          </cell>
          <cell r="G273">
            <v>14730</v>
          </cell>
        </row>
        <row r="274">
          <cell r="A274" t="str">
            <v>19-1013</v>
          </cell>
          <cell r="B274" t="str">
            <v>Soil and Plant Scientists</v>
          </cell>
          <cell r="C274">
            <v>0.63206960000000001</v>
          </cell>
          <cell r="D274" t="e">
            <v>#N/A</v>
          </cell>
          <cell r="E274">
            <v>15730</v>
          </cell>
          <cell r="G274">
            <v>16600</v>
          </cell>
        </row>
        <row r="275">
          <cell r="A275" t="str">
            <v>29-1081</v>
          </cell>
          <cell r="B275" t="str">
            <v>Podiatrists</v>
          </cell>
          <cell r="C275">
            <v>0.62791850000000005</v>
          </cell>
          <cell r="D275">
            <v>39180</v>
          </cell>
          <cell r="E275" t="e">
            <v>#N/A</v>
          </cell>
          <cell r="G275">
            <v>9520</v>
          </cell>
        </row>
        <row r="276">
          <cell r="A276" t="str">
            <v>43-9022</v>
          </cell>
          <cell r="B276" t="str">
            <v>Word Processors and Typists</v>
          </cell>
          <cell r="C276">
            <v>0.62196059999999997</v>
          </cell>
          <cell r="D276">
            <v>76310</v>
          </cell>
          <cell r="E276">
            <v>35010</v>
          </cell>
          <cell r="G276">
            <v>36030</v>
          </cell>
        </row>
        <row r="277">
          <cell r="A277" t="str">
            <v>17-3026</v>
          </cell>
          <cell r="B277" t="str">
            <v>Industrial Engineering Technicians</v>
          </cell>
          <cell r="C277">
            <v>0.61066790000000004</v>
          </cell>
          <cell r="D277">
            <v>98670</v>
          </cell>
          <cell r="E277">
            <v>75570</v>
          </cell>
          <cell r="G277">
            <v>73410</v>
          </cell>
        </row>
        <row r="278">
          <cell r="A278" t="str">
            <v>39-7012</v>
          </cell>
          <cell r="B278" t="str">
            <v>Travel Guides</v>
          </cell>
          <cell r="C278">
            <v>0.60838289999999995</v>
          </cell>
          <cell r="D278">
            <v>31150</v>
          </cell>
          <cell r="E278" t="e">
            <v>#N/A</v>
          </cell>
          <cell r="G278" t="e">
            <v>#N/A</v>
          </cell>
        </row>
        <row r="279">
          <cell r="A279" t="str">
            <v>43-4081</v>
          </cell>
          <cell r="B279" t="str">
            <v>Hotel, Motel, and Resort Desk Clerks</v>
          </cell>
          <cell r="C279">
            <v>0.60631270000000004</v>
          </cell>
          <cell r="D279">
            <v>46710</v>
          </cell>
          <cell r="E279">
            <v>261420</v>
          </cell>
          <cell r="G279">
            <v>261430</v>
          </cell>
        </row>
        <row r="280">
          <cell r="A280" t="str">
            <v>29-1051</v>
          </cell>
          <cell r="B280" t="str">
            <v>Pharmacists</v>
          </cell>
          <cell r="C280">
            <v>0.60587049999999998</v>
          </cell>
          <cell r="D280">
            <v>64520</v>
          </cell>
          <cell r="E280">
            <v>321970</v>
          </cell>
          <cell r="G280">
            <v>328870</v>
          </cell>
        </row>
        <row r="281">
          <cell r="A281" t="str">
            <v>15-1143</v>
          </cell>
          <cell r="B281" t="str">
            <v>Computer Network Architects</v>
          </cell>
          <cell r="C281">
            <v>0.58033060000000003</v>
          </cell>
          <cell r="D281">
            <v>47170</v>
          </cell>
          <cell r="E281" t="e">
            <v>#N/A</v>
          </cell>
          <cell r="G281" t="e">
            <v>#N/A</v>
          </cell>
        </row>
        <row r="282">
          <cell r="A282" t="str">
            <v>27-1022</v>
          </cell>
          <cell r="B282" t="str">
            <v>Fashion Designers</v>
          </cell>
          <cell r="C282">
            <v>0.5801539</v>
          </cell>
          <cell r="D282" t="e">
            <v>#N/A</v>
          </cell>
          <cell r="E282">
            <v>21450</v>
          </cell>
          <cell r="G282">
            <v>20910</v>
          </cell>
        </row>
        <row r="283">
          <cell r="A283" t="str">
            <v>11-1021</v>
          </cell>
          <cell r="B283" t="str">
            <v>General and Operations Managers</v>
          </cell>
          <cell r="C283">
            <v>0.57487730000000004</v>
          </cell>
          <cell r="D283">
            <v>90400</v>
          </cell>
          <cell r="E283">
            <v>3503020</v>
          </cell>
          <cell r="G283">
            <v>3584420</v>
          </cell>
        </row>
        <row r="284">
          <cell r="A284" t="str">
            <v>29-2071</v>
          </cell>
          <cell r="B284" t="str">
            <v>Medical Records and Health Information Technicians</v>
          </cell>
          <cell r="C284">
            <v>0.57387650000000001</v>
          </cell>
          <cell r="D284">
            <v>223210</v>
          </cell>
          <cell r="E284" t="e">
            <v>#N/A</v>
          </cell>
          <cell r="G284" t="e">
            <v>#N/A</v>
          </cell>
        </row>
        <row r="285">
          <cell r="A285" t="str">
            <v>29-2092</v>
          </cell>
          <cell r="B285" t="str">
            <v>Hearing Aid Specialists</v>
          </cell>
          <cell r="C285">
            <v>0.56489529999999999</v>
          </cell>
          <cell r="D285">
            <v>64030</v>
          </cell>
          <cell r="E285" t="e">
            <v>#N/A</v>
          </cell>
          <cell r="G285">
            <v>10580</v>
          </cell>
        </row>
        <row r="286">
          <cell r="A286" t="str">
            <v>17-2121</v>
          </cell>
          <cell r="B286" t="str">
            <v>Marine Engineers and Naval Architects</v>
          </cell>
          <cell r="C286">
            <v>0.54721730000000002</v>
          </cell>
          <cell r="D286">
            <v>61010</v>
          </cell>
          <cell r="E286">
            <v>8250</v>
          </cell>
          <cell r="G286">
            <v>8440</v>
          </cell>
        </row>
        <row r="287">
          <cell r="A287" t="str">
            <v>21-1092</v>
          </cell>
          <cell r="B287" t="str">
            <v>Probation Officers and Correctional Treatment Specialists</v>
          </cell>
          <cell r="C287">
            <v>0.52724479999999996</v>
          </cell>
          <cell r="D287">
            <v>74050</v>
          </cell>
          <cell r="E287">
            <v>89390</v>
          </cell>
          <cell r="G287">
            <v>86820</v>
          </cell>
        </row>
        <row r="288">
          <cell r="A288" t="str">
            <v>25-3021</v>
          </cell>
          <cell r="B288" t="str">
            <v>Self-Enrichment Education Teachers</v>
          </cell>
          <cell r="C288">
            <v>0.52635200000000004</v>
          </cell>
          <cell r="D288">
            <v>167740</v>
          </cell>
          <cell r="E288">
            <v>332110</v>
          </cell>
          <cell r="G288">
            <v>308520</v>
          </cell>
        </row>
        <row r="289">
          <cell r="A289" t="str">
            <v>25-2023</v>
          </cell>
          <cell r="B289" t="str">
            <v>Vocational Education Teachers, Middle School</v>
          </cell>
          <cell r="C289">
            <v>0.51991909999999997</v>
          </cell>
          <cell r="D289">
            <v>79450</v>
          </cell>
          <cell r="E289">
            <v>16870</v>
          </cell>
          <cell r="G289">
            <v>14200</v>
          </cell>
        </row>
        <row r="290">
          <cell r="A290" t="str">
            <v>25-1072</v>
          </cell>
          <cell r="B290" t="str">
            <v>Nursing Instructors and Teachers, Postsecondary</v>
          </cell>
          <cell r="C290">
            <v>0.51706819999999998</v>
          </cell>
          <cell r="D290">
            <v>70980</v>
          </cell>
          <cell r="E290">
            <v>77960</v>
          </cell>
          <cell r="G290">
            <v>74250</v>
          </cell>
        </row>
        <row r="291">
          <cell r="A291" t="str">
            <v>11-3051</v>
          </cell>
          <cell r="B291" t="str">
            <v>Industrial Production Managers</v>
          </cell>
          <cell r="C291">
            <v>0.50868780000000002</v>
          </cell>
          <cell r="D291">
            <v>60400</v>
          </cell>
          <cell r="E291">
            <v>246250</v>
          </cell>
          <cell r="G291">
            <v>234380</v>
          </cell>
        </row>
        <row r="292">
          <cell r="A292" t="str">
            <v>29-1041</v>
          </cell>
          <cell r="B292" t="str">
            <v>Optometrists</v>
          </cell>
          <cell r="C292">
            <v>0.50401940000000001</v>
          </cell>
          <cell r="D292">
            <v>105670</v>
          </cell>
          <cell r="E292">
            <v>42790</v>
          </cell>
          <cell r="G292">
            <v>41890</v>
          </cell>
        </row>
        <row r="293">
          <cell r="A293" t="str">
            <v>21-1015</v>
          </cell>
          <cell r="B293" t="str">
            <v>Rehabilitation Counselors</v>
          </cell>
          <cell r="C293">
            <v>0.50250139999999999</v>
          </cell>
          <cell r="D293">
            <v>34410</v>
          </cell>
          <cell r="E293">
            <v>94740</v>
          </cell>
          <cell r="G293">
            <v>88930</v>
          </cell>
        </row>
        <row r="294">
          <cell r="A294" t="str">
            <v>51-8012</v>
          </cell>
          <cell r="B294" t="str">
            <v>Power Distributors and Dispatchers</v>
          </cell>
          <cell r="C294">
            <v>0.50122140000000004</v>
          </cell>
          <cell r="D294">
            <v>52240</v>
          </cell>
          <cell r="E294" t="e">
            <v>#N/A</v>
          </cell>
          <cell r="G294">
            <v>9180</v>
          </cell>
        </row>
        <row r="295">
          <cell r="A295" t="str">
            <v>19-2031</v>
          </cell>
          <cell r="B295" t="str">
            <v>Chemists</v>
          </cell>
          <cell r="C295">
            <v>0.50112509999999999</v>
          </cell>
          <cell r="D295">
            <v>54840</v>
          </cell>
          <cell r="E295">
            <v>82770</v>
          </cell>
          <cell r="G295">
            <v>83250</v>
          </cell>
        </row>
        <row r="296">
          <cell r="A296" t="str">
            <v>53-2022</v>
          </cell>
          <cell r="B296" t="str">
            <v>Airfield Operations Specialists</v>
          </cell>
          <cell r="C296">
            <v>0.4845738</v>
          </cell>
          <cell r="D296">
            <v>64700</v>
          </cell>
          <cell r="E296" t="e">
            <v>#N/A</v>
          </cell>
          <cell r="G296">
            <v>16640</v>
          </cell>
        </row>
        <row r="297">
          <cell r="A297" t="str">
            <v>39-9041</v>
          </cell>
          <cell r="B297" t="str">
            <v>Residential Advisors</v>
          </cell>
          <cell r="C297">
            <v>0.47461189999999998</v>
          </cell>
          <cell r="D297">
            <v>41560</v>
          </cell>
          <cell r="E297">
            <v>84760</v>
          </cell>
          <cell r="G297">
            <v>82810</v>
          </cell>
        </row>
        <row r="298">
          <cell r="A298" t="str">
            <v>43-3071</v>
          </cell>
          <cell r="B298" t="str">
            <v>Tellers</v>
          </cell>
          <cell r="C298">
            <v>0.47277229999999998</v>
          </cell>
          <cell r="D298">
            <v>58260</v>
          </cell>
          <cell r="E298">
            <v>329480</v>
          </cell>
          <cell r="G298">
            <v>339340</v>
          </cell>
        </row>
        <row r="299">
          <cell r="A299" t="str">
            <v>27-4014</v>
          </cell>
          <cell r="B299" t="str">
            <v>Sound Engineering Technicians</v>
          </cell>
          <cell r="C299">
            <v>0.47154620000000003</v>
          </cell>
          <cell r="D299">
            <v>47850</v>
          </cell>
          <cell r="E299" t="e">
            <v>#N/A</v>
          </cell>
          <cell r="G299">
            <v>13050</v>
          </cell>
        </row>
        <row r="300">
          <cell r="A300" t="str">
            <v>39-3012</v>
          </cell>
          <cell r="B300" t="str">
            <v>Gaming and Sports Book Writers and Runners</v>
          </cell>
          <cell r="C300">
            <v>0.4652752</v>
          </cell>
          <cell r="D300" t="str">
            <v>&gt;=$239,200</v>
          </cell>
          <cell r="E300" t="e">
            <v>#N/A</v>
          </cell>
          <cell r="G300">
            <v>7600</v>
          </cell>
        </row>
        <row r="301">
          <cell r="A301" t="str">
            <v>21-1093</v>
          </cell>
          <cell r="B301" t="str">
            <v>Social and Human Service Assistants</v>
          </cell>
          <cell r="C301">
            <v>0.46522550000000001</v>
          </cell>
          <cell r="D301">
            <v>90930</v>
          </cell>
          <cell r="E301">
            <v>437860</v>
          </cell>
          <cell r="G301">
            <v>424220</v>
          </cell>
        </row>
        <row r="302">
          <cell r="A302" t="str">
            <v>25-9041</v>
          </cell>
          <cell r="B302" t="str">
            <v>Teacher Assistants</v>
          </cell>
          <cell r="C302">
            <v>0.4516636</v>
          </cell>
          <cell r="D302">
            <v>117750</v>
          </cell>
          <cell r="E302" t="e">
            <v>#N/A</v>
          </cell>
          <cell r="G302" t="e">
            <v>#N/A</v>
          </cell>
        </row>
        <row r="303">
          <cell r="A303" t="str">
            <v>25-9011</v>
          </cell>
          <cell r="B303" t="str">
            <v>Audio-Visual Collections Specialists</v>
          </cell>
          <cell r="C303">
            <v>0.4508702</v>
          </cell>
          <cell r="D303">
            <v>78380</v>
          </cell>
          <cell r="E303" t="e">
            <v>#N/A</v>
          </cell>
          <cell r="G303" t="e">
            <v>#N/A</v>
          </cell>
        </row>
        <row r="304">
          <cell r="A304" t="str">
            <v>19-4099</v>
          </cell>
          <cell r="B304" t="str">
            <v>Life, Physical, and Social Science Technicians, All Other</v>
          </cell>
          <cell r="C304">
            <v>0.45010440000000002</v>
          </cell>
          <cell r="D304" t="e">
            <v>#N/A</v>
          </cell>
          <cell r="E304">
            <v>73910</v>
          </cell>
          <cell r="G304">
            <v>71400</v>
          </cell>
        </row>
        <row r="305">
          <cell r="A305" t="str">
            <v>39-1021</v>
          </cell>
          <cell r="B305" t="str">
            <v>First-Line Supervisors/Managers of Personal Service Workers</v>
          </cell>
          <cell r="C305">
            <v>0.43030750000000001</v>
          </cell>
          <cell r="D305" t="e">
            <v>#N/A</v>
          </cell>
          <cell r="E305" t="e">
            <v>#N/A</v>
          </cell>
          <cell r="G305" t="e">
            <v>#N/A</v>
          </cell>
        </row>
        <row r="306">
          <cell r="A306" t="str">
            <v>51-5111</v>
          </cell>
          <cell r="B306" t="str">
            <v>Prepress Technicians and Workers</v>
          </cell>
          <cell r="C306">
            <v>0.41079729999999998</v>
          </cell>
          <cell r="D306">
            <v>41230</v>
          </cell>
          <cell r="E306" t="e">
            <v>#N/A</v>
          </cell>
          <cell r="G306">
            <v>23070</v>
          </cell>
        </row>
        <row r="307">
          <cell r="A307" t="str">
            <v>43-3041</v>
          </cell>
          <cell r="B307" t="str">
            <v>Gaming Cage Workers</v>
          </cell>
          <cell r="C307">
            <v>0.4026518</v>
          </cell>
          <cell r="D307">
            <v>85540</v>
          </cell>
          <cell r="E307" t="e">
            <v>#N/A</v>
          </cell>
          <cell r="G307">
            <v>13490</v>
          </cell>
        </row>
        <row r="308">
          <cell r="A308" t="str">
            <v>11-9081</v>
          </cell>
          <cell r="B308" t="str">
            <v>Lodging Managers</v>
          </cell>
          <cell r="C308">
            <v>0.40217259999999999</v>
          </cell>
          <cell r="D308">
            <v>101690</v>
          </cell>
          <cell r="E308">
            <v>42620</v>
          </cell>
          <cell r="G308">
            <v>41350</v>
          </cell>
        </row>
        <row r="309">
          <cell r="A309" t="str">
            <v>29-9012</v>
          </cell>
          <cell r="B309" t="str">
            <v>Occupational Health and Safety Technicians</v>
          </cell>
          <cell r="C309">
            <v>0.3996866</v>
          </cell>
          <cell r="D309">
            <v>93580</v>
          </cell>
          <cell r="E309" t="e">
            <v>#N/A</v>
          </cell>
          <cell r="G309" t="e">
            <v>#N/A</v>
          </cell>
        </row>
        <row r="310">
          <cell r="A310" t="str">
            <v>53-6041</v>
          </cell>
          <cell r="B310" t="str">
            <v>Traffic Technicians</v>
          </cell>
          <cell r="C310">
            <v>0.39958719999999998</v>
          </cell>
          <cell r="D310">
            <v>50970</v>
          </cell>
          <cell r="E310" t="e">
            <v>#N/A</v>
          </cell>
          <cell r="G310">
            <v>7580</v>
          </cell>
        </row>
        <row r="311">
          <cell r="A311" t="str">
            <v>17-3021</v>
          </cell>
          <cell r="B311" t="str">
            <v>Aerospace Engineering and Operations Technicians</v>
          </cell>
          <cell r="C311">
            <v>0.39094020000000002</v>
          </cell>
          <cell r="D311">
            <v>54980</v>
          </cell>
          <cell r="E311">
            <v>11280</v>
          </cell>
          <cell r="G311">
            <v>9060</v>
          </cell>
        </row>
        <row r="312">
          <cell r="A312" t="str">
            <v>25-2051</v>
          </cell>
          <cell r="B312" t="str">
            <v>Special Education Teachers, Preschool</v>
          </cell>
          <cell r="C312">
            <v>0.37505640000000001</v>
          </cell>
          <cell r="D312">
            <v>37320</v>
          </cell>
          <cell r="E312">
            <v>29510</v>
          </cell>
          <cell r="G312">
            <v>28200</v>
          </cell>
        </row>
        <row r="313">
          <cell r="A313" t="str">
            <v>13-1121</v>
          </cell>
          <cell r="B313" t="str">
            <v>Meeting and Convention Planners</v>
          </cell>
          <cell r="C313">
            <v>0.37402069999999998</v>
          </cell>
          <cell r="D313">
            <v>48950</v>
          </cell>
          <cell r="E313">
            <v>142860</v>
          </cell>
          <cell r="G313">
            <v>134670</v>
          </cell>
        </row>
        <row r="314">
          <cell r="A314" t="str">
            <v>25-2032</v>
          </cell>
          <cell r="B314" t="str">
            <v>Vocational Education Teachers, Secondary School</v>
          </cell>
          <cell r="C314">
            <v>0.37345050000000002</v>
          </cell>
          <cell r="D314">
            <v>58120</v>
          </cell>
          <cell r="E314">
            <v>111420</v>
          </cell>
          <cell r="G314">
            <v>104450</v>
          </cell>
        </row>
        <row r="315">
          <cell r="A315" t="str">
            <v>11-9171</v>
          </cell>
          <cell r="B315" t="str">
            <v>Funeral Home Managers</v>
          </cell>
          <cell r="C315">
            <v>0.3719018</v>
          </cell>
          <cell r="D315">
            <v>139380</v>
          </cell>
          <cell r="E315">
            <v>13910</v>
          </cell>
          <cell r="G315">
            <v>13120</v>
          </cell>
        </row>
        <row r="316">
          <cell r="A316" t="str">
            <v>25-2012</v>
          </cell>
          <cell r="B316" t="str">
            <v>Kindergarten Teachers, Except Special Education</v>
          </cell>
          <cell r="C316">
            <v>0.36440470000000003</v>
          </cell>
          <cell r="D316">
            <v>102010</v>
          </cell>
          <cell r="E316">
            <v>108870</v>
          </cell>
          <cell r="G316">
            <v>114410</v>
          </cell>
        </row>
        <row r="317">
          <cell r="A317" t="str">
            <v>39-7011</v>
          </cell>
          <cell r="B317" t="str">
            <v>Tour Guides and Escorts</v>
          </cell>
          <cell r="C317">
            <v>0.35709600000000002</v>
          </cell>
          <cell r="D317" t="str">
            <v>&gt;=$239,200</v>
          </cell>
          <cell r="E317" t="e">
            <v>#N/A</v>
          </cell>
          <cell r="G317" t="e">
            <v>#N/A</v>
          </cell>
        </row>
        <row r="318">
          <cell r="A318" t="str">
            <v>11-9039</v>
          </cell>
          <cell r="B318" t="str">
            <v>Education Administrators, All Other</v>
          </cell>
          <cell r="C318">
            <v>0.35412650000000001</v>
          </cell>
          <cell r="D318">
            <v>76950</v>
          </cell>
          <cell r="E318">
            <v>55130</v>
          </cell>
          <cell r="G318">
            <v>53330</v>
          </cell>
        </row>
        <row r="319">
          <cell r="A319" t="str">
            <v>17-3023</v>
          </cell>
          <cell r="B319" t="str">
            <v>Electrical and Electronic Engineering Technicians</v>
          </cell>
          <cell r="C319">
            <v>0.35152519999999998</v>
          </cell>
          <cell r="D319">
            <v>96690</v>
          </cell>
          <cell r="E319">
            <v>95130</v>
          </cell>
          <cell r="G319">
            <v>92710</v>
          </cell>
        </row>
        <row r="320">
          <cell r="A320" t="str">
            <v>43-9031</v>
          </cell>
          <cell r="B320" t="str">
            <v>Desktop Publishers</v>
          </cell>
          <cell r="C320">
            <v>0.34377429999999998</v>
          </cell>
          <cell r="D320">
            <v>60560</v>
          </cell>
          <cell r="E320" t="e">
            <v>#N/A</v>
          </cell>
          <cell r="G320">
            <v>4000</v>
          </cell>
        </row>
        <row r="321">
          <cell r="A321" t="str">
            <v>19-1023</v>
          </cell>
          <cell r="B321" t="str">
            <v>Zoologists and Wildlife Biologists</v>
          </cell>
          <cell r="C321">
            <v>0.31759530000000002</v>
          </cell>
          <cell r="D321">
            <v>48880</v>
          </cell>
          <cell r="E321">
            <v>18120</v>
          </cell>
          <cell r="G321">
            <v>16920</v>
          </cell>
        </row>
        <row r="322">
          <cell r="A322" t="str">
            <v>43-9021</v>
          </cell>
          <cell r="B322" t="str">
            <v>Data Entry Keyers</v>
          </cell>
          <cell r="C322">
            <v>0.31080809999999998</v>
          </cell>
          <cell r="D322">
            <v>40550</v>
          </cell>
          <cell r="E322">
            <v>127080</v>
          </cell>
          <cell r="G322">
            <v>135280</v>
          </cell>
        </row>
        <row r="323">
          <cell r="A323" t="str">
            <v>19-4021</v>
          </cell>
          <cell r="B323" t="str">
            <v>Biological Technicians</v>
          </cell>
          <cell r="C323">
            <v>0.30123549999999999</v>
          </cell>
          <cell r="D323">
            <v>95410</v>
          </cell>
          <cell r="E323">
            <v>69620</v>
          </cell>
          <cell r="G323">
            <v>76190</v>
          </cell>
        </row>
        <row r="324">
          <cell r="A324" t="str">
            <v>15-1151</v>
          </cell>
          <cell r="B324" t="str">
            <v>Computer User Support Specialists</v>
          </cell>
          <cell r="C324">
            <v>0.29934300000000003</v>
          </cell>
          <cell r="D324">
            <v>151160</v>
          </cell>
          <cell r="E324" t="e">
            <v>#N/A</v>
          </cell>
          <cell r="G324" t="e">
            <v>#N/A</v>
          </cell>
        </row>
        <row r="325">
          <cell r="A325" t="str">
            <v>47-4011</v>
          </cell>
          <cell r="B325" t="str">
            <v>Construction and Building Inspectors</v>
          </cell>
          <cell r="C325">
            <v>0.28602450000000001</v>
          </cell>
          <cell r="D325">
            <v>47200</v>
          </cell>
          <cell r="E325">
            <v>146720</v>
          </cell>
          <cell r="G325">
            <v>137210</v>
          </cell>
        </row>
        <row r="326">
          <cell r="A326" t="str">
            <v>43-4071</v>
          </cell>
          <cell r="B326" t="str">
            <v>File Clerks</v>
          </cell>
          <cell r="C326">
            <v>0.28397430000000001</v>
          </cell>
          <cell r="D326">
            <v>33720</v>
          </cell>
          <cell r="E326">
            <v>73440</v>
          </cell>
          <cell r="G326">
            <v>78980</v>
          </cell>
        </row>
        <row r="327">
          <cell r="A327" t="str">
            <v>29-2011</v>
          </cell>
          <cell r="B327" t="str">
            <v>Medical and Clinical Laboratory Technologists</v>
          </cell>
          <cell r="C327">
            <v>0.28180670000000002</v>
          </cell>
          <cell r="D327">
            <v>62190</v>
          </cell>
          <cell r="E327" t="e">
            <v>#N/A</v>
          </cell>
          <cell r="G327" t="e">
            <v>#N/A</v>
          </cell>
        </row>
        <row r="328">
          <cell r="A328" t="str">
            <v>29-1064</v>
          </cell>
          <cell r="B328" t="str">
            <v>Obstetricians and Gynecologists</v>
          </cell>
          <cell r="C328">
            <v>0.2803215</v>
          </cell>
          <cell r="D328">
            <v>121440</v>
          </cell>
          <cell r="E328" t="e">
            <v>#N/A</v>
          </cell>
          <cell r="G328" t="e">
            <v>#N/A</v>
          </cell>
        </row>
        <row r="329">
          <cell r="A329" t="str">
            <v>29-1151</v>
          </cell>
          <cell r="B329" t="str">
            <v>Nurse Anesthetists</v>
          </cell>
          <cell r="C329">
            <v>0.24131910000000001</v>
          </cell>
          <cell r="D329">
            <v>36990</v>
          </cell>
          <cell r="E329">
            <v>51840</v>
          </cell>
          <cell r="G329">
            <v>50350</v>
          </cell>
        </row>
        <row r="330">
          <cell r="A330" t="str">
            <v>19-4092</v>
          </cell>
          <cell r="B330" t="str">
            <v>Forensic Science Technicians</v>
          </cell>
          <cell r="C330">
            <v>0.24005180000000001</v>
          </cell>
          <cell r="D330">
            <v>48450</v>
          </cell>
          <cell r="E330">
            <v>19120</v>
          </cell>
          <cell r="G330">
            <v>19450</v>
          </cell>
        </row>
        <row r="331">
          <cell r="A331" t="str">
            <v>29-1061</v>
          </cell>
          <cell r="B331" t="str">
            <v>Anesthesiologists</v>
          </cell>
          <cell r="C331">
            <v>0.23496980000000001</v>
          </cell>
          <cell r="D331">
            <v>45590</v>
          </cell>
          <cell r="E331" t="e">
            <v>#N/A</v>
          </cell>
          <cell r="G331" t="e">
            <v>#N/A</v>
          </cell>
        </row>
        <row r="332">
          <cell r="A332" t="str">
            <v>29-9099</v>
          </cell>
          <cell r="B332" t="str">
            <v>Healthcare Practitioners and Technical Workers, All Other</v>
          </cell>
          <cell r="C332">
            <v>0.22955680000000001</v>
          </cell>
          <cell r="D332">
            <v>128790</v>
          </cell>
          <cell r="E332">
            <v>35010</v>
          </cell>
          <cell r="G332">
            <v>36970</v>
          </cell>
        </row>
        <row r="333">
          <cell r="A333" t="str">
            <v>29-1141</v>
          </cell>
          <cell r="B333" t="str">
            <v>Registered Nurses</v>
          </cell>
          <cell r="C333">
            <v>0.22940969999999999</v>
          </cell>
          <cell r="D333">
            <v>47300</v>
          </cell>
          <cell r="E333">
            <v>3379720</v>
          </cell>
          <cell r="G333">
            <v>3282010</v>
          </cell>
        </row>
        <row r="334">
          <cell r="A334" t="str">
            <v>43-4181</v>
          </cell>
          <cell r="B334" t="str">
            <v>Reservation and Transportation Ticket Agents and Travel Clerks</v>
          </cell>
          <cell r="C334">
            <v>0.22731199999999999</v>
          </cell>
          <cell r="D334">
            <v>75190</v>
          </cell>
          <cell r="E334">
            <v>118710</v>
          </cell>
          <cell r="G334">
            <v>127440</v>
          </cell>
        </row>
        <row r="335">
          <cell r="A335" t="str">
            <v>33-3021</v>
          </cell>
          <cell r="B335" t="str">
            <v>Detectives and Criminal Investigators</v>
          </cell>
          <cell r="C335">
            <v>0.22576959999999999</v>
          </cell>
          <cell r="D335">
            <v>41600</v>
          </cell>
          <cell r="E335">
            <v>114430</v>
          </cell>
          <cell r="G335">
            <v>110790</v>
          </cell>
        </row>
        <row r="336">
          <cell r="A336" t="str">
            <v>29-1125</v>
          </cell>
          <cell r="B336" t="str">
            <v>Recreational Therapists</v>
          </cell>
          <cell r="C336">
            <v>0.21901090000000001</v>
          </cell>
          <cell r="D336">
            <v>45120</v>
          </cell>
          <cell r="E336" t="e">
            <v>#N/A</v>
          </cell>
          <cell r="G336">
            <v>15060</v>
          </cell>
        </row>
        <row r="337">
          <cell r="A337" t="str">
            <v>43-4121</v>
          </cell>
          <cell r="B337" t="str">
            <v>Library Assistants, Clerical</v>
          </cell>
          <cell r="C337">
            <v>0.20389189999999999</v>
          </cell>
          <cell r="D337">
            <v>62830</v>
          </cell>
          <cell r="E337">
            <v>85520</v>
          </cell>
          <cell r="G337">
            <v>80070</v>
          </cell>
        </row>
        <row r="338">
          <cell r="A338" t="str">
            <v>29-1161</v>
          </cell>
          <cell r="B338" t="str">
            <v>Nurse Midwives</v>
          </cell>
          <cell r="C338">
            <v>0.19662650000000001</v>
          </cell>
          <cell r="D338">
            <v>68130</v>
          </cell>
          <cell r="E338" t="e">
            <v>#N/A</v>
          </cell>
          <cell r="G338">
            <v>8280</v>
          </cell>
        </row>
        <row r="339">
          <cell r="A339" t="str">
            <v>17-3029</v>
          </cell>
          <cell r="B339" t="str">
            <v>Engineering Technicians, Except Drafters, All Other</v>
          </cell>
          <cell r="C339">
            <v>0.19412779999999999</v>
          </cell>
          <cell r="D339">
            <v>100830</v>
          </cell>
          <cell r="E339">
            <v>59930</v>
          </cell>
          <cell r="G339">
            <v>64410</v>
          </cell>
        </row>
        <row r="340">
          <cell r="A340" t="str">
            <v>29-1171</v>
          </cell>
          <cell r="B340" t="str">
            <v>Nurse Practitioners</v>
          </cell>
          <cell r="C340">
            <v>0.19005720000000001</v>
          </cell>
          <cell r="D340" t="e">
            <v>#N/A</v>
          </cell>
          <cell r="E340">
            <v>323040</v>
          </cell>
          <cell r="G340">
            <v>307390</v>
          </cell>
        </row>
        <row r="341">
          <cell r="A341" t="str">
            <v>45-2011</v>
          </cell>
          <cell r="B341" t="str">
            <v>Agricultural Inspectors</v>
          </cell>
          <cell r="C341">
            <v>0.17048669999999999</v>
          </cell>
          <cell r="D341">
            <v>45830</v>
          </cell>
          <cell r="E341" t="e">
            <v>#N/A</v>
          </cell>
          <cell r="G341">
            <v>12090</v>
          </cell>
        </row>
        <row r="342">
          <cell r="A342" t="str">
            <v>19-4051</v>
          </cell>
          <cell r="B342" t="str">
            <v>Nuclear Technicians</v>
          </cell>
          <cell r="C342">
            <v>0.1696743</v>
          </cell>
          <cell r="D342">
            <v>155020</v>
          </cell>
          <cell r="E342" t="e">
            <v>#N/A</v>
          </cell>
          <cell r="G342">
            <v>5990</v>
          </cell>
        </row>
        <row r="343">
          <cell r="A343" t="str">
            <v>31-9099</v>
          </cell>
          <cell r="B343" t="str">
            <v>Healthcare Support Workers, All Other</v>
          </cell>
          <cell r="C343">
            <v>0.16600770000000001</v>
          </cell>
          <cell r="D343">
            <v>133260</v>
          </cell>
          <cell r="E343">
            <v>109740</v>
          </cell>
          <cell r="G343">
            <v>103650</v>
          </cell>
        </row>
        <row r="344">
          <cell r="A344" t="str">
            <v>25-1194</v>
          </cell>
          <cell r="B344" t="str">
            <v>Vocational Education Teachers, Postsecondary</v>
          </cell>
          <cell r="C344">
            <v>0.16221849999999999</v>
          </cell>
          <cell r="D344">
            <v>103650</v>
          </cell>
          <cell r="E344">
            <v>114110</v>
          </cell>
          <cell r="G344">
            <v>111150</v>
          </cell>
        </row>
        <row r="345">
          <cell r="A345" t="str">
            <v>29-1023</v>
          </cell>
          <cell r="B345" t="str">
            <v>Orthodontists</v>
          </cell>
          <cell r="C345">
            <v>0.1616631</v>
          </cell>
          <cell r="D345">
            <v>102950</v>
          </cell>
          <cell r="E345" t="e">
            <v>#N/A</v>
          </cell>
          <cell r="G345">
            <v>5150</v>
          </cell>
        </row>
        <row r="346">
          <cell r="A346" t="str">
            <v>27-2011</v>
          </cell>
          <cell r="B346" t="str">
            <v>Actors</v>
          </cell>
          <cell r="C346">
            <v>0.1590935</v>
          </cell>
          <cell r="D346">
            <v>63000</v>
          </cell>
          <cell r="E346">
            <v>55000</v>
          </cell>
          <cell r="G346">
            <v>38800</v>
          </cell>
        </row>
        <row r="347">
          <cell r="A347" t="str">
            <v>31-9092</v>
          </cell>
          <cell r="B347" t="str">
            <v>Medical Assistants</v>
          </cell>
          <cell r="C347">
            <v>0.1497917</v>
          </cell>
          <cell r="D347">
            <v>72740</v>
          </cell>
          <cell r="E347">
            <v>817870</v>
          </cell>
          <cell r="G347">
            <v>793460</v>
          </cell>
        </row>
        <row r="348">
          <cell r="A348" t="str">
            <v>53-1031</v>
          </cell>
          <cell r="B348" t="str">
            <v>First-Line Supervisors/Managers of Transportation and Material-Moving Machine and Vehicle Operators</v>
          </cell>
          <cell r="C348">
            <v>0.14662449999999999</v>
          </cell>
          <cell r="D348">
            <v>39890</v>
          </cell>
          <cell r="E348" t="e">
            <v>#N/A</v>
          </cell>
          <cell r="G348" t="e">
            <v>#N/A</v>
          </cell>
        </row>
        <row r="349">
          <cell r="A349" t="str">
            <v>17-1022</v>
          </cell>
          <cell r="B349" t="str">
            <v>Surveyors</v>
          </cell>
          <cell r="C349">
            <v>0.14606060000000001</v>
          </cell>
          <cell r="D349">
            <v>84290</v>
          </cell>
          <cell r="E349">
            <v>50830</v>
          </cell>
          <cell r="G349">
            <v>53080</v>
          </cell>
        </row>
        <row r="350">
          <cell r="A350" t="str">
            <v>41-9011</v>
          </cell>
          <cell r="B350" t="str">
            <v>Demonstrators and Product Promoters</v>
          </cell>
          <cell r="C350">
            <v>0.1235652</v>
          </cell>
          <cell r="D350">
            <v>99670</v>
          </cell>
          <cell r="E350">
            <v>64520</v>
          </cell>
          <cell r="G350">
            <v>64770</v>
          </cell>
        </row>
        <row r="351">
          <cell r="A351" t="str">
            <v>27-4012</v>
          </cell>
          <cell r="B351" t="str">
            <v>Broadcast Technicians</v>
          </cell>
          <cell r="C351">
            <v>0.1222249</v>
          </cell>
          <cell r="D351">
            <v>71410</v>
          </cell>
          <cell r="E351">
            <v>21110</v>
          </cell>
          <cell r="G351">
            <v>21080</v>
          </cell>
        </row>
        <row r="352">
          <cell r="A352" t="str">
            <v>27-2022</v>
          </cell>
          <cell r="B352" t="str">
            <v>Coaches and Scouts</v>
          </cell>
          <cell r="C352">
            <v>0.11686680000000001</v>
          </cell>
          <cell r="D352">
            <v>99240</v>
          </cell>
          <cell r="E352">
            <v>248950</v>
          </cell>
          <cell r="G352">
            <v>250940</v>
          </cell>
        </row>
        <row r="353">
          <cell r="A353" t="str">
            <v>53-1021</v>
          </cell>
          <cell r="B353" t="str">
            <v>First-Line Supervisors/Managers of Helpers, Laborers, and Material Movers, Hand</v>
          </cell>
          <cell r="C353">
            <v>0.1160332</v>
          </cell>
          <cell r="D353">
            <v>34660</v>
          </cell>
          <cell r="E353" t="e">
            <v>#N/A</v>
          </cell>
          <cell r="G353" t="e">
            <v>#N/A</v>
          </cell>
        </row>
        <row r="354">
          <cell r="A354" t="str">
            <v>29-1122</v>
          </cell>
          <cell r="B354" t="str">
            <v>Occupational Therapists</v>
          </cell>
          <cell r="C354">
            <v>0.1151615</v>
          </cell>
          <cell r="D354">
            <v>39340</v>
          </cell>
          <cell r="E354">
            <v>162450</v>
          </cell>
          <cell r="G354">
            <v>152280</v>
          </cell>
        </row>
        <row r="355">
          <cell r="A355" t="str">
            <v>29-1071</v>
          </cell>
          <cell r="B355" t="str">
            <v>Physician Assistants</v>
          </cell>
          <cell r="C355">
            <v>0.1059147</v>
          </cell>
          <cell r="D355">
            <v>56750</v>
          </cell>
          <cell r="E355">
            <v>162150</v>
          </cell>
          <cell r="G355">
            <v>155540</v>
          </cell>
        </row>
        <row r="356">
          <cell r="A356" t="str">
            <v>29-2081</v>
          </cell>
          <cell r="B356" t="str">
            <v>Opticians, Dispensing</v>
          </cell>
          <cell r="C356">
            <v>0.1013966</v>
          </cell>
          <cell r="D356">
            <v>67440</v>
          </cell>
          <cell r="E356">
            <v>73530</v>
          </cell>
          <cell r="G356">
            <v>79690</v>
          </cell>
        </row>
        <row r="357">
          <cell r="A357" t="str">
            <v>19-4011</v>
          </cell>
          <cell r="B357" t="str">
            <v>Agricultural and Food Science Technicians</v>
          </cell>
          <cell r="C357">
            <v>9.5718999999999999E-2</v>
          </cell>
          <cell r="D357">
            <v>72280</v>
          </cell>
          <cell r="E357" t="e">
            <v>#N/A</v>
          </cell>
          <cell r="G357" t="e">
            <v>#N/A</v>
          </cell>
        </row>
        <row r="358">
          <cell r="A358" t="str">
            <v>41-2031</v>
          </cell>
          <cell r="B358" t="str">
            <v>Retail Salespersons</v>
          </cell>
          <cell r="C358">
            <v>8.7306900000000007E-2</v>
          </cell>
          <cell r="D358" t="e">
            <v>#N/A</v>
          </cell>
          <cell r="E358">
            <v>3897860</v>
          </cell>
          <cell r="G358">
            <v>3800250</v>
          </cell>
        </row>
        <row r="359">
          <cell r="A359" t="str">
            <v>29-2033</v>
          </cell>
          <cell r="B359" t="str">
            <v>Nuclear Medicine Technologists</v>
          </cell>
          <cell r="C359">
            <v>8.5527599999999995E-2</v>
          </cell>
          <cell r="D359" t="e">
            <v>#N/A</v>
          </cell>
          <cell r="E359" t="e">
            <v>#N/A</v>
          </cell>
          <cell r="G359">
            <v>16960</v>
          </cell>
        </row>
        <row r="360">
          <cell r="A360" t="str">
            <v>17-3031</v>
          </cell>
          <cell r="B360" t="str">
            <v>Surveying and Mapping Technicians</v>
          </cell>
          <cell r="C360">
            <v>8.52324E-2</v>
          </cell>
          <cell r="D360">
            <v>117960</v>
          </cell>
          <cell r="E360">
            <v>58010</v>
          </cell>
          <cell r="G360">
            <v>56720</v>
          </cell>
        </row>
        <row r="361">
          <cell r="A361" t="str">
            <v>19-4041</v>
          </cell>
          <cell r="B361" t="str">
            <v>Geological and Petroleum Technicians</v>
          </cell>
          <cell r="C361">
            <v>8.3265900000000004E-2</v>
          </cell>
          <cell r="D361">
            <v>62940</v>
          </cell>
          <cell r="E361" t="e">
            <v>#N/A</v>
          </cell>
          <cell r="G361" t="e">
            <v>#N/A</v>
          </cell>
        </row>
        <row r="362">
          <cell r="A362" t="str">
            <v>29-2057</v>
          </cell>
          <cell r="B362" t="str">
            <v>Ophthalmic Medical Technicians</v>
          </cell>
          <cell r="C362">
            <v>7.8733999999999998E-2</v>
          </cell>
          <cell r="D362" t="e">
            <v>#N/A</v>
          </cell>
          <cell r="E362">
            <v>71010</v>
          </cell>
          <cell r="G362">
            <v>76520</v>
          </cell>
        </row>
        <row r="363">
          <cell r="A363" t="str">
            <v>41-2021</v>
          </cell>
          <cell r="B363" t="str">
            <v>Counter and Rental Clerks</v>
          </cell>
          <cell r="C363">
            <v>7.8436699999999998E-2</v>
          </cell>
          <cell r="D363">
            <v>43660</v>
          </cell>
          <cell r="E363">
            <v>400810</v>
          </cell>
          <cell r="G363">
            <v>398620</v>
          </cell>
        </row>
        <row r="364">
          <cell r="A364" t="str">
            <v>33-9099</v>
          </cell>
          <cell r="B364" t="str">
            <v>Protective Service Workers, All Other</v>
          </cell>
          <cell r="C364">
            <v>7.6408799999999999E-2</v>
          </cell>
          <cell r="D364">
            <v>47320</v>
          </cell>
          <cell r="E364">
            <v>81500</v>
          </cell>
          <cell r="G364">
            <v>83110</v>
          </cell>
        </row>
        <row r="365">
          <cell r="A365" t="str">
            <v>19-1031</v>
          </cell>
          <cell r="B365" t="str">
            <v>Conservation Scientists</v>
          </cell>
          <cell r="C365">
            <v>6.9031300000000004E-2</v>
          </cell>
          <cell r="D365">
            <v>83460</v>
          </cell>
          <cell r="E365">
            <v>25950</v>
          </cell>
          <cell r="G365">
            <v>25590</v>
          </cell>
        </row>
        <row r="366">
          <cell r="A366" t="str">
            <v>29-2091</v>
          </cell>
          <cell r="B366" t="str">
            <v>Orthotists and Prosthetists</v>
          </cell>
          <cell r="C366">
            <v>6.6576999999999997E-2</v>
          </cell>
          <cell r="D366" t="e">
            <v>#N/A</v>
          </cell>
          <cell r="E366" t="e">
            <v>#N/A</v>
          </cell>
          <cell r="G366">
            <v>9930</v>
          </cell>
        </row>
        <row r="367">
          <cell r="A367" t="str">
            <v>19-4031</v>
          </cell>
          <cell r="B367" t="str">
            <v>Chemical Technicians</v>
          </cell>
          <cell r="C367">
            <v>6.2805700000000006E-2</v>
          </cell>
          <cell r="D367">
            <v>121520</v>
          </cell>
          <cell r="E367">
            <v>57540</v>
          </cell>
          <cell r="G367">
            <v>55640</v>
          </cell>
        </row>
        <row r="368">
          <cell r="A368" t="str">
            <v>33-2021</v>
          </cell>
          <cell r="B368" t="str">
            <v>Fire Inspectors and Investigators</v>
          </cell>
          <cell r="C368">
            <v>6.2793000000000002E-2</v>
          </cell>
          <cell r="D368">
            <v>51940</v>
          </cell>
          <cell r="E368" t="e">
            <v>#N/A</v>
          </cell>
          <cell r="G368">
            <v>14050</v>
          </cell>
        </row>
        <row r="369">
          <cell r="A369" t="str">
            <v>39-3011</v>
          </cell>
          <cell r="B369" t="str">
            <v>Gaming Dealers</v>
          </cell>
          <cell r="C369">
            <v>6.0583199999999997E-2</v>
          </cell>
          <cell r="D369">
            <v>49140</v>
          </cell>
          <cell r="E369">
            <v>83910</v>
          </cell>
          <cell r="G369">
            <v>82980</v>
          </cell>
        </row>
        <row r="370">
          <cell r="A370" t="str">
            <v>49-9061</v>
          </cell>
          <cell r="B370" t="str">
            <v>Camera and Photographic Equipment Repairers</v>
          </cell>
          <cell r="C370">
            <v>5.4642200000000002E-2</v>
          </cell>
          <cell r="D370">
            <v>52540</v>
          </cell>
          <cell r="E370" t="e">
            <v>#N/A</v>
          </cell>
          <cell r="G370">
            <v>2010</v>
          </cell>
        </row>
        <row r="371">
          <cell r="A371" t="str">
            <v>17-3025</v>
          </cell>
          <cell r="B371" t="str">
            <v>Environmental Engineering Technicians</v>
          </cell>
          <cell r="C371">
            <v>4.3805400000000001E-2</v>
          </cell>
          <cell r="D371">
            <v>46040</v>
          </cell>
          <cell r="E371">
            <v>12190</v>
          </cell>
          <cell r="G371">
            <v>12500</v>
          </cell>
        </row>
        <row r="372">
          <cell r="A372" t="str">
            <v>25-4031</v>
          </cell>
          <cell r="B372" t="str">
            <v>Library Technicians</v>
          </cell>
          <cell r="C372">
            <v>3.7964999999999999E-2</v>
          </cell>
          <cell r="D372" t="e">
            <v>#N/A</v>
          </cell>
          <cell r="E372">
            <v>68690</v>
          </cell>
          <cell r="G372">
            <v>73770</v>
          </cell>
        </row>
        <row r="373">
          <cell r="A373" t="str">
            <v>21-1094</v>
          </cell>
          <cell r="B373" t="str">
            <v>Community Health Workers</v>
          </cell>
          <cell r="C373">
            <v>3.71229E-2</v>
          </cell>
          <cell r="D373">
            <v>74260</v>
          </cell>
          <cell r="E373">
            <v>61660</v>
          </cell>
          <cell r="G373">
            <v>60730</v>
          </cell>
        </row>
        <row r="374">
          <cell r="A374" t="str">
            <v>39-5092</v>
          </cell>
          <cell r="B374" t="str">
            <v>Manicurists and Pedicurists</v>
          </cell>
          <cell r="C374">
            <v>3.3512399999999998E-2</v>
          </cell>
          <cell r="D374">
            <v>226600</v>
          </cell>
          <cell r="E374">
            <v>152770</v>
          </cell>
          <cell r="G374">
            <v>147820</v>
          </cell>
        </row>
        <row r="375">
          <cell r="A375" t="str">
            <v>25-2011</v>
          </cell>
          <cell r="B375" t="str">
            <v>Preschool Teachers, Except Special Education</v>
          </cell>
          <cell r="C375">
            <v>3.06372E-2</v>
          </cell>
          <cell r="D375">
            <v>100070</v>
          </cell>
          <cell r="E375">
            <v>478780</v>
          </cell>
          <cell r="G375">
            <v>445080</v>
          </cell>
        </row>
        <row r="376">
          <cell r="A376" t="str">
            <v>41-1011</v>
          </cell>
          <cell r="B376" t="str">
            <v>First-Line Supervisors/Managers of Retail Sales Workers</v>
          </cell>
          <cell r="C376">
            <v>1.9182600000000001E-2</v>
          </cell>
          <cell r="D376">
            <v>89340</v>
          </cell>
          <cell r="E376">
            <v>1121800</v>
          </cell>
          <cell r="G376">
            <v>1113160</v>
          </cell>
        </row>
        <row r="377">
          <cell r="A377" t="str">
            <v>19-4091</v>
          </cell>
          <cell r="B377" t="str">
            <v>Environmental Science and Protection Technicians, Including Health</v>
          </cell>
          <cell r="C377">
            <v>1.6945200000000001E-2</v>
          </cell>
          <cell r="D377">
            <v>101140</v>
          </cell>
          <cell r="E377" t="e">
            <v>#N/A</v>
          </cell>
          <cell r="G377" t="e">
            <v>#N/A</v>
          </cell>
        </row>
        <row r="378">
          <cell r="A378" t="str">
            <v>29-2052</v>
          </cell>
          <cell r="B378" t="str">
            <v>Pharmacy Technicians</v>
          </cell>
          <cell r="C378">
            <v>7.0255999999999999E-3</v>
          </cell>
          <cell r="D378">
            <v>39850</v>
          </cell>
          <cell r="E378">
            <v>471680</v>
          </cell>
          <cell r="G378">
            <v>487920</v>
          </cell>
        </row>
        <row r="379">
          <cell r="A379" t="str">
            <v>51-9081</v>
          </cell>
          <cell r="B379" t="str">
            <v>Dental Laboratory Technicians</v>
          </cell>
          <cell r="C379">
            <v>1.3205999999999999E-3</v>
          </cell>
          <cell r="D379">
            <v>46020</v>
          </cell>
          <cell r="E379" t="e">
            <v>#N/A</v>
          </cell>
          <cell r="G379">
            <v>33920</v>
          </cell>
        </row>
        <row r="380">
          <cell r="A380" t="str">
            <v>27-2042</v>
          </cell>
          <cell r="B380" t="str">
            <v>Musicians and Singers</v>
          </cell>
          <cell r="C380">
            <v>-4.0058000000000003E-3</v>
          </cell>
          <cell r="D380">
            <v>57770</v>
          </cell>
          <cell r="E380">
            <v>36180</v>
          </cell>
          <cell r="G380">
            <v>38350</v>
          </cell>
        </row>
        <row r="381">
          <cell r="A381" t="str">
            <v>27-4011</v>
          </cell>
          <cell r="B381" t="str">
            <v>Audio and Video Equipment Technicians</v>
          </cell>
          <cell r="C381">
            <v>-1.1774700000000001E-2</v>
          </cell>
          <cell r="D381">
            <v>92120</v>
          </cell>
          <cell r="E381">
            <v>70230</v>
          </cell>
          <cell r="G381">
            <v>70080</v>
          </cell>
        </row>
        <row r="382">
          <cell r="A382" t="str">
            <v>49-1011</v>
          </cell>
          <cell r="B382" t="str">
            <v>First-Line Supervisors/Managers of Mechanics, Installers, and Repairers</v>
          </cell>
          <cell r="C382">
            <v>-2.0516900000000001E-2</v>
          </cell>
          <cell r="D382">
            <v>34600</v>
          </cell>
          <cell r="E382">
            <v>617500</v>
          </cell>
          <cell r="G382">
            <v>600680</v>
          </cell>
        </row>
        <row r="383">
          <cell r="A383" t="str">
            <v>51-4012</v>
          </cell>
          <cell r="B383" t="str">
            <v>Numerical Tool and Process Control Programmers</v>
          </cell>
          <cell r="C383">
            <v>-2.41824E-2</v>
          </cell>
          <cell r="D383">
            <v>52520</v>
          </cell>
          <cell r="E383" t="e">
            <v>#N/A</v>
          </cell>
          <cell r="G383" t="e">
            <v>#N/A</v>
          </cell>
        </row>
        <row r="384">
          <cell r="A384" t="str">
            <v>51-9061</v>
          </cell>
          <cell r="B384" t="str">
            <v>Inspectors, Testers, Sorters, Samplers, and Weighers</v>
          </cell>
          <cell r="C384">
            <v>-2.9339500000000001E-2</v>
          </cell>
          <cell r="D384">
            <v>59530</v>
          </cell>
          <cell r="E384">
            <v>597370</v>
          </cell>
          <cell r="G384">
            <v>591180</v>
          </cell>
        </row>
        <row r="385">
          <cell r="A385" t="str">
            <v>27-2023</v>
          </cell>
          <cell r="B385" t="str">
            <v>Umpires, Referees, and Other Sports Officials</v>
          </cell>
          <cell r="C385">
            <v>-3.2561699999999999E-2</v>
          </cell>
          <cell r="D385" t="e">
            <v>#N/A</v>
          </cell>
          <cell r="E385">
            <v>15780</v>
          </cell>
          <cell r="G385">
            <v>15080</v>
          </cell>
        </row>
        <row r="386">
          <cell r="A386" t="str">
            <v>29-1128</v>
          </cell>
          <cell r="B386" t="str">
            <v>Exercise Physiologists</v>
          </cell>
          <cell r="C386">
            <v>-3.31901E-2</v>
          </cell>
          <cell r="D386">
            <v>60130</v>
          </cell>
          <cell r="E386" t="e">
            <v>#N/A</v>
          </cell>
          <cell r="G386">
            <v>8110</v>
          </cell>
        </row>
        <row r="387">
          <cell r="A387" t="str">
            <v>41-2012</v>
          </cell>
          <cell r="B387" t="str">
            <v>Gaming Change Persons and Booth Cashiers</v>
          </cell>
          <cell r="C387">
            <v>-5.0092600000000001E-2</v>
          </cell>
          <cell r="D387">
            <v>62630</v>
          </cell>
          <cell r="E387" t="e">
            <v>#N/A</v>
          </cell>
          <cell r="G387">
            <v>21930</v>
          </cell>
        </row>
        <row r="388">
          <cell r="A388" t="str">
            <v>29-1067</v>
          </cell>
          <cell r="B388" t="str">
            <v>Surgeons</v>
          </cell>
          <cell r="C388">
            <v>-5.0453400000000002E-2</v>
          </cell>
          <cell r="D388">
            <v>107240</v>
          </cell>
          <cell r="E388" t="e">
            <v>#N/A</v>
          </cell>
          <cell r="G388" t="e">
            <v>#N/A</v>
          </cell>
        </row>
        <row r="389">
          <cell r="A389" t="str">
            <v>27-1027</v>
          </cell>
          <cell r="B389" t="str">
            <v>Set and Exhibit Designers</v>
          </cell>
          <cell r="C389">
            <v>-5.1932300000000001E-2</v>
          </cell>
          <cell r="D389">
            <v>61770</v>
          </cell>
          <cell r="E389" t="e">
            <v>#N/A</v>
          </cell>
          <cell r="G389">
            <v>10850</v>
          </cell>
        </row>
        <row r="390">
          <cell r="A390" t="str">
            <v>35-9031</v>
          </cell>
          <cell r="B390" t="str">
            <v>Hosts and Hostesses, Restaurant, Lounge, and Coffee Shop</v>
          </cell>
          <cell r="C390">
            <v>-5.6547699999999999E-2</v>
          </cell>
          <cell r="D390">
            <v>125510</v>
          </cell>
          <cell r="E390">
            <v>432690</v>
          </cell>
          <cell r="G390">
            <v>427150</v>
          </cell>
        </row>
        <row r="391">
          <cell r="A391" t="str">
            <v>29-2035</v>
          </cell>
          <cell r="B391" t="str">
            <v>Magnetic Resonance Imaging Technologists</v>
          </cell>
          <cell r="C391">
            <v>-7.27627E-2</v>
          </cell>
          <cell r="D391">
            <v>77180</v>
          </cell>
          <cell r="E391">
            <v>43390</v>
          </cell>
          <cell r="G391">
            <v>41530</v>
          </cell>
        </row>
        <row r="392">
          <cell r="A392" t="str">
            <v>29-1131</v>
          </cell>
          <cell r="B392" t="str">
            <v>Veterinarians</v>
          </cell>
          <cell r="C392">
            <v>-7.4995800000000001E-2</v>
          </cell>
          <cell r="D392" t="e">
            <v>#N/A</v>
          </cell>
          <cell r="E392">
            <v>83900</v>
          </cell>
          <cell r="G392">
            <v>80630</v>
          </cell>
        </row>
        <row r="393">
          <cell r="A393" t="str">
            <v>51-6092</v>
          </cell>
          <cell r="B393" t="str">
            <v>Fabric and Apparel Patternmakers</v>
          </cell>
          <cell r="C393">
            <v>-8.3109600000000006E-2</v>
          </cell>
          <cell r="D393" t="e">
            <v>#N/A</v>
          </cell>
          <cell r="E393" t="e">
            <v>#N/A</v>
          </cell>
          <cell r="G393">
            <v>2860</v>
          </cell>
        </row>
        <row r="394">
          <cell r="A394" t="str">
            <v>51-1011</v>
          </cell>
          <cell r="B394" t="str">
            <v>First-Line Supervisors/Managers of Production and Operating Workers</v>
          </cell>
          <cell r="C394">
            <v>-8.4528199999999998E-2</v>
          </cell>
          <cell r="D394">
            <v>45190</v>
          </cell>
          <cell r="E394">
            <v>673430</v>
          </cell>
          <cell r="G394">
            <v>685140</v>
          </cell>
        </row>
        <row r="395">
          <cell r="A395" t="str">
            <v>29-2031</v>
          </cell>
          <cell r="B395" t="str">
            <v>Cardiovascular Technologists and Technicians</v>
          </cell>
          <cell r="C395">
            <v>-9.0952599999999995E-2</v>
          </cell>
          <cell r="D395">
            <v>76830</v>
          </cell>
          <cell r="E395">
            <v>62960</v>
          </cell>
          <cell r="G395">
            <v>61180</v>
          </cell>
        </row>
        <row r="396">
          <cell r="A396" t="str">
            <v>25-4013</v>
          </cell>
          <cell r="B396" t="str">
            <v>Museum Technicians and Conservators</v>
          </cell>
          <cell r="C396">
            <v>-9.1210700000000006E-2</v>
          </cell>
          <cell r="D396">
            <v>92730</v>
          </cell>
          <cell r="E396" t="e">
            <v>#N/A</v>
          </cell>
          <cell r="G396">
            <v>13070</v>
          </cell>
        </row>
        <row r="397">
          <cell r="A397" t="str">
            <v>29-2054</v>
          </cell>
          <cell r="B397" t="str">
            <v>Respiratory Therapy Technicians</v>
          </cell>
          <cell r="C397">
            <v>-0.1060473</v>
          </cell>
          <cell r="D397" t="e">
            <v>#N/A</v>
          </cell>
          <cell r="E397" t="e">
            <v>#N/A</v>
          </cell>
          <cell r="G397" t="e">
            <v>#N/A</v>
          </cell>
        </row>
        <row r="398">
          <cell r="A398" t="str">
            <v>41-2022</v>
          </cell>
          <cell r="B398" t="str">
            <v>Parts Salespersons</v>
          </cell>
          <cell r="C398">
            <v>-0.1184909</v>
          </cell>
          <cell r="D398">
            <v>48790</v>
          </cell>
          <cell r="E398">
            <v>270070</v>
          </cell>
          <cell r="G398">
            <v>265060</v>
          </cell>
        </row>
        <row r="399">
          <cell r="A399" t="str">
            <v>17-3027</v>
          </cell>
          <cell r="B399" t="str">
            <v>Mechanical Engineering Technicians</v>
          </cell>
          <cell r="C399">
            <v>-0.1192367</v>
          </cell>
          <cell r="D399">
            <v>138060</v>
          </cell>
          <cell r="E399">
            <v>36190</v>
          </cell>
          <cell r="G399">
            <v>37450</v>
          </cell>
        </row>
        <row r="400">
          <cell r="A400" t="str">
            <v>11-9051</v>
          </cell>
          <cell r="B400" t="str">
            <v>Food Service Managers</v>
          </cell>
          <cell r="C400">
            <v>-0.12131119999999999</v>
          </cell>
          <cell r="D400">
            <v>139510</v>
          </cell>
          <cell r="E400">
            <v>238430</v>
          </cell>
          <cell r="G400">
            <v>244230</v>
          </cell>
        </row>
        <row r="401">
          <cell r="A401" t="str">
            <v>29-2051</v>
          </cell>
          <cell r="B401" t="str">
            <v>Dietetic Technicians</v>
          </cell>
          <cell r="C401">
            <v>-0.12602820000000001</v>
          </cell>
          <cell r="D401">
            <v>72860</v>
          </cell>
          <cell r="E401">
            <v>31560</v>
          </cell>
          <cell r="G401">
            <v>29950</v>
          </cell>
        </row>
        <row r="402">
          <cell r="A402" t="str">
            <v>29-2012</v>
          </cell>
          <cell r="B402" t="str">
            <v>Medical and Clinical Laboratory Technicians</v>
          </cell>
          <cell r="C402">
            <v>-0.12733149999999999</v>
          </cell>
          <cell r="D402">
            <v>59440</v>
          </cell>
          <cell r="E402" t="e">
            <v>#N/A</v>
          </cell>
          <cell r="G402" t="e">
            <v>#N/A</v>
          </cell>
        </row>
        <row r="403">
          <cell r="A403" t="str">
            <v>39-1012</v>
          </cell>
          <cell r="B403" t="str">
            <v>Slot Key Persons</v>
          </cell>
          <cell r="C403">
            <v>-0.1370162</v>
          </cell>
          <cell r="D403" t="e">
            <v>#N/A</v>
          </cell>
          <cell r="E403" t="e">
            <v>#N/A</v>
          </cell>
          <cell r="G403" t="e">
            <v>#N/A</v>
          </cell>
        </row>
        <row r="404">
          <cell r="A404" t="str">
            <v>11-9013</v>
          </cell>
          <cell r="B404" t="str">
            <v>Farmers, Ranchers, and Other Agricultural Managers</v>
          </cell>
          <cell r="C404">
            <v>-0.14436840000000001</v>
          </cell>
          <cell r="D404">
            <v>81500</v>
          </cell>
          <cell r="E404">
            <v>6500</v>
          </cell>
          <cell r="G404">
            <v>5910</v>
          </cell>
        </row>
        <row r="405">
          <cell r="A405" t="str">
            <v>31-9095</v>
          </cell>
          <cell r="B405" t="str">
            <v>Pharmacy Aides</v>
          </cell>
          <cell r="C405">
            <v>-0.1552654</v>
          </cell>
          <cell r="D405">
            <v>45920</v>
          </cell>
          <cell r="E405">
            <v>39530</v>
          </cell>
          <cell r="G405">
            <v>41100</v>
          </cell>
        </row>
        <row r="406">
          <cell r="A406" t="str">
            <v>51-9071</v>
          </cell>
          <cell r="B406" t="str">
            <v>Jewelers and Precious Stone and Metal Workers</v>
          </cell>
          <cell r="C406">
            <v>-0.15601970000000001</v>
          </cell>
          <cell r="D406">
            <v>59310</v>
          </cell>
          <cell r="E406" t="e">
            <v>#N/A</v>
          </cell>
          <cell r="G406">
            <v>23420</v>
          </cell>
        </row>
        <row r="407">
          <cell r="A407" t="str">
            <v>29-1024</v>
          </cell>
          <cell r="B407" t="str">
            <v>Prosthodontists</v>
          </cell>
          <cell r="C407">
            <v>-0.15614030000000001</v>
          </cell>
          <cell r="D407" t="e">
            <v>#N/A</v>
          </cell>
          <cell r="E407" t="e">
            <v>#N/A</v>
          </cell>
          <cell r="G407">
            <v>760</v>
          </cell>
        </row>
        <row r="408">
          <cell r="A408" t="str">
            <v>27-4021</v>
          </cell>
          <cell r="B408" t="str">
            <v>Photographers</v>
          </cell>
          <cell r="C408">
            <v>-0.16809730000000001</v>
          </cell>
          <cell r="D408">
            <v>64790</v>
          </cell>
          <cell r="E408">
            <v>51760</v>
          </cell>
          <cell r="G408">
            <v>51230</v>
          </cell>
        </row>
        <row r="409">
          <cell r="A409" t="str">
            <v>49-2091</v>
          </cell>
          <cell r="B409" t="str">
            <v>Avionics Technicians</v>
          </cell>
          <cell r="C409">
            <v>-0.17285349999999999</v>
          </cell>
          <cell r="D409">
            <v>83600</v>
          </cell>
          <cell r="E409" t="e">
            <v>#N/A</v>
          </cell>
          <cell r="G409">
            <v>20900</v>
          </cell>
        </row>
        <row r="410">
          <cell r="A410" t="str">
            <v>29-1021</v>
          </cell>
          <cell r="B410" t="str">
            <v>Dentists, General</v>
          </cell>
          <cell r="C410">
            <v>-0.18133009999999999</v>
          </cell>
          <cell r="D410" t="e">
            <v>#N/A</v>
          </cell>
          <cell r="E410">
            <v>124390</v>
          </cell>
          <cell r="G410">
            <v>113490</v>
          </cell>
        </row>
        <row r="411">
          <cell r="A411" t="str">
            <v>53-2012</v>
          </cell>
          <cell r="B411" t="str">
            <v>Commercial Pilots</v>
          </cell>
          <cell r="C411">
            <v>-0.18173320000000001</v>
          </cell>
          <cell r="D411">
            <v>35580</v>
          </cell>
          <cell r="E411" t="e">
            <v>#N/A</v>
          </cell>
          <cell r="G411">
            <v>51830</v>
          </cell>
        </row>
        <row r="412">
          <cell r="A412" t="str">
            <v>53-6051</v>
          </cell>
          <cell r="B412" t="str">
            <v>Transportation Inspectors</v>
          </cell>
          <cell r="C412">
            <v>-0.18376000000000001</v>
          </cell>
          <cell r="D412">
            <v>60800</v>
          </cell>
          <cell r="E412" t="e">
            <v>#N/A</v>
          </cell>
          <cell r="G412">
            <v>23320</v>
          </cell>
        </row>
        <row r="413">
          <cell r="A413" t="str">
            <v>19-1032</v>
          </cell>
          <cell r="B413" t="str">
            <v>Foresters</v>
          </cell>
          <cell r="C413">
            <v>-0.18438099999999999</v>
          </cell>
          <cell r="D413">
            <v>83720</v>
          </cell>
          <cell r="E413">
            <v>10430</v>
          </cell>
          <cell r="G413">
            <v>9650</v>
          </cell>
        </row>
        <row r="414">
          <cell r="A414" t="str">
            <v>43-5111</v>
          </cell>
          <cell r="B414" t="str">
            <v>Weighers, Measurers, Checkers, and Samplers, Recordkeeping</v>
          </cell>
          <cell r="C414">
            <v>-0.18607889999999999</v>
          </cell>
          <cell r="D414">
            <v>65510</v>
          </cell>
          <cell r="E414">
            <v>53300</v>
          </cell>
          <cell r="G414">
            <v>49720</v>
          </cell>
        </row>
        <row r="415">
          <cell r="A415" t="str">
            <v>29-1126</v>
          </cell>
          <cell r="B415" t="str">
            <v>Respiratory Therapists</v>
          </cell>
          <cell r="C415">
            <v>-0.18805069999999999</v>
          </cell>
          <cell r="D415" t="e">
            <v>#N/A</v>
          </cell>
          <cell r="E415">
            <v>139790</v>
          </cell>
          <cell r="G415">
            <v>136420</v>
          </cell>
        </row>
        <row r="416">
          <cell r="A416" t="str">
            <v>39-4031</v>
          </cell>
          <cell r="B416" t="str">
            <v>Morticians, Undertakers, and Funeral Directors</v>
          </cell>
          <cell r="C416">
            <v>-0.19037589999999999</v>
          </cell>
          <cell r="D416">
            <v>80450</v>
          </cell>
          <cell r="E416" t="e">
            <v>#N/A</v>
          </cell>
          <cell r="G416">
            <v>25700</v>
          </cell>
        </row>
        <row r="417">
          <cell r="A417" t="str">
            <v>29-1011</v>
          </cell>
          <cell r="B417" t="str">
            <v>Chiropractors</v>
          </cell>
          <cell r="C417">
            <v>-0.1911757</v>
          </cell>
          <cell r="D417">
            <v>137480</v>
          </cell>
          <cell r="E417">
            <v>39630</v>
          </cell>
          <cell r="G417">
            <v>37630</v>
          </cell>
        </row>
        <row r="418">
          <cell r="A418" t="str">
            <v>33-1012</v>
          </cell>
          <cell r="B418" t="str">
            <v>First-Line Supervisors/Managers of Police and Detectives</v>
          </cell>
          <cell r="C418">
            <v>-0.1923298</v>
          </cell>
          <cell r="D418" t="e">
            <v>#N/A</v>
          </cell>
          <cell r="E418">
            <v>154610</v>
          </cell>
          <cell r="G418">
            <v>153130</v>
          </cell>
        </row>
        <row r="419">
          <cell r="A419" t="str">
            <v>53-2011</v>
          </cell>
          <cell r="B419" t="str">
            <v>Airline Pilots, Copilots, and Flight Engineers</v>
          </cell>
          <cell r="C419">
            <v>-0.20706260000000001</v>
          </cell>
          <cell r="D419" t="e">
            <v>#N/A</v>
          </cell>
          <cell r="E419">
            <v>103560</v>
          </cell>
          <cell r="G419">
            <v>99300</v>
          </cell>
        </row>
        <row r="420">
          <cell r="A420" t="str">
            <v>49-9064</v>
          </cell>
          <cell r="B420" t="str">
            <v>Watch Repairers</v>
          </cell>
          <cell r="C420">
            <v>-0.21239959999999999</v>
          </cell>
          <cell r="D420">
            <v>40160</v>
          </cell>
          <cell r="E420" t="e">
            <v>#N/A</v>
          </cell>
          <cell r="G420">
            <v>1300</v>
          </cell>
        </row>
        <row r="421">
          <cell r="A421" t="str">
            <v>33-2022</v>
          </cell>
          <cell r="B421" t="str">
            <v>Forest Fire Inspectors and Prevention Specialists</v>
          </cell>
          <cell r="C421">
            <v>-0.21441270000000001</v>
          </cell>
          <cell r="D421" t="e">
            <v>#N/A</v>
          </cell>
          <cell r="E421" t="e">
            <v>#N/A</v>
          </cell>
          <cell r="G421">
            <v>2780</v>
          </cell>
        </row>
        <row r="422">
          <cell r="A422" t="str">
            <v>29-1124</v>
          </cell>
          <cell r="B422" t="str">
            <v>Radiation Therapists</v>
          </cell>
          <cell r="C422">
            <v>-0.2189393</v>
          </cell>
          <cell r="D422">
            <v>30460</v>
          </cell>
          <cell r="E422">
            <v>17070</v>
          </cell>
          <cell r="G422">
            <v>18700</v>
          </cell>
        </row>
        <row r="423">
          <cell r="A423" t="str">
            <v>29-2053</v>
          </cell>
          <cell r="B423" t="str">
            <v>Psychiatric Technicians</v>
          </cell>
          <cell r="C423">
            <v>-0.2203484</v>
          </cell>
          <cell r="D423">
            <v>52000</v>
          </cell>
          <cell r="E423">
            <v>156960</v>
          </cell>
          <cell r="G423">
            <v>136300</v>
          </cell>
        </row>
        <row r="424">
          <cell r="A424" t="str">
            <v>29-1022</v>
          </cell>
          <cell r="B424" t="str">
            <v>Oral and Maxillofacial Surgeons</v>
          </cell>
          <cell r="C424">
            <v>-0.23896680000000001</v>
          </cell>
          <cell r="D424">
            <v>80690</v>
          </cell>
          <cell r="E424" t="e">
            <v>#N/A</v>
          </cell>
          <cell r="G424">
            <v>5330</v>
          </cell>
        </row>
        <row r="425">
          <cell r="A425" t="str">
            <v>39-3031</v>
          </cell>
          <cell r="B425" t="str">
            <v>Ushers, Lobby Attendants, and Ticket Takers</v>
          </cell>
          <cell r="C425">
            <v>-0.2420959</v>
          </cell>
          <cell r="D425">
            <v>81390</v>
          </cell>
          <cell r="E425">
            <v>121770</v>
          </cell>
          <cell r="G425">
            <v>119210</v>
          </cell>
        </row>
        <row r="426">
          <cell r="A426" t="str">
            <v>39-9032</v>
          </cell>
          <cell r="B426" t="str">
            <v>Recreation Workers</v>
          </cell>
          <cell r="C426">
            <v>-0.24411540000000001</v>
          </cell>
          <cell r="D426">
            <v>42010</v>
          </cell>
          <cell r="E426">
            <v>331490</v>
          </cell>
          <cell r="G426">
            <v>309640</v>
          </cell>
        </row>
        <row r="427">
          <cell r="A427" t="str">
            <v>41-2011</v>
          </cell>
          <cell r="B427" t="str">
            <v>Cashiers</v>
          </cell>
          <cell r="C427">
            <v>-0.2480887</v>
          </cell>
          <cell r="D427">
            <v>36120</v>
          </cell>
          <cell r="E427">
            <v>3089410</v>
          </cell>
          <cell r="G427">
            <v>3148030</v>
          </cell>
        </row>
        <row r="428">
          <cell r="A428" t="str">
            <v>51-2093</v>
          </cell>
          <cell r="B428" t="str">
            <v>Timing Device Assemblers, Adjusters, and Calibrators</v>
          </cell>
          <cell r="C428">
            <v>-0.2552991</v>
          </cell>
          <cell r="D428">
            <v>37940</v>
          </cell>
          <cell r="E428" t="e">
            <v>#N/A</v>
          </cell>
          <cell r="G428" t="e">
            <v>#N/A</v>
          </cell>
        </row>
        <row r="429">
          <cell r="A429" t="str">
            <v>35-1012</v>
          </cell>
          <cell r="B429" t="str">
            <v>First-Line Supervisors/Managers of Food Preparation and Serving Workers</v>
          </cell>
          <cell r="C429">
            <v>-0.25754919999999998</v>
          </cell>
          <cell r="D429">
            <v>43460</v>
          </cell>
          <cell r="E429">
            <v>1223240</v>
          </cell>
          <cell r="G429">
            <v>1187460</v>
          </cell>
        </row>
        <row r="430">
          <cell r="A430" t="str">
            <v>39-5094</v>
          </cell>
          <cell r="B430" t="str">
            <v>Skin Care Specialists</v>
          </cell>
          <cell r="C430">
            <v>-0.26283960000000001</v>
          </cell>
          <cell r="D430">
            <v>52380</v>
          </cell>
          <cell r="E430">
            <v>72890</v>
          </cell>
          <cell r="G430">
            <v>70240</v>
          </cell>
        </row>
        <row r="431">
          <cell r="A431" t="str">
            <v>29-2032</v>
          </cell>
          <cell r="B431" t="str">
            <v>Diagnostic Medical Sonographers</v>
          </cell>
          <cell r="C431">
            <v>-0.26405400000000001</v>
          </cell>
          <cell r="D431">
            <v>61430</v>
          </cell>
          <cell r="E431">
            <v>90160</v>
          </cell>
          <cell r="G431">
            <v>86460</v>
          </cell>
        </row>
        <row r="432">
          <cell r="A432" t="str">
            <v>35-1011</v>
          </cell>
          <cell r="B432" t="str">
            <v>Chefs and Head Cooks</v>
          </cell>
          <cell r="C432">
            <v>-0.26764329999999997</v>
          </cell>
          <cell r="D432" t="e">
            <v>#N/A</v>
          </cell>
          <cell r="E432">
            <v>200040</v>
          </cell>
          <cell r="G432">
            <v>182320</v>
          </cell>
        </row>
        <row r="433">
          <cell r="A433" t="str">
            <v>27-1023</v>
          </cell>
          <cell r="B433" t="str">
            <v>Floral Designers</v>
          </cell>
          <cell r="C433">
            <v>-0.27184520000000001</v>
          </cell>
          <cell r="D433">
            <v>86350</v>
          </cell>
          <cell r="E433">
            <v>40590</v>
          </cell>
          <cell r="G433">
            <v>40160</v>
          </cell>
        </row>
        <row r="434">
          <cell r="A434" t="str">
            <v>49-9062</v>
          </cell>
          <cell r="B434" t="str">
            <v>Medical Equipment Repairers</v>
          </cell>
          <cell r="C434">
            <v>-0.27688380000000001</v>
          </cell>
          <cell r="D434">
            <v>47010</v>
          </cell>
          <cell r="E434">
            <v>65990</v>
          </cell>
          <cell r="G434">
            <v>60830</v>
          </cell>
        </row>
        <row r="435">
          <cell r="A435" t="str">
            <v>31-9097</v>
          </cell>
          <cell r="B435" t="str">
            <v>Phlebotomists</v>
          </cell>
          <cell r="C435">
            <v>-0.27784750000000003</v>
          </cell>
          <cell r="D435">
            <v>98340</v>
          </cell>
          <cell r="E435">
            <v>143540</v>
          </cell>
          <cell r="G435">
            <v>138880</v>
          </cell>
        </row>
        <row r="436">
          <cell r="A436" t="str">
            <v>29-2099</v>
          </cell>
          <cell r="B436" t="str">
            <v>Health Technologists and Technicians, All Other</v>
          </cell>
          <cell r="C436">
            <v>-0.283854</v>
          </cell>
          <cell r="D436">
            <v>93600</v>
          </cell>
          <cell r="E436">
            <v>182610</v>
          </cell>
          <cell r="G436">
            <v>174060</v>
          </cell>
        </row>
        <row r="437">
          <cell r="A437" t="str">
            <v>53-3022</v>
          </cell>
          <cell r="B437" t="str">
            <v>Bus Drivers, School</v>
          </cell>
          <cell r="C437">
            <v>-0.29770459999999999</v>
          </cell>
          <cell r="D437">
            <v>55600</v>
          </cell>
          <cell r="E437" t="e">
            <v>#N/A</v>
          </cell>
          <cell r="G437" t="e">
            <v>#N/A</v>
          </cell>
        </row>
        <row r="438">
          <cell r="A438" t="str">
            <v>51-8092</v>
          </cell>
          <cell r="B438" t="str">
            <v>Gas Plant Operators</v>
          </cell>
          <cell r="C438">
            <v>-0.29820819999999998</v>
          </cell>
          <cell r="D438">
            <v>38260</v>
          </cell>
          <cell r="E438" t="e">
            <v>#N/A</v>
          </cell>
          <cell r="G438">
            <v>15910</v>
          </cell>
        </row>
        <row r="439">
          <cell r="A439" t="str">
            <v>17-3024</v>
          </cell>
          <cell r="B439" t="str">
            <v>Electro-Mechanical Technicians</v>
          </cell>
          <cell r="C439">
            <v>-0.30405070000000001</v>
          </cell>
          <cell r="D439">
            <v>76790</v>
          </cell>
          <cell r="E439">
            <v>15520</v>
          </cell>
          <cell r="G439">
            <v>14680</v>
          </cell>
        </row>
        <row r="440">
          <cell r="A440" t="str">
            <v>47-1011</v>
          </cell>
          <cell r="B440" t="str">
            <v>First-Line Supervisors/Managers of Construction Trades and Extraction Workers</v>
          </cell>
          <cell r="C440">
            <v>-0.30540479999999998</v>
          </cell>
          <cell r="D440">
            <v>36450</v>
          </cell>
          <cell r="E440">
            <v>812210</v>
          </cell>
          <cell r="G440">
            <v>806080</v>
          </cell>
        </row>
        <row r="441">
          <cell r="A441" t="str">
            <v>31-2011</v>
          </cell>
          <cell r="B441" t="str">
            <v>Occupational Therapist Assistants</v>
          </cell>
          <cell r="C441">
            <v>-0.3153762</v>
          </cell>
          <cell r="D441">
            <v>46050</v>
          </cell>
          <cell r="E441">
            <v>51290</v>
          </cell>
          <cell r="G441">
            <v>47910</v>
          </cell>
        </row>
        <row r="442">
          <cell r="A442" t="str">
            <v>29-9091</v>
          </cell>
          <cell r="B442" t="str">
            <v>Athletic Trainers</v>
          </cell>
          <cell r="C442">
            <v>-0.33113629999999999</v>
          </cell>
          <cell r="D442">
            <v>60280</v>
          </cell>
          <cell r="E442">
            <v>30500</v>
          </cell>
          <cell r="G442">
            <v>28950</v>
          </cell>
        </row>
        <row r="443">
          <cell r="A443" t="str">
            <v>39-3093</v>
          </cell>
          <cell r="B443" t="str">
            <v>Locker Room, Coatroom, and Dressing Room Attendants</v>
          </cell>
          <cell r="C443">
            <v>-0.34543760000000001</v>
          </cell>
          <cell r="D443">
            <v>85750</v>
          </cell>
          <cell r="E443" t="e">
            <v>#N/A</v>
          </cell>
          <cell r="G443">
            <v>14960</v>
          </cell>
        </row>
        <row r="444">
          <cell r="A444" t="str">
            <v>49-2011</v>
          </cell>
          <cell r="B444" t="str">
            <v>Computer, Automated Teller, and Office Machine Repairers</v>
          </cell>
          <cell r="C444">
            <v>-0.34582469999999998</v>
          </cell>
          <cell r="D444">
            <v>60020</v>
          </cell>
          <cell r="E444">
            <v>65600</v>
          </cell>
          <cell r="G444">
            <v>73010</v>
          </cell>
        </row>
        <row r="445">
          <cell r="A445" t="str">
            <v>51-8013</v>
          </cell>
          <cell r="B445" t="str">
            <v>Power Plant Operators</v>
          </cell>
          <cell r="C445">
            <v>-0.34827789999999997</v>
          </cell>
          <cell r="D445">
            <v>48710</v>
          </cell>
          <cell r="E445" t="e">
            <v>#N/A</v>
          </cell>
          <cell r="G445">
            <v>30720</v>
          </cell>
        </row>
        <row r="446">
          <cell r="A446" t="str">
            <v>29-1123</v>
          </cell>
          <cell r="B446" t="str">
            <v>Physical Therapists</v>
          </cell>
          <cell r="C446">
            <v>-0.35819220000000002</v>
          </cell>
          <cell r="D446">
            <v>66430</v>
          </cell>
          <cell r="E446">
            <v>267330</v>
          </cell>
          <cell r="G446">
            <v>248630</v>
          </cell>
        </row>
        <row r="447">
          <cell r="A447" t="str">
            <v>51-9151</v>
          </cell>
          <cell r="B447" t="str">
            <v>Photographic Process Workers and Processing Machine Operators</v>
          </cell>
          <cell r="C447">
            <v>-0.36158059999999997</v>
          </cell>
          <cell r="D447">
            <v>37660</v>
          </cell>
          <cell r="E447" t="e">
            <v>#N/A</v>
          </cell>
          <cell r="G447">
            <v>5550</v>
          </cell>
        </row>
        <row r="448">
          <cell r="A448" t="str">
            <v>29-2056</v>
          </cell>
          <cell r="B448" t="str">
            <v>Veterinary Technologists and Technicians</v>
          </cell>
          <cell r="C448">
            <v>-0.36231790000000003</v>
          </cell>
          <cell r="D448">
            <v>41270</v>
          </cell>
          <cell r="E448">
            <v>129140</v>
          </cell>
          <cell r="G448">
            <v>131320</v>
          </cell>
        </row>
        <row r="449">
          <cell r="A449" t="str">
            <v>51-8093</v>
          </cell>
          <cell r="B449" t="str">
            <v>Petroleum Pump System Operators, Refinery Operators, and Gaugers</v>
          </cell>
          <cell r="C449">
            <v>-0.37003599999999998</v>
          </cell>
          <cell r="D449" t="e">
            <v>#N/A</v>
          </cell>
          <cell r="E449" t="e">
            <v>#N/A</v>
          </cell>
          <cell r="G449">
            <v>34860</v>
          </cell>
        </row>
        <row r="450">
          <cell r="A450" t="str">
            <v>53-6061</v>
          </cell>
          <cell r="B450" t="str">
            <v>Transportation Attendants, Except Flight Attendants</v>
          </cell>
          <cell r="C450">
            <v>-0.37522489999999997</v>
          </cell>
          <cell r="D450">
            <v>56020</v>
          </cell>
          <cell r="E450" t="e">
            <v>#N/A</v>
          </cell>
          <cell r="G450">
            <v>25340</v>
          </cell>
        </row>
        <row r="451">
          <cell r="A451" t="str">
            <v>39-3021</v>
          </cell>
          <cell r="B451" t="str">
            <v>Motion Picture Projectionists</v>
          </cell>
          <cell r="C451">
            <v>-0.37865979999999999</v>
          </cell>
          <cell r="D451">
            <v>42520</v>
          </cell>
          <cell r="E451" t="e">
            <v>#N/A</v>
          </cell>
          <cell r="G451">
            <v>1950</v>
          </cell>
        </row>
        <row r="452">
          <cell r="A452" t="str">
            <v>51-3092</v>
          </cell>
          <cell r="B452" t="str">
            <v>Food Batchmakers</v>
          </cell>
          <cell r="C452">
            <v>-0.37911139999999999</v>
          </cell>
          <cell r="D452">
            <v>46890</v>
          </cell>
          <cell r="E452">
            <v>174520</v>
          </cell>
          <cell r="G452">
            <v>171660</v>
          </cell>
        </row>
        <row r="453">
          <cell r="A453" t="str">
            <v>51-8091</v>
          </cell>
          <cell r="B453" t="str">
            <v>Chemical Plant and System Operators</v>
          </cell>
          <cell r="C453">
            <v>-0.38312819999999997</v>
          </cell>
          <cell r="D453">
            <v>58540</v>
          </cell>
          <cell r="E453" t="e">
            <v>#N/A</v>
          </cell>
          <cell r="G453">
            <v>17840</v>
          </cell>
        </row>
        <row r="454">
          <cell r="A454" t="str">
            <v>39-9011</v>
          </cell>
          <cell r="B454" t="str">
            <v>Child Care Workers</v>
          </cell>
          <cell r="C454">
            <v>-0.38347940000000003</v>
          </cell>
          <cell r="D454">
            <v>35380</v>
          </cell>
          <cell r="E454">
            <v>518910</v>
          </cell>
          <cell r="G454">
            <v>520180</v>
          </cell>
        </row>
        <row r="455">
          <cell r="A455" t="str">
            <v>51-3011</v>
          </cell>
          <cell r="B455" t="str">
            <v>Bakers</v>
          </cell>
          <cell r="C455">
            <v>-0.3852989</v>
          </cell>
          <cell r="D455">
            <v>38160</v>
          </cell>
          <cell r="E455">
            <v>236200</v>
          </cell>
          <cell r="G455">
            <v>231890</v>
          </cell>
        </row>
        <row r="456">
          <cell r="A456" t="str">
            <v>33-9032</v>
          </cell>
          <cell r="B456" t="str">
            <v>Security Guards</v>
          </cell>
          <cell r="C456">
            <v>-0.39084210000000003</v>
          </cell>
          <cell r="D456">
            <v>39970</v>
          </cell>
          <cell r="E456">
            <v>1283470</v>
          </cell>
          <cell r="G456">
            <v>1241770</v>
          </cell>
        </row>
        <row r="457">
          <cell r="A457" t="str">
            <v>29-2021</v>
          </cell>
          <cell r="B457" t="str">
            <v>Dental Hygienists</v>
          </cell>
          <cell r="C457">
            <v>-0.41650799999999999</v>
          </cell>
          <cell r="D457">
            <v>63910</v>
          </cell>
          <cell r="E457" t="e">
            <v>#N/A</v>
          </cell>
          <cell r="G457" t="e">
            <v>#N/A</v>
          </cell>
        </row>
        <row r="458">
          <cell r="A458" t="str">
            <v>53-5021</v>
          </cell>
          <cell r="B458" t="str">
            <v>Captains, Mates, and Pilots of Water Vessels</v>
          </cell>
          <cell r="C458">
            <v>-0.42818679999999998</v>
          </cell>
          <cell r="D458">
            <v>51990</v>
          </cell>
          <cell r="E458" t="e">
            <v>#N/A</v>
          </cell>
          <cell r="G458">
            <v>35390</v>
          </cell>
        </row>
        <row r="459">
          <cell r="A459" t="str">
            <v>51-6052</v>
          </cell>
          <cell r="B459" t="str">
            <v>Tailors, Dressmakers, and Custom Sewers</v>
          </cell>
          <cell r="C459">
            <v>-0.43052679999999999</v>
          </cell>
          <cell r="D459">
            <v>51680</v>
          </cell>
          <cell r="E459" t="e">
            <v>#N/A</v>
          </cell>
          <cell r="G459">
            <v>16290</v>
          </cell>
        </row>
        <row r="460">
          <cell r="A460" t="str">
            <v>13-1074</v>
          </cell>
          <cell r="B460" t="str">
            <v>Farm Labor Contractors</v>
          </cell>
          <cell r="C460">
            <v>-0.43540250000000003</v>
          </cell>
          <cell r="D460">
            <v>94680</v>
          </cell>
          <cell r="E460" t="e">
            <v>#N/A</v>
          </cell>
          <cell r="G460">
            <v>410</v>
          </cell>
        </row>
        <row r="461">
          <cell r="A461" t="str">
            <v>51-8031</v>
          </cell>
          <cell r="B461" t="str">
            <v>Water and Liquid Waste Treatment Plant and System Operators</v>
          </cell>
          <cell r="C461">
            <v>-0.44501000000000002</v>
          </cell>
          <cell r="D461">
            <v>46980</v>
          </cell>
          <cell r="E461">
            <v>128490</v>
          </cell>
          <cell r="G461">
            <v>126750</v>
          </cell>
        </row>
        <row r="462">
          <cell r="A462" t="str">
            <v>27-4031</v>
          </cell>
          <cell r="B462" t="str">
            <v>Camera Operators, Television, Video, and Motion Picture</v>
          </cell>
          <cell r="C462">
            <v>-0.44700089999999998</v>
          </cell>
          <cell r="D462" t="e">
            <v>#N/A</v>
          </cell>
          <cell r="E462">
            <v>21550</v>
          </cell>
          <cell r="G462">
            <v>24460</v>
          </cell>
        </row>
        <row r="463">
          <cell r="A463" t="str">
            <v>39-3092</v>
          </cell>
          <cell r="B463" t="str">
            <v>Costume Attendants</v>
          </cell>
          <cell r="C463">
            <v>-0.45336080000000001</v>
          </cell>
          <cell r="D463">
            <v>122670</v>
          </cell>
          <cell r="E463" t="e">
            <v>#N/A</v>
          </cell>
          <cell r="G463">
            <v>6290</v>
          </cell>
        </row>
        <row r="464">
          <cell r="A464" t="str">
            <v>33-3031</v>
          </cell>
          <cell r="B464" t="str">
            <v>Fish and Game Wardens</v>
          </cell>
          <cell r="C464">
            <v>-0.4585168</v>
          </cell>
          <cell r="D464">
            <v>67950</v>
          </cell>
          <cell r="E464" t="e">
            <v>#N/A</v>
          </cell>
          <cell r="G464">
            <v>6420</v>
          </cell>
        </row>
        <row r="465">
          <cell r="A465" t="str">
            <v>39-5091</v>
          </cell>
          <cell r="B465" t="str">
            <v>Makeup Artists, Theatrical and Performance</v>
          </cell>
          <cell r="C465">
            <v>-0.45961380000000002</v>
          </cell>
          <cell r="D465">
            <v>105980</v>
          </cell>
          <cell r="E465" t="e">
            <v>#N/A</v>
          </cell>
          <cell r="G465">
            <v>3320</v>
          </cell>
        </row>
        <row r="466">
          <cell r="A466" t="str">
            <v>49-2094</v>
          </cell>
          <cell r="B466" t="str">
            <v>Electrical and Electronics Repairers, Commercial and Industrial Equipment</v>
          </cell>
          <cell r="C466">
            <v>-0.46320309999999998</v>
          </cell>
          <cell r="D466">
            <v>37320</v>
          </cell>
          <cell r="E466">
            <v>65010</v>
          </cell>
          <cell r="G466">
            <v>59990</v>
          </cell>
        </row>
        <row r="467">
          <cell r="A467" t="str">
            <v>53-4031</v>
          </cell>
          <cell r="B467" t="str">
            <v>Railroad Conductors and Yardmasters</v>
          </cell>
          <cell r="C467">
            <v>-0.4662731</v>
          </cell>
          <cell r="D467">
            <v>39270</v>
          </cell>
          <cell r="E467" t="e">
            <v>#N/A</v>
          </cell>
          <cell r="G467">
            <v>42710</v>
          </cell>
        </row>
        <row r="468">
          <cell r="A468" t="str">
            <v>33-9092</v>
          </cell>
          <cell r="B468" t="str">
            <v>Lifeguards, Ski Patrol, and Other Recreational Protective Service Workers</v>
          </cell>
          <cell r="C468">
            <v>-0.47183849999999999</v>
          </cell>
          <cell r="D468">
            <v>34660</v>
          </cell>
          <cell r="E468">
            <v>157550</v>
          </cell>
          <cell r="G468">
            <v>143590</v>
          </cell>
        </row>
        <row r="469">
          <cell r="A469" t="str">
            <v>45-4023</v>
          </cell>
          <cell r="B469" t="str">
            <v>Log Graders and Scalers</v>
          </cell>
          <cell r="C469">
            <v>-0.47683049999999999</v>
          </cell>
          <cell r="D469">
            <v>64190</v>
          </cell>
          <cell r="E469" t="e">
            <v>#N/A</v>
          </cell>
          <cell r="G469">
            <v>3310</v>
          </cell>
        </row>
        <row r="470">
          <cell r="A470" t="str">
            <v>45-1011</v>
          </cell>
          <cell r="B470" t="str">
            <v>First-Line Supervisors/Managers of Farming, Fishing, and Forestry Workers</v>
          </cell>
          <cell r="C470">
            <v>-0.47918430000000001</v>
          </cell>
          <cell r="D470">
            <v>35620</v>
          </cell>
          <cell r="E470" t="e">
            <v>#N/A</v>
          </cell>
          <cell r="G470">
            <v>29530</v>
          </cell>
        </row>
        <row r="471">
          <cell r="A471" t="str">
            <v>29-2055</v>
          </cell>
          <cell r="B471" t="str">
            <v>Surgical Technologists</v>
          </cell>
          <cell r="C471">
            <v>-0.48304760000000002</v>
          </cell>
          <cell r="D471">
            <v>72120</v>
          </cell>
          <cell r="E471">
            <v>117460</v>
          </cell>
          <cell r="G471">
            <v>113890</v>
          </cell>
        </row>
        <row r="472">
          <cell r="A472" t="str">
            <v>35-3022</v>
          </cell>
          <cell r="B472" t="str">
            <v>Counter Attendants, Cafeteria, Food Concession, and Coffee Shop</v>
          </cell>
          <cell r="C472">
            <v>-0.48509560000000002</v>
          </cell>
          <cell r="D472">
            <v>34810</v>
          </cell>
          <cell r="E472" t="e">
            <v>#N/A</v>
          </cell>
          <cell r="G472" t="e">
            <v>#N/A</v>
          </cell>
        </row>
        <row r="473">
          <cell r="A473" t="str">
            <v>51-9082</v>
          </cell>
          <cell r="B473" t="str">
            <v>Medical Appliance Technicians</v>
          </cell>
          <cell r="C473">
            <v>-0.4949538</v>
          </cell>
          <cell r="D473">
            <v>38860</v>
          </cell>
          <cell r="E473" t="e">
            <v>#N/A</v>
          </cell>
          <cell r="G473">
            <v>11490</v>
          </cell>
        </row>
        <row r="474">
          <cell r="A474" t="str">
            <v>31-1013</v>
          </cell>
          <cell r="B474" t="str">
            <v>Psychiatric Aides</v>
          </cell>
          <cell r="C474">
            <v>-0.49656499999999998</v>
          </cell>
          <cell r="D474">
            <v>129210</v>
          </cell>
          <cell r="E474" t="e">
            <v>#N/A</v>
          </cell>
          <cell r="G474" t="e">
            <v>#N/A</v>
          </cell>
        </row>
        <row r="475">
          <cell r="A475" t="str">
            <v>51-2023</v>
          </cell>
          <cell r="B475" t="str">
            <v>Electromechanical Equipment Assemblers</v>
          </cell>
          <cell r="C475">
            <v>-0.49772759999999999</v>
          </cell>
          <cell r="D475">
            <v>49210</v>
          </cell>
          <cell r="E475" t="e">
            <v>#N/A</v>
          </cell>
          <cell r="G475" t="e">
            <v>#N/A</v>
          </cell>
        </row>
        <row r="476">
          <cell r="A476" t="str">
            <v>53-4011</v>
          </cell>
          <cell r="B476" t="str">
            <v>Locomotive Engineers</v>
          </cell>
          <cell r="C476">
            <v>-0.49774030000000002</v>
          </cell>
          <cell r="D476">
            <v>48680</v>
          </cell>
          <cell r="E476" t="e">
            <v>#N/A</v>
          </cell>
          <cell r="G476">
            <v>31990</v>
          </cell>
        </row>
        <row r="477">
          <cell r="A477" t="str">
            <v>51-8021</v>
          </cell>
          <cell r="B477" t="str">
            <v>Stationary Engineers and Boiler Operators</v>
          </cell>
          <cell r="C477">
            <v>-0.50324959999999996</v>
          </cell>
          <cell r="D477">
            <v>34220</v>
          </cell>
          <cell r="E477" t="e">
            <v>#N/A</v>
          </cell>
          <cell r="G477">
            <v>30780</v>
          </cell>
        </row>
        <row r="478">
          <cell r="A478" t="str">
            <v>33-9093</v>
          </cell>
          <cell r="B478" t="str">
            <v>Transportation Security Screeners</v>
          </cell>
          <cell r="C478">
            <v>-0.50685579999999997</v>
          </cell>
          <cell r="D478">
            <v>37120</v>
          </cell>
          <cell r="E478">
            <v>50290</v>
          </cell>
          <cell r="G478">
            <v>46340</v>
          </cell>
        </row>
        <row r="479">
          <cell r="A479" t="str">
            <v>33-3011</v>
          </cell>
          <cell r="B479" t="str">
            <v>Bailiffs</v>
          </cell>
          <cell r="C479">
            <v>-0.5103183</v>
          </cell>
          <cell r="D479">
            <v>44080</v>
          </cell>
          <cell r="E479" t="e">
            <v>#N/A</v>
          </cell>
          <cell r="G479">
            <v>16910</v>
          </cell>
        </row>
        <row r="480">
          <cell r="A480" t="str">
            <v>51-9011</v>
          </cell>
          <cell r="B480" t="str">
            <v>Chemical Equipment Operators and Tenders</v>
          </cell>
          <cell r="C480">
            <v>-0.511521</v>
          </cell>
          <cell r="D480">
            <v>57250</v>
          </cell>
          <cell r="E480">
            <v>139630</v>
          </cell>
          <cell r="G480">
            <v>127410</v>
          </cell>
        </row>
        <row r="481">
          <cell r="A481" t="str">
            <v>29-2061</v>
          </cell>
          <cell r="B481" t="str">
            <v>Licensed Practical and Licensed Vocational Nurses</v>
          </cell>
          <cell r="C481">
            <v>-0.51373729999999995</v>
          </cell>
          <cell r="D481" t="e">
            <v>#N/A</v>
          </cell>
          <cell r="E481">
            <v>648410</v>
          </cell>
          <cell r="G481">
            <v>632430</v>
          </cell>
        </row>
        <row r="482">
          <cell r="A482" t="str">
            <v>43-9071</v>
          </cell>
          <cell r="B482" t="str">
            <v>Office Machine Operators, Except Computer</v>
          </cell>
          <cell r="C482">
            <v>-0.51714039999999994</v>
          </cell>
          <cell r="D482">
            <v>47520</v>
          </cell>
          <cell r="E482" t="e">
            <v>#N/A</v>
          </cell>
          <cell r="G482">
            <v>24740</v>
          </cell>
        </row>
        <row r="483">
          <cell r="A483" t="str">
            <v>43-5051</v>
          </cell>
          <cell r="B483" t="str">
            <v>Postal Service Clerks</v>
          </cell>
          <cell r="C483">
            <v>-0.51869969999999999</v>
          </cell>
          <cell r="D483">
            <v>61630</v>
          </cell>
          <cell r="E483">
            <v>73720</v>
          </cell>
          <cell r="G483">
            <v>78060</v>
          </cell>
        </row>
        <row r="484">
          <cell r="A484" t="str">
            <v>39-3091</v>
          </cell>
          <cell r="B484" t="str">
            <v>Amusement and Recreation Attendants</v>
          </cell>
          <cell r="C484">
            <v>-0.52461530000000001</v>
          </cell>
          <cell r="D484">
            <v>172790</v>
          </cell>
          <cell r="E484">
            <v>397830</v>
          </cell>
          <cell r="G484">
            <v>371590</v>
          </cell>
        </row>
        <row r="485">
          <cell r="A485" t="str">
            <v>53-5031</v>
          </cell>
          <cell r="B485" t="str">
            <v>Ship Engineers</v>
          </cell>
          <cell r="C485">
            <v>-0.52649509999999999</v>
          </cell>
          <cell r="D485">
            <v>48260</v>
          </cell>
          <cell r="E485" t="e">
            <v>#N/A</v>
          </cell>
          <cell r="G485">
            <v>8580</v>
          </cell>
        </row>
        <row r="486">
          <cell r="A486" t="str">
            <v>31-9091</v>
          </cell>
          <cell r="B486" t="str">
            <v>Dental Assistants</v>
          </cell>
          <cell r="C486">
            <v>-0.52687589999999995</v>
          </cell>
          <cell r="D486" t="e">
            <v>#N/A</v>
          </cell>
          <cell r="E486">
            <v>387790</v>
          </cell>
          <cell r="G486">
            <v>375430</v>
          </cell>
        </row>
        <row r="487">
          <cell r="A487" t="str">
            <v>35-3021</v>
          </cell>
          <cell r="B487" t="str">
            <v>Combined Food Preparation and Serving Workers, Including Fast Food</v>
          </cell>
          <cell r="C487">
            <v>-0.53052659999999996</v>
          </cell>
          <cell r="D487">
            <v>58160</v>
          </cell>
          <cell r="E487" t="e">
            <v>#N/A</v>
          </cell>
          <cell r="G487" t="e">
            <v>#N/A</v>
          </cell>
        </row>
        <row r="488">
          <cell r="A488" t="str">
            <v>49-9063</v>
          </cell>
          <cell r="B488" t="str">
            <v>Musical Instrument Repairers and Tuners</v>
          </cell>
          <cell r="C488">
            <v>-0.53062710000000002</v>
          </cell>
          <cell r="D488">
            <v>38340</v>
          </cell>
          <cell r="E488" t="e">
            <v>#N/A</v>
          </cell>
          <cell r="G488">
            <v>5730</v>
          </cell>
        </row>
        <row r="489">
          <cell r="A489" t="str">
            <v>31-2021</v>
          </cell>
          <cell r="B489" t="str">
            <v>Physical Therapist Assistants</v>
          </cell>
          <cell r="C489">
            <v>-0.53085349999999998</v>
          </cell>
          <cell r="D489" t="str">
            <v>&gt;=$239,200</v>
          </cell>
          <cell r="E489">
            <v>112430</v>
          </cell>
          <cell r="G489">
            <v>108010</v>
          </cell>
        </row>
        <row r="490">
          <cell r="A490" t="str">
            <v>51-4111</v>
          </cell>
          <cell r="B490" t="str">
            <v>Tool and Die Makers</v>
          </cell>
          <cell r="C490">
            <v>-0.53178970000000003</v>
          </cell>
          <cell r="D490" t="e">
            <v>#N/A</v>
          </cell>
          <cell r="E490" t="e">
            <v>#N/A</v>
          </cell>
          <cell r="G490">
            <v>55130</v>
          </cell>
        </row>
        <row r="491">
          <cell r="A491" t="str">
            <v>39-4021</v>
          </cell>
          <cell r="B491" t="str">
            <v>Funeral Attendants</v>
          </cell>
          <cell r="C491">
            <v>-0.54454119999999995</v>
          </cell>
          <cell r="D491">
            <v>45650</v>
          </cell>
          <cell r="E491">
            <v>31090</v>
          </cell>
          <cell r="G491">
            <v>30560</v>
          </cell>
        </row>
        <row r="492">
          <cell r="A492" t="str">
            <v>49-2095</v>
          </cell>
          <cell r="B492" t="str">
            <v>Electrical and Electronics Repairers, Powerhouse, Substation, and Relay</v>
          </cell>
          <cell r="C492">
            <v>-0.55226359999999997</v>
          </cell>
          <cell r="D492">
            <v>50490</v>
          </cell>
          <cell r="E492" t="e">
            <v>#N/A</v>
          </cell>
          <cell r="G492">
            <v>23040</v>
          </cell>
        </row>
        <row r="493">
          <cell r="A493" t="str">
            <v>37-1012</v>
          </cell>
          <cell r="B493" t="str">
            <v>First-Line Supervisors/Managers of Landscaping, Lawn Service, and Groundskeeping Workers</v>
          </cell>
          <cell r="C493">
            <v>-0.55488709999999997</v>
          </cell>
          <cell r="D493">
            <v>71190</v>
          </cell>
          <cell r="E493">
            <v>130760</v>
          </cell>
          <cell r="G493">
            <v>124130</v>
          </cell>
        </row>
        <row r="494">
          <cell r="A494" t="str">
            <v>29-2034</v>
          </cell>
          <cell r="B494" t="str">
            <v>Radiologic Technologists and Technicians</v>
          </cell>
          <cell r="C494">
            <v>-0.5559037</v>
          </cell>
          <cell r="D494">
            <v>89040</v>
          </cell>
          <cell r="E494">
            <v>230490</v>
          </cell>
          <cell r="G494">
            <v>223460</v>
          </cell>
        </row>
        <row r="495">
          <cell r="A495" t="str">
            <v>51-3093</v>
          </cell>
          <cell r="B495" t="str">
            <v>Food Cooking Machine Operators and Tenders</v>
          </cell>
          <cell r="C495">
            <v>-0.55598939999999997</v>
          </cell>
          <cell r="D495">
            <v>52000</v>
          </cell>
          <cell r="E495" t="e">
            <v>#N/A</v>
          </cell>
          <cell r="G495">
            <v>27660</v>
          </cell>
        </row>
        <row r="496">
          <cell r="A496" t="str">
            <v>33-1011</v>
          </cell>
          <cell r="B496" t="str">
            <v>First-Line Supervisors/Managers of Correctional Officers</v>
          </cell>
          <cell r="C496">
            <v>-0.55842780000000003</v>
          </cell>
          <cell r="D496">
            <v>46560</v>
          </cell>
          <cell r="E496">
            <v>53380</v>
          </cell>
          <cell r="G496">
            <v>53390</v>
          </cell>
        </row>
        <row r="497">
          <cell r="A497" t="str">
            <v>27-1013</v>
          </cell>
          <cell r="B497" t="str">
            <v>Fine Artists, Including Painters, Sculptors, and Illustrators</v>
          </cell>
          <cell r="C497">
            <v>-0.56904980000000005</v>
          </cell>
          <cell r="D497">
            <v>122610</v>
          </cell>
          <cell r="E497" t="e">
            <v>#N/A</v>
          </cell>
          <cell r="G497">
            <v>10000</v>
          </cell>
        </row>
        <row r="498">
          <cell r="A498" t="str">
            <v>33-9091</v>
          </cell>
          <cell r="B498" t="str">
            <v>Crossing Guards</v>
          </cell>
          <cell r="C498">
            <v>-0.56995110000000004</v>
          </cell>
          <cell r="D498">
            <v>51030</v>
          </cell>
          <cell r="E498">
            <v>94360</v>
          </cell>
          <cell r="G498">
            <v>90180</v>
          </cell>
        </row>
        <row r="499">
          <cell r="A499" t="str">
            <v>49-2097</v>
          </cell>
          <cell r="B499" t="str">
            <v>Electronic Home Entertainment Equipment Installers and Repairers</v>
          </cell>
          <cell r="C499">
            <v>-0.57128400000000001</v>
          </cell>
          <cell r="D499">
            <v>61680</v>
          </cell>
          <cell r="E499" t="e">
            <v>#N/A</v>
          </cell>
          <cell r="G499">
            <v>22170</v>
          </cell>
        </row>
        <row r="500">
          <cell r="A500" t="str">
            <v>39-9021</v>
          </cell>
          <cell r="B500" t="str">
            <v>Personal and Home Care Aides</v>
          </cell>
          <cell r="C500">
            <v>-0.57377739999999999</v>
          </cell>
          <cell r="D500">
            <v>31190</v>
          </cell>
          <cell r="E500" t="e">
            <v>#N/A</v>
          </cell>
          <cell r="G500" t="e">
            <v>#N/A</v>
          </cell>
        </row>
        <row r="501">
          <cell r="A501" t="str">
            <v>37-1011</v>
          </cell>
          <cell r="B501" t="str">
            <v>First-Line Supervisors/Managers of Housekeeping and Janitorial Workers</v>
          </cell>
          <cell r="C501">
            <v>-0.58541279999999996</v>
          </cell>
          <cell r="D501">
            <v>67670</v>
          </cell>
          <cell r="E501">
            <v>178760</v>
          </cell>
          <cell r="G501">
            <v>174660</v>
          </cell>
        </row>
        <row r="502">
          <cell r="A502" t="str">
            <v>49-9099</v>
          </cell>
          <cell r="B502" t="str">
            <v>Installation, Maintenance, and Repair Workers, All Other</v>
          </cell>
          <cell r="C502">
            <v>-0.59007909999999997</v>
          </cell>
          <cell r="D502" t="e">
            <v>#N/A</v>
          </cell>
          <cell r="E502">
            <v>176300</v>
          </cell>
          <cell r="G502">
            <v>183690</v>
          </cell>
        </row>
        <row r="503">
          <cell r="A503" t="str">
            <v>33-1021</v>
          </cell>
          <cell r="B503" t="str">
            <v>First-Line Supervisors/Managers of Fire Fighting and Prevention Workers</v>
          </cell>
          <cell r="C503">
            <v>-0.59302100000000002</v>
          </cell>
          <cell r="D503">
            <v>34580</v>
          </cell>
          <cell r="E503">
            <v>99140</v>
          </cell>
          <cell r="G503">
            <v>93680</v>
          </cell>
        </row>
        <row r="504">
          <cell r="A504" t="str">
            <v>35-2015</v>
          </cell>
          <cell r="B504" t="str">
            <v>Cooks, Short Order</v>
          </cell>
          <cell r="C504">
            <v>-0.59338170000000001</v>
          </cell>
          <cell r="D504" t="e">
            <v>#N/A</v>
          </cell>
          <cell r="E504">
            <v>138650</v>
          </cell>
          <cell r="G504">
            <v>150420</v>
          </cell>
        </row>
        <row r="505">
          <cell r="A505" t="str">
            <v>33-9011</v>
          </cell>
          <cell r="B505" t="str">
            <v>Animal Control Workers</v>
          </cell>
          <cell r="C505">
            <v>-0.5946321</v>
          </cell>
          <cell r="D505">
            <v>33280</v>
          </cell>
          <cell r="E505" t="e">
            <v>#N/A</v>
          </cell>
          <cell r="G505">
            <v>11790</v>
          </cell>
        </row>
        <row r="506">
          <cell r="A506" t="str">
            <v>51-9083</v>
          </cell>
          <cell r="B506" t="str">
            <v>Ophthalmic Laboratory Technicians</v>
          </cell>
          <cell r="C506">
            <v>-0.59667590000000004</v>
          </cell>
          <cell r="D506" t="e">
            <v>#N/A</v>
          </cell>
          <cell r="E506" t="e">
            <v>#N/A</v>
          </cell>
          <cell r="G506">
            <v>18740</v>
          </cell>
        </row>
        <row r="507">
          <cell r="A507" t="str">
            <v>51-6051</v>
          </cell>
          <cell r="B507" t="str">
            <v>Sewers, Hand</v>
          </cell>
          <cell r="C507">
            <v>-0.59872179999999997</v>
          </cell>
          <cell r="D507">
            <v>60850</v>
          </cell>
          <cell r="E507" t="e">
            <v>#N/A</v>
          </cell>
          <cell r="G507">
            <v>2240</v>
          </cell>
        </row>
        <row r="508">
          <cell r="A508" t="str">
            <v>53-3021</v>
          </cell>
          <cell r="B508" t="str">
            <v>Bus Drivers, Transit and Intercity</v>
          </cell>
          <cell r="C508">
            <v>-0.60545300000000002</v>
          </cell>
          <cell r="D508">
            <v>49850</v>
          </cell>
          <cell r="E508" t="e">
            <v>#N/A</v>
          </cell>
          <cell r="G508" t="e">
            <v>#N/A</v>
          </cell>
        </row>
        <row r="509">
          <cell r="A509" t="str">
            <v>51-4062</v>
          </cell>
          <cell r="B509" t="str">
            <v>Patternmakers, Metal and Plastic</v>
          </cell>
          <cell r="C509">
            <v>-0.61313309999999999</v>
          </cell>
          <cell r="D509">
            <v>37700</v>
          </cell>
          <cell r="E509" t="e">
            <v>#N/A</v>
          </cell>
          <cell r="G509">
            <v>1570</v>
          </cell>
        </row>
        <row r="510">
          <cell r="A510" t="str">
            <v>53-4041</v>
          </cell>
          <cell r="B510" t="str">
            <v>Subway and Streetcar Operators</v>
          </cell>
          <cell r="C510">
            <v>-0.6155429</v>
          </cell>
          <cell r="D510" t="e">
            <v>#N/A</v>
          </cell>
          <cell r="E510" t="e">
            <v>#N/A</v>
          </cell>
          <cell r="G510">
            <v>9200</v>
          </cell>
        </row>
        <row r="511">
          <cell r="A511" t="str">
            <v>35-3011</v>
          </cell>
          <cell r="B511" t="str">
            <v>Bartenders</v>
          </cell>
          <cell r="C511">
            <v>-0.61598830000000004</v>
          </cell>
          <cell r="D511">
            <v>38820</v>
          </cell>
          <cell r="E511">
            <v>756390</v>
          </cell>
          <cell r="G511">
            <v>745610</v>
          </cell>
        </row>
        <row r="512">
          <cell r="A512" t="str">
            <v>33-3041</v>
          </cell>
          <cell r="B512" t="str">
            <v>Parking Enforcement Workers</v>
          </cell>
          <cell r="C512">
            <v>-0.62399309999999997</v>
          </cell>
          <cell r="D512">
            <v>78310</v>
          </cell>
          <cell r="E512" t="e">
            <v>#N/A</v>
          </cell>
          <cell r="G512">
            <v>7770</v>
          </cell>
        </row>
        <row r="513">
          <cell r="A513" t="str">
            <v>51-2022</v>
          </cell>
          <cell r="B513" t="str">
            <v>Electrical and Electronic Equipment Assemblers</v>
          </cell>
          <cell r="C513">
            <v>-0.62488069999999996</v>
          </cell>
          <cell r="D513">
            <v>47060</v>
          </cell>
          <cell r="E513" t="e">
            <v>#N/A</v>
          </cell>
          <cell r="G513" t="e">
            <v>#N/A</v>
          </cell>
        </row>
        <row r="514">
          <cell r="A514" t="str">
            <v>53-6011</v>
          </cell>
          <cell r="B514" t="str">
            <v>Bridge and Lock Tenders</v>
          </cell>
          <cell r="C514">
            <v>-0.63221590000000005</v>
          </cell>
          <cell r="D514">
            <v>33670</v>
          </cell>
          <cell r="E514" t="e">
            <v>#N/A</v>
          </cell>
          <cell r="G514">
            <v>2720</v>
          </cell>
        </row>
        <row r="515">
          <cell r="A515" t="str">
            <v>53-3041</v>
          </cell>
          <cell r="B515" t="str">
            <v>Taxi Drivers and Chauffeurs</v>
          </cell>
          <cell r="C515">
            <v>-0.6322603</v>
          </cell>
          <cell r="D515" t="e">
            <v>#N/A</v>
          </cell>
          <cell r="E515" t="e">
            <v>#N/A</v>
          </cell>
          <cell r="G515" t="e">
            <v>#N/A</v>
          </cell>
        </row>
        <row r="516">
          <cell r="A516" t="str">
            <v>49-2021</v>
          </cell>
          <cell r="B516" t="str">
            <v>Radio Mechanics</v>
          </cell>
          <cell r="C516">
            <v>-0.63353820000000005</v>
          </cell>
          <cell r="D516">
            <v>59810</v>
          </cell>
          <cell r="E516" t="e">
            <v>#N/A</v>
          </cell>
          <cell r="G516">
            <v>11400</v>
          </cell>
        </row>
        <row r="517">
          <cell r="A517" t="str">
            <v>35-2012</v>
          </cell>
          <cell r="B517" t="str">
            <v>Cooks, Institution and Cafeteria</v>
          </cell>
          <cell r="C517">
            <v>-0.63608129999999996</v>
          </cell>
          <cell r="D517" t="str">
            <v>—</v>
          </cell>
          <cell r="E517">
            <v>441050</v>
          </cell>
          <cell r="G517">
            <v>448260</v>
          </cell>
        </row>
        <row r="518">
          <cell r="A518" t="str">
            <v>51-9141</v>
          </cell>
          <cell r="B518" t="str">
            <v>Semiconductor Processors</v>
          </cell>
          <cell r="C518">
            <v>-0.6372312</v>
          </cell>
          <cell r="D518">
            <v>55440</v>
          </cell>
          <cell r="E518" t="e">
            <v>#N/A</v>
          </cell>
          <cell r="G518">
            <v>32150</v>
          </cell>
        </row>
        <row r="519">
          <cell r="A519" t="str">
            <v>51-9194</v>
          </cell>
          <cell r="B519" t="str">
            <v>Etchers and Engravers</v>
          </cell>
          <cell r="C519">
            <v>-0.63952260000000005</v>
          </cell>
          <cell r="D519">
            <v>38220</v>
          </cell>
          <cell r="E519" t="e">
            <v>#N/A</v>
          </cell>
          <cell r="G519">
            <v>8390</v>
          </cell>
        </row>
        <row r="520">
          <cell r="A520" t="str">
            <v>31-1011</v>
          </cell>
          <cell r="B520" t="str">
            <v>Home Health Aides</v>
          </cell>
          <cell r="C520">
            <v>-0.64494200000000002</v>
          </cell>
          <cell r="D520">
            <v>77390</v>
          </cell>
          <cell r="E520" t="e">
            <v>#N/A</v>
          </cell>
          <cell r="G520" t="e">
            <v>#N/A</v>
          </cell>
        </row>
        <row r="521">
          <cell r="A521" t="str">
            <v>49-3011</v>
          </cell>
          <cell r="B521" t="str">
            <v>Aircraft Mechanics and Service Technicians</v>
          </cell>
          <cell r="C521">
            <v>-0.65511969999999997</v>
          </cell>
          <cell r="D521" t="e">
            <v>#N/A</v>
          </cell>
          <cell r="E521">
            <v>138090</v>
          </cell>
          <cell r="G521">
            <v>136390</v>
          </cell>
        </row>
        <row r="522">
          <cell r="A522" t="str">
            <v>25-2059</v>
          </cell>
          <cell r="B522" t="str">
            <v>Special Education Teachers, All Other</v>
          </cell>
          <cell r="C522">
            <v>-0.66329170000000004</v>
          </cell>
          <cell r="D522">
            <v>44660</v>
          </cell>
          <cell r="E522">
            <v>33930</v>
          </cell>
          <cell r="G522">
            <v>39350</v>
          </cell>
        </row>
        <row r="523">
          <cell r="A523" t="str">
            <v>19-4093</v>
          </cell>
          <cell r="B523" t="str">
            <v>Forest and Conservation Technicians</v>
          </cell>
          <cell r="C523">
            <v>-0.66723960000000004</v>
          </cell>
          <cell r="D523">
            <v>75260</v>
          </cell>
          <cell r="E523" t="e">
            <v>#N/A</v>
          </cell>
          <cell r="G523" t="e">
            <v>#N/A</v>
          </cell>
        </row>
        <row r="524">
          <cell r="A524" t="str">
            <v>33-3051</v>
          </cell>
          <cell r="B524" t="str">
            <v>Police and Sheriff's Patrol Officers</v>
          </cell>
          <cell r="C524">
            <v>-0.66811229999999999</v>
          </cell>
          <cell r="D524">
            <v>57790</v>
          </cell>
          <cell r="E524">
            <v>670520</v>
          </cell>
          <cell r="G524">
            <v>666990</v>
          </cell>
        </row>
        <row r="525">
          <cell r="A525" t="str">
            <v>51-8099</v>
          </cell>
          <cell r="B525" t="str">
            <v>Plant and System Operators, All Other</v>
          </cell>
          <cell r="C525">
            <v>-0.67023869999999997</v>
          </cell>
          <cell r="D525">
            <v>65170</v>
          </cell>
          <cell r="E525" t="e">
            <v>#N/A</v>
          </cell>
          <cell r="G525">
            <v>15950</v>
          </cell>
        </row>
        <row r="526">
          <cell r="A526" t="str">
            <v>51-4011</v>
          </cell>
          <cell r="B526" t="str">
            <v>Computer-Controlled Machine Tool Operators, Metal and Plastic</v>
          </cell>
          <cell r="C526">
            <v>-0.67374440000000002</v>
          </cell>
          <cell r="D526">
            <v>33800</v>
          </cell>
          <cell r="E526" t="e">
            <v>#N/A</v>
          </cell>
          <cell r="G526" t="e">
            <v>#N/A</v>
          </cell>
        </row>
        <row r="527">
          <cell r="A527" t="str">
            <v>39-5012</v>
          </cell>
          <cell r="B527" t="str">
            <v>Hairdressers, Hairstylists, and Cosmetologists</v>
          </cell>
          <cell r="C527">
            <v>-0.68245169999999999</v>
          </cell>
          <cell r="D527">
            <v>79000</v>
          </cell>
          <cell r="E527">
            <v>305710</v>
          </cell>
          <cell r="G527">
            <v>295460</v>
          </cell>
        </row>
        <row r="528">
          <cell r="A528" t="str">
            <v>29-2041</v>
          </cell>
          <cell r="B528" t="str">
            <v>Emergency Medical Technicians and Paramedics</v>
          </cell>
          <cell r="C528">
            <v>-0.68634459999999997</v>
          </cell>
          <cell r="D528">
            <v>53620</v>
          </cell>
          <cell r="E528" t="e">
            <v>#N/A</v>
          </cell>
          <cell r="G528" t="e">
            <v>#N/A</v>
          </cell>
        </row>
        <row r="529">
          <cell r="A529" t="str">
            <v>47-4041</v>
          </cell>
          <cell r="B529" t="str">
            <v>Hazardous Materials Removal Workers</v>
          </cell>
          <cell r="C529">
            <v>-0.68874389999999996</v>
          </cell>
          <cell r="D529">
            <v>37370</v>
          </cell>
          <cell r="E529">
            <v>51710</v>
          </cell>
          <cell r="G529">
            <v>50570</v>
          </cell>
        </row>
        <row r="530">
          <cell r="A530" t="str">
            <v>53-7071</v>
          </cell>
          <cell r="B530" t="str">
            <v>Gas Compressor and Gas Pumping Station Operators</v>
          </cell>
          <cell r="C530">
            <v>-0.69099920000000004</v>
          </cell>
          <cell r="D530">
            <v>46480</v>
          </cell>
          <cell r="E530" t="e">
            <v>#N/A</v>
          </cell>
          <cell r="G530">
            <v>5110</v>
          </cell>
        </row>
        <row r="531">
          <cell r="A531" t="str">
            <v>49-2098</v>
          </cell>
          <cell r="B531" t="str">
            <v>Security and Fire Alarm Systems Installers</v>
          </cell>
          <cell r="C531">
            <v>-0.69264840000000005</v>
          </cell>
          <cell r="D531">
            <v>48310</v>
          </cell>
          <cell r="E531">
            <v>86340</v>
          </cell>
          <cell r="G531">
            <v>81510</v>
          </cell>
        </row>
        <row r="532">
          <cell r="A532" t="str">
            <v>47-5021</v>
          </cell>
          <cell r="B532" t="str">
            <v>Earth Drillers, Except Oil and Gas</v>
          </cell>
          <cell r="C532">
            <v>-0.70183910000000005</v>
          </cell>
          <cell r="D532">
            <v>38150</v>
          </cell>
          <cell r="E532" t="e">
            <v>#N/A</v>
          </cell>
          <cell r="G532" t="e">
            <v>#N/A</v>
          </cell>
        </row>
        <row r="533">
          <cell r="A533" t="str">
            <v>53-1011</v>
          </cell>
          <cell r="B533" t="str">
            <v>Aircraft Cargo Handling Supervisors</v>
          </cell>
          <cell r="C533">
            <v>-0.70919019999999999</v>
          </cell>
          <cell r="D533">
            <v>65680</v>
          </cell>
          <cell r="E533" t="e">
            <v>#N/A</v>
          </cell>
          <cell r="G533" t="e">
            <v>#N/A</v>
          </cell>
        </row>
        <row r="534">
          <cell r="A534" t="str">
            <v>51-5112</v>
          </cell>
          <cell r="B534" t="str">
            <v>Printing Press Operators</v>
          </cell>
          <cell r="C534">
            <v>-0.70938809999999997</v>
          </cell>
          <cell r="D534">
            <v>41690</v>
          </cell>
          <cell r="E534">
            <v>144260</v>
          </cell>
          <cell r="G534">
            <v>145110</v>
          </cell>
        </row>
        <row r="535">
          <cell r="A535" t="str">
            <v>35-2011</v>
          </cell>
          <cell r="B535" t="str">
            <v>Cooks, Fast Food</v>
          </cell>
          <cell r="C535">
            <v>-0.71318369999999998</v>
          </cell>
          <cell r="D535">
            <v>48310</v>
          </cell>
          <cell r="E535">
            <v>641070</v>
          </cell>
          <cell r="G535">
            <v>668230</v>
          </cell>
        </row>
        <row r="536">
          <cell r="A536" t="str">
            <v>51-4192</v>
          </cell>
          <cell r="B536" t="str">
            <v>Lay-Out Workers, Metal and Plastic</v>
          </cell>
          <cell r="C536">
            <v>-0.72213530000000004</v>
          </cell>
          <cell r="D536">
            <v>41460</v>
          </cell>
          <cell r="E536" t="e">
            <v>#N/A</v>
          </cell>
          <cell r="G536">
            <v>5610</v>
          </cell>
        </row>
        <row r="537">
          <cell r="A537" t="str">
            <v>49-9091</v>
          </cell>
          <cell r="B537" t="str">
            <v>Coin, Vending, and Amusement Machine Servicers and Repairers</v>
          </cell>
          <cell r="C537">
            <v>-0.72339949999999997</v>
          </cell>
          <cell r="D537">
            <v>40860</v>
          </cell>
          <cell r="E537" t="e">
            <v>#N/A</v>
          </cell>
          <cell r="G537">
            <v>28260</v>
          </cell>
        </row>
        <row r="538">
          <cell r="A538" t="str">
            <v>37-2021</v>
          </cell>
          <cell r="B538" t="str">
            <v>Pest Control Workers</v>
          </cell>
          <cell r="C538">
            <v>-0.7255374</v>
          </cell>
          <cell r="D538" t="e">
            <v>#N/A</v>
          </cell>
          <cell r="E538">
            <v>102620</v>
          </cell>
          <cell r="G538">
            <v>96110</v>
          </cell>
        </row>
        <row r="539">
          <cell r="A539" t="str">
            <v>35-3041</v>
          </cell>
          <cell r="B539" t="str">
            <v>Food Servers, Nonrestaurant</v>
          </cell>
          <cell r="C539">
            <v>-0.72702060000000002</v>
          </cell>
          <cell r="D539">
            <v>66280</v>
          </cell>
          <cell r="E539">
            <v>293900</v>
          </cell>
          <cell r="G539">
            <v>271780</v>
          </cell>
        </row>
        <row r="540">
          <cell r="A540" t="str">
            <v>51-7031</v>
          </cell>
          <cell r="B540" t="str">
            <v>Model Makers, Wood</v>
          </cell>
          <cell r="C540">
            <v>-0.7278869</v>
          </cell>
          <cell r="D540" t="e">
            <v>#N/A</v>
          </cell>
          <cell r="E540" t="e">
            <v>#N/A</v>
          </cell>
          <cell r="G540">
            <v>360</v>
          </cell>
        </row>
        <row r="541">
          <cell r="A541" t="str">
            <v>53-3031</v>
          </cell>
          <cell r="B541" t="str">
            <v>Driver/Sales Workers</v>
          </cell>
          <cell r="C541">
            <v>-0.72930870000000003</v>
          </cell>
          <cell r="D541">
            <v>48660</v>
          </cell>
          <cell r="E541">
            <v>409180</v>
          </cell>
          <cell r="G541">
            <v>417420</v>
          </cell>
        </row>
        <row r="542">
          <cell r="A542" t="str">
            <v>39-5011</v>
          </cell>
          <cell r="B542" t="str">
            <v>Barbers</v>
          </cell>
          <cell r="C542">
            <v>-0.7294621</v>
          </cell>
          <cell r="D542">
            <v>49800</v>
          </cell>
          <cell r="E542" t="e">
            <v>#N/A</v>
          </cell>
          <cell r="G542">
            <v>18100</v>
          </cell>
        </row>
        <row r="543">
          <cell r="A543" t="str">
            <v>31-9093</v>
          </cell>
          <cell r="B543" t="str">
            <v>Medical Equipment Preparers</v>
          </cell>
          <cell r="C543">
            <v>-0.73086479999999998</v>
          </cell>
          <cell r="D543">
            <v>37960</v>
          </cell>
          <cell r="E543">
            <v>77420</v>
          </cell>
          <cell r="G543">
            <v>72760</v>
          </cell>
        </row>
        <row r="544">
          <cell r="A544" t="str">
            <v>39-4011</v>
          </cell>
          <cell r="B544" t="str">
            <v>Embalmers</v>
          </cell>
          <cell r="C544">
            <v>-0.73114509999999999</v>
          </cell>
          <cell r="D544">
            <v>70660</v>
          </cell>
          <cell r="E544" t="e">
            <v>#N/A</v>
          </cell>
          <cell r="G544">
            <v>3420</v>
          </cell>
        </row>
        <row r="545">
          <cell r="A545" t="str">
            <v>35-2014</v>
          </cell>
          <cell r="B545" t="str">
            <v>Cooks, Restaurant</v>
          </cell>
          <cell r="C545">
            <v>-0.7418264</v>
          </cell>
          <cell r="D545">
            <v>78300</v>
          </cell>
          <cell r="E545">
            <v>1409890</v>
          </cell>
          <cell r="G545">
            <v>1452130</v>
          </cell>
        </row>
        <row r="546">
          <cell r="A546" t="str">
            <v>51-4061</v>
          </cell>
          <cell r="B546" t="str">
            <v>Model Makers, Metal and Plastic</v>
          </cell>
          <cell r="C546">
            <v>-0.74219769999999996</v>
          </cell>
          <cell r="D546">
            <v>61130</v>
          </cell>
          <cell r="E546" t="e">
            <v>#N/A</v>
          </cell>
          <cell r="G546">
            <v>3230</v>
          </cell>
        </row>
        <row r="547">
          <cell r="A547" t="str">
            <v>51-4081</v>
          </cell>
          <cell r="B547" t="str">
            <v>Multiple Machine Tool Setters, Operators, and Tenders, Metal and Plastic</v>
          </cell>
          <cell r="C547">
            <v>-0.74265999999999999</v>
          </cell>
          <cell r="D547">
            <v>62970</v>
          </cell>
          <cell r="E547">
            <v>124590</v>
          </cell>
          <cell r="G547">
            <v>129850</v>
          </cell>
        </row>
        <row r="548">
          <cell r="A548" t="str">
            <v>43-5071</v>
          </cell>
          <cell r="B548" t="str">
            <v>Shipping, Receiving, and Traffic Clerks</v>
          </cell>
          <cell r="C548">
            <v>-0.74632129999999997</v>
          </cell>
          <cell r="D548" t="e">
            <v>#N/A</v>
          </cell>
          <cell r="E548">
            <v>816870</v>
          </cell>
          <cell r="G548">
            <v>857630</v>
          </cell>
        </row>
        <row r="549">
          <cell r="A549" t="str">
            <v>53-7011</v>
          </cell>
          <cell r="B549" t="str">
            <v>Conveyor Operators and Tenders</v>
          </cell>
          <cell r="C549">
            <v>-0.75544319999999998</v>
          </cell>
          <cell r="D549">
            <v>47460</v>
          </cell>
          <cell r="E549" t="e">
            <v>#N/A</v>
          </cell>
          <cell r="G549">
            <v>26060</v>
          </cell>
        </row>
        <row r="550">
          <cell r="A550" t="str">
            <v>51-3091</v>
          </cell>
          <cell r="B550" t="str">
            <v>Food and Tobacco Roasting, Baking, and Drying Machine Operators and Tenders</v>
          </cell>
          <cell r="C550">
            <v>-0.75885899999999995</v>
          </cell>
          <cell r="D550">
            <v>45130</v>
          </cell>
          <cell r="E550" t="e">
            <v>#N/A</v>
          </cell>
          <cell r="G550">
            <v>19500</v>
          </cell>
        </row>
        <row r="551">
          <cell r="A551" t="str">
            <v>51-4032</v>
          </cell>
          <cell r="B551" t="str">
            <v>Drilling and Boring Machine Tool Setters, Operators, and Tenders, Metal and Plastic</v>
          </cell>
          <cell r="C551">
            <v>-0.75981319999999997</v>
          </cell>
          <cell r="D551">
            <v>45700</v>
          </cell>
          <cell r="E551" t="e">
            <v>#N/A</v>
          </cell>
          <cell r="G551">
            <v>5310</v>
          </cell>
        </row>
        <row r="552">
          <cell r="A552" t="str">
            <v>49-9012</v>
          </cell>
          <cell r="B552" t="str">
            <v>Control and Valve Installers and Repairers, Except Mechanical Door</v>
          </cell>
          <cell r="C552">
            <v>-0.76069129999999996</v>
          </cell>
          <cell r="D552">
            <v>38750</v>
          </cell>
          <cell r="E552" t="e">
            <v>#N/A</v>
          </cell>
          <cell r="G552">
            <v>46920</v>
          </cell>
        </row>
        <row r="553">
          <cell r="A553" t="str">
            <v>53-2031</v>
          </cell>
          <cell r="B553" t="str">
            <v>Flight Attendants</v>
          </cell>
          <cell r="C553">
            <v>-0.76211830000000003</v>
          </cell>
          <cell r="D553">
            <v>48400</v>
          </cell>
          <cell r="E553">
            <v>131650</v>
          </cell>
          <cell r="G553">
            <v>130110</v>
          </cell>
        </row>
        <row r="554">
          <cell r="A554" t="str">
            <v>49-3052</v>
          </cell>
          <cell r="B554" t="str">
            <v>Motorcycle Mechanics</v>
          </cell>
          <cell r="C554">
            <v>-0.76372099999999998</v>
          </cell>
          <cell r="D554">
            <v>33470</v>
          </cell>
          <cell r="E554" t="e">
            <v>#N/A</v>
          </cell>
          <cell r="G554">
            <v>14010</v>
          </cell>
        </row>
        <row r="555">
          <cell r="A555" t="str">
            <v>53-4012</v>
          </cell>
          <cell r="B555" t="str">
            <v>Locomotive Firers</v>
          </cell>
          <cell r="C555">
            <v>-0.77107099999999995</v>
          </cell>
          <cell r="D555">
            <v>46730</v>
          </cell>
          <cell r="E555" t="e">
            <v>#N/A</v>
          </cell>
          <cell r="G555" t="e">
            <v>#N/A</v>
          </cell>
        </row>
        <row r="556">
          <cell r="A556" t="str">
            <v>47-5031</v>
          </cell>
          <cell r="B556" t="str">
            <v>Explosives Workers, Ordnance Handling Experts, and Blasters</v>
          </cell>
          <cell r="C556">
            <v>-0.77302700000000002</v>
          </cell>
          <cell r="D556">
            <v>47680</v>
          </cell>
          <cell r="E556" t="e">
            <v>#N/A</v>
          </cell>
          <cell r="G556" t="e">
            <v>#N/A</v>
          </cell>
        </row>
        <row r="557">
          <cell r="A557" t="str">
            <v>31-2012</v>
          </cell>
          <cell r="B557" t="str">
            <v>Occupational Therapist Aides</v>
          </cell>
          <cell r="C557">
            <v>-0.77343220000000001</v>
          </cell>
          <cell r="D557">
            <v>61490</v>
          </cell>
          <cell r="E557" t="e">
            <v>#N/A</v>
          </cell>
          <cell r="G557">
            <v>5000</v>
          </cell>
        </row>
        <row r="558">
          <cell r="A558" t="str">
            <v>31-9096</v>
          </cell>
          <cell r="B558" t="str">
            <v>Veterinary Assistants and Laboratory Animal Caretakers</v>
          </cell>
          <cell r="C558">
            <v>-0.7735824</v>
          </cell>
          <cell r="D558" t="e">
            <v>#N/A</v>
          </cell>
          <cell r="E558">
            <v>126580</v>
          </cell>
          <cell r="G558">
            <v>114190</v>
          </cell>
        </row>
        <row r="559">
          <cell r="A559" t="str">
            <v>47-5012</v>
          </cell>
          <cell r="B559" t="str">
            <v>Rotary Drill Operators, Oil and Gas</v>
          </cell>
          <cell r="C559">
            <v>-0.77373259999999999</v>
          </cell>
          <cell r="D559">
            <v>49240</v>
          </cell>
          <cell r="E559" t="e">
            <v>#N/A</v>
          </cell>
          <cell r="G559">
            <v>13090</v>
          </cell>
        </row>
        <row r="560">
          <cell r="A560" t="str">
            <v>47-2111</v>
          </cell>
          <cell r="B560" t="str">
            <v>Electricians</v>
          </cell>
          <cell r="C560">
            <v>-0.77969049999999995</v>
          </cell>
          <cell r="D560">
            <v>45160</v>
          </cell>
          <cell r="E560">
            <v>757220</v>
          </cell>
          <cell r="G560">
            <v>742580</v>
          </cell>
        </row>
        <row r="561">
          <cell r="A561" t="str">
            <v>35-2013</v>
          </cell>
          <cell r="B561" t="str">
            <v>Cooks, Private Household</v>
          </cell>
          <cell r="C561">
            <v>-0.78674440000000001</v>
          </cell>
          <cell r="D561">
            <v>54830</v>
          </cell>
          <cell r="E561" t="e">
            <v>#N/A</v>
          </cell>
          <cell r="G561">
            <v>900</v>
          </cell>
        </row>
        <row r="562">
          <cell r="A562" t="str">
            <v>43-5081</v>
          </cell>
          <cell r="B562" t="str">
            <v>Stock Clerks and Order Fillers</v>
          </cell>
          <cell r="C562">
            <v>-0.78929479999999996</v>
          </cell>
          <cell r="D562">
            <v>45320</v>
          </cell>
          <cell r="E562" t="e">
            <v>#N/A</v>
          </cell>
          <cell r="G562" t="e">
            <v>#N/A</v>
          </cell>
        </row>
        <row r="563">
          <cell r="A563" t="str">
            <v>49-2096</v>
          </cell>
          <cell r="B563" t="str">
            <v>Electronic Equipment Installers and Repairers, Motor Vehicles</v>
          </cell>
          <cell r="C563">
            <v>-0.79159679999999999</v>
          </cell>
          <cell r="D563">
            <v>56150</v>
          </cell>
          <cell r="E563" t="e">
            <v>#N/A</v>
          </cell>
          <cell r="G563">
            <v>10140</v>
          </cell>
        </row>
        <row r="564">
          <cell r="A564" t="str">
            <v>51-4022</v>
          </cell>
          <cell r="B564" t="str">
            <v>Forging Machine Setters, Operators, and Tenders, Metal and Plastic</v>
          </cell>
          <cell r="C564">
            <v>-0.80466769999999999</v>
          </cell>
          <cell r="D564">
            <v>57490</v>
          </cell>
          <cell r="E564" t="e">
            <v>#N/A</v>
          </cell>
          <cell r="G564">
            <v>8760</v>
          </cell>
        </row>
        <row r="565">
          <cell r="A565" t="str">
            <v>49-2092</v>
          </cell>
          <cell r="B565" t="str">
            <v>Electric Motor, Power Tool, and Related Repairers</v>
          </cell>
          <cell r="C565">
            <v>-0.81063410000000002</v>
          </cell>
          <cell r="D565">
            <v>44980</v>
          </cell>
          <cell r="E565" t="e">
            <v>#N/A</v>
          </cell>
          <cell r="G565">
            <v>16570</v>
          </cell>
        </row>
        <row r="566">
          <cell r="A566" t="str">
            <v>43-9051</v>
          </cell>
          <cell r="B566" t="str">
            <v>Mail Clerks and Mail Machine Operators, Except Postal Service</v>
          </cell>
          <cell r="C566">
            <v>-0.81846759999999996</v>
          </cell>
          <cell r="D566">
            <v>50620</v>
          </cell>
          <cell r="E566">
            <v>55230</v>
          </cell>
          <cell r="G566">
            <v>62730</v>
          </cell>
        </row>
        <row r="567">
          <cell r="A567" t="str">
            <v>51-9023</v>
          </cell>
          <cell r="B567" t="str">
            <v>Mixing and Blending Machine Setters, Operators, and Tenders</v>
          </cell>
          <cell r="C567">
            <v>-0.81966399999999995</v>
          </cell>
          <cell r="D567">
            <v>38820</v>
          </cell>
          <cell r="E567">
            <v>94920</v>
          </cell>
          <cell r="G567">
            <v>100840</v>
          </cell>
        </row>
        <row r="568">
          <cell r="A568" t="str">
            <v>33-3052</v>
          </cell>
          <cell r="B568" t="str">
            <v>Transit and Railroad Police</v>
          </cell>
          <cell r="C568">
            <v>-0.82055149999999999</v>
          </cell>
          <cell r="D568">
            <v>78060</v>
          </cell>
          <cell r="E568" t="e">
            <v>#N/A</v>
          </cell>
          <cell r="G568">
            <v>3000</v>
          </cell>
        </row>
        <row r="569">
          <cell r="A569" t="str">
            <v>51-2021</v>
          </cell>
          <cell r="B569" t="str">
            <v>Coil Winders, Tapers, and Finishers</v>
          </cell>
          <cell r="C569">
            <v>-0.82897220000000005</v>
          </cell>
          <cell r="D569">
            <v>37350</v>
          </cell>
          <cell r="E569" t="e">
            <v>#N/A</v>
          </cell>
          <cell r="G569">
            <v>12170</v>
          </cell>
        </row>
        <row r="570">
          <cell r="A570" t="str">
            <v>53-3011</v>
          </cell>
          <cell r="B570" t="str">
            <v>Ambulance Drivers and Attendants, Except Emergency Medical Technicians</v>
          </cell>
          <cell r="C570">
            <v>-0.82987029999999995</v>
          </cell>
          <cell r="D570">
            <v>37120</v>
          </cell>
          <cell r="E570" t="e">
            <v>#N/A</v>
          </cell>
          <cell r="G570">
            <v>12080</v>
          </cell>
        </row>
        <row r="571">
          <cell r="A571" t="str">
            <v>49-2093</v>
          </cell>
          <cell r="B571" t="str">
            <v>Electrical and Electronics Installers and Repairers, Transportation Equipment</v>
          </cell>
          <cell r="C571">
            <v>-0.83038749999999995</v>
          </cell>
          <cell r="D571">
            <v>106580</v>
          </cell>
          <cell r="E571" t="e">
            <v>#N/A</v>
          </cell>
          <cell r="G571">
            <v>7310</v>
          </cell>
        </row>
        <row r="572">
          <cell r="A572" t="str">
            <v>51-2092</v>
          </cell>
          <cell r="B572" t="str">
            <v>Team Assemblers</v>
          </cell>
          <cell r="C572">
            <v>-0.83054410000000001</v>
          </cell>
          <cell r="D572">
            <v>48430</v>
          </cell>
          <cell r="E572" t="e">
            <v>#N/A</v>
          </cell>
          <cell r="G572" t="e">
            <v>#N/A</v>
          </cell>
        </row>
        <row r="573">
          <cell r="A573" t="str">
            <v>53-4013</v>
          </cell>
          <cell r="B573" t="str">
            <v>Rail Yard Engineers, Dinkey Operators, and Hostlers</v>
          </cell>
          <cell r="C573">
            <v>-0.83209069999999996</v>
          </cell>
          <cell r="D573">
            <v>35270</v>
          </cell>
          <cell r="E573" t="e">
            <v>#N/A</v>
          </cell>
          <cell r="G573">
            <v>3300</v>
          </cell>
        </row>
        <row r="574">
          <cell r="A574" t="str">
            <v>53-6021</v>
          </cell>
          <cell r="B574" t="str">
            <v>Parking Lot Attendants</v>
          </cell>
          <cell r="C574">
            <v>-0.8353891</v>
          </cell>
          <cell r="D574">
            <v>45700</v>
          </cell>
          <cell r="E574">
            <v>137880</v>
          </cell>
          <cell r="G574">
            <v>134650</v>
          </cell>
        </row>
        <row r="575">
          <cell r="A575" t="str">
            <v>53-7072</v>
          </cell>
          <cell r="B575" t="str">
            <v>Pump Operators, Except Wellhead Pumpers</v>
          </cell>
          <cell r="C575">
            <v>-0.84229270000000001</v>
          </cell>
          <cell r="D575">
            <v>33880</v>
          </cell>
          <cell r="E575" t="e">
            <v>#N/A</v>
          </cell>
          <cell r="G575">
            <v>12600</v>
          </cell>
        </row>
        <row r="576">
          <cell r="A576" t="str">
            <v>49-9021</v>
          </cell>
          <cell r="B576" t="str">
            <v>Heating, Air Conditioning, and Refrigeration Mechanics and Installers</v>
          </cell>
          <cell r="C576">
            <v>-0.84911170000000002</v>
          </cell>
          <cell r="D576">
            <v>40360</v>
          </cell>
          <cell r="E576">
            <v>409670</v>
          </cell>
          <cell r="G576">
            <v>396870</v>
          </cell>
        </row>
        <row r="577">
          <cell r="A577" t="str">
            <v>49-2022</v>
          </cell>
          <cell r="B577" t="str">
            <v>Telecommunications Equipment Installers and Repairers, Except Line Installers</v>
          </cell>
          <cell r="C577">
            <v>-0.85304800000000003</v>
          </cell>
          <cell r="D577">
            <v>62630</v>
          </cell>
          <cell r="E577">
            <v>140920</v>
          </cell>
          <cell r="G577">
            <v>153890</v>
          </cell>
        </row>
        <row r="578">
          <cell r="A578" t="str">
            <v>49-9097</v>
          </cell>
          <cell r="B578" t="str">
            <v>Signal and Track Switch Repairers</v>
          </cell>
          <cell r="C578">
            <v>-0.85822100000000001</v>
          </cell>
          <cell r="D578">
            <v>52310</v>
          </cell>
          <cell r="E578" t="e">
            <v>#N/A</v>
          </cell>
          <cell r="G578">
            <v>8210</v>
          </cell>
        </row>
        <row r="579">
          <cell r="A579" t="str">
            <v>51-6091</v>
          </cell>
          <cell r="B579" t="str">
            <v>Extruding and Forming Machine Setters, Operators, and Tenders, Synthetic and Glass Fibers</v>
          </cell>
          <cell r="C579">
            <v>-0.85969249999999997</v>
          </cell>
          <cell r="D579">
            <v>42530</v>
          </cell>
          <cell r="E579" t="e">
            <v>#N/A</v>
          </cell>
          <cell r="G579">
            <v>14900</v>
          </cell>
        </row>
        <row r="580">
          <cell r="A580" t="str">
            <v>47-4021</v>
          </cell>
          <cell r="B580" t="str">
            <v>Elevator Installers and Repairers</v>
          </cell>
          <cell r="C580">
            <v>-0.86047419999999997</v>
          </cell>
          <cell r="D580" t="e">
            <v>#N/A</v>
          </cell>
          <cell r="E580" t="e">
            <v>#N/A</v>
          </cell>
          <cell r="G580">
            <v>23340</v>
          </cell>
        </row>
        <row r="581">
          <cell r="A581" t="str">
            <v>51-6061</v>
          </cell>
          <cell r="B581" t="str">
            <v>Textile Bleaching and Dyeing Machine Operators and Tenders</v>
          </cell>
          <cell r="C581">
            <v>-0.86093120000000001</v>
          </cell>
          <cell r="D581">
            <v>45690</v>
          </cell>
          <cell r="E581" t="e">
            <v>#N/A</v>
          </cell>
          <cell r="G581">
            <v>5820</v>
          </cell>
        </row>
        <row r="582">
          <cell r="A582" t="str">
            <v>49-9094</v>
          </cell>
          <cell r="B582" t="str">
            <v>Locksmiths and Safe Repairers</v>
          </cell>
          <cell r="C582">
            <v>-0.86574980000000001</v>
          </cell>
          <cell r="D582">
            <v>57980</v>
          </cell>
          <cell r="E582" t="e">
            <v>#N/A</v>
          </cell>
          <cell r="G582">
            <v>15550</v>
          </cell>
        </row>
        <row r="583">
          <cell r="A583" t="str">
            <v>51-4041</v>
          </cell>
          <cell r="B583" t="str">
            <v>Machinists</v>
          </cell>
          <cell r="C583">
            <v>-0.86755349999999998</v>
          </cell>
          <cell r="D583">
            <v>70010</v>
          </cell>
          <cell r="E583">
            <v>287050</v>
          </cell>
          <cell r="G583">
            <v>298790</v>
          </cell>
        </row>
        <row r="584">
          <cell r="A584" t="str">
            <v>51-2011</v>
          </cell>
          <cell r="B584" t="str">
            <v>Aircraft Structure, Surfaces, Rigging, and Systems Assemblers</v>
          </cell>
          <cell r="C584">
            <v>-0.86847059999999998</v>
          </cell>
          <cell r="D584">
            <v>35950</v>
          </cell>
          <cell r="E584" t="e">
            <v>#N/A</v>
          </cell>
          <cell r="G584">
            <v>32890</v>
          </cell>
        </row>
        <row r="585">
          <cell r="A585" t="str">
            <v>51-4035</v>
          </cell>
          <cell r="B585" t="str">
            <v>Milling and Planing Machine Setters, Operators, and Tenders, Metal and Plastic</v>
          </cell>
          <cell r="C585">
            <v>-0.87032189999999998</v>
          </cell>
          <cell r="D585">
            <v>48630</v>
          </cell>
          <cell r="E585" t="e">
            <v>#N/A</v>
          </cell>
          <cell r="G585">
            <v>13810</v>
          </cell>
        </row>
        <row r="586">
          <cell r="A586" t="str">
            <v>47-4099</v>
          </cell>
          <cell r="B586" t="str">
            <v>Construction and Related Workers, All Other</v>
          </cell>
          <cell r="C586">
            <v>-0.87284390000000001</v>
          </cell>
          <cell r="D586" t="e">
            <v>#N/A</v>
          </cell>
          <cell r="E586" t="e">
            <v>#N/A</v>
          </cell>
          <cell r="G586" t="e">
            <v>#N/A</v>
          </cell>
        </row>
        <row r="587">
          <cell r="A587" t="str">
            <v>51-9196</v>
          </cell>
          <cell r="B587" t="str">
            <v>Paper Goods Machine Setters, Operators, and Tenders</v>
          </cell>
          <cell r="C587">
            <v>-0.8740445</v>
          </cell>
          <cell r="D587">
            <v>62740</v>
          </cell>
          <cell r="E587">
            <v>96130</v>
          </cell>
          <cell r="G587">
            <v>96950</v>
          </cell>
        </row>
        <row r="588">
          <cell r="A588" t="str">
            <v>51-4194</v>
          </cell>
          <cell r="B588" t="str">
            <v>Tool Grinders, Filers, and Sharpeners</v>
          </cell>
          <cell r="C588">
            <v>-0.88092380000000003</v>
          </cell>
          <cell r="D588">
            <v>42580</v>
          </cell>
          <cell r="E588" t="e">
            <v>#N/A</v>
          </cell>
          <cell r="G588">
            <v>5730</v>
          </cell>
        </row>
        <row r="589">
          <cell r="A589" t="str">
            <v>47-2073</v>
          </cell>
          <cell r="B589" t="str">
            <v>Operating Engineers and Other Construction Equipment Operators</v>
          </cell>
          <cell r="C589">
            <v>-0.88150779999999995</v>
          </cell>
          <cell r="D589">
            <v>59300</v>
          </cell>
          <cell r="E589">
            <v>478090</v>
          </cell>
          <cell r="G589">
            <v>469270</v>
          </cell>
        </row>
        <row r="590">
          <cell r="A590" t="str">
            <v>31-2022</v>
          </cell>
          <cell r="B590" t="str">
            <v>Physical Therapist Aides</v>
          </cell>
          <cell r="C590">
            <v>-0.88232650000000001</v>
          </cell>
          <cell r="D590" t="str">
            <v>—</v>
          </cell>
          <cell r="E590">
            <v>48150</v>
          </cell>
          <cell r="G590">
            <v>44010</v>
          </cell>
        </row>
        <row r="591">
          <cell r="A591" t="str">
            <v>37-3012</v>
          </cell>
          <cell r="B591" t="str">
            <v>Pesticide Handlers, Sprayers, and Applicators, Vegetation</v>
          </cell>
          <cell r="C591">
            <v>-0.88479350000000001</v>
          </cell>
          <cell r="D591">
            <v>68730</v>
          </cell>
          <cell r="E591">
            <v>27050</v>
          </cell>
          <cell r="G591">
            <v>25200</v>
          </cell>
        </row>
        <row r="592">
          <cell r="A592" t="str">
            <v>49-3051</v>
          </cell>
          <cell r="B592" t="str">
            <v>Motorboat Mechanics</v>
          </cell>
          <cell r="C592">
            <v>-0.88636020000000004</v>
          </cell>
          <cell r="D592">
            <v>57970</v>
          </cell>
          <cell r="E592" t="e">
            <v>#N/A</v>
          </cell>
          <cell r="G592">
            <v>24250</v>
          </cell>
        </row>
        <row r="593">
          <cell r="A593" t="str">
            <v>53-5022</v>
          </cell>
          <cell r="B593" t="str">
            <v>Motorboat Operators</v>
          </cell>
          <cell r="C593">
            <v>-0.88711859999999998</v>
          </cell>
          <cell r="D593">
            <v>50430</v>
          </cell>
          <cell r="E593" t="e">
            <v>#N/A</v>
          </cell>
          <cell r="G593">
            <v>2380</v>
          </cell>
        </row>
        <row r="594">
          <cell r="A594" t="str">
            <v>33-3012</v>
          </cell>
          <cell r="B594" t="str">
            <v>Correctional Officers and Jailers</v>
          </cell>
          <cell r="C594">
            <v>-0.88753649999999995</v>
          </cell>
          <cell r="D594">
            <v>38540</v>
          </cell>
          <cell r="E594">
            <v>380500</v>
          </cell>
          <cell r="G594">
            <v>365380</v>
          </cell>
        </row>
        <row r="595">
          <cell r="A595" t="str">
            <v>39-2021</v>
          </cell>
          <cell r="B595" t="str">
            <v>Nonfarm Animal Caretakers</v>
          </cell>
          <cell r="C595">
            <v>-0.88904079999999996</v>
          </cell>
          <cell r="D595">
            <v>37000</v>
          </cell>
          <cell r="E595">
            <v>266910</v>
          </cell>
          <cell r="G595">
            <v>277300</v>
          </cell>
        </row>
        <row r="596">
          <cell r="A596" t="str">
            <v>49-3053</v>
          </cell>
          <cell r="B596" t="str">
            <v>Outdoor Power Equipment and Other Small Engine Mechanics</v>
          </cell>
          <cell r="C596">
            <v>-0.89414079999999996</v>
          </cell>
          <cell r="D596">
            <v>46560</v>
          </cell>
          <cell r="E596" t="e">
            <v>#N/A</v>
          </cell>
          <cell r="G596">
            <v>34240</v>
          </cell>
        </row>
        <row r="597">
          <cell r="A597" t="str">
            <v>51-4193</v>
          </cell>
          <cell r="B597" t="str">
            <v>Plating and Coating Machine Setters, Operators, and Tenders, Metal and Plastic</v>
          </cell>
          <cell r="C597">
            <v>-0.8999876</v>
          </cell>
          <cell r="D597" t="e">
            <v>#N/A</v>
          </cell>
          <cell r="E597" t="e">
            <v>#N/A</v>
          </cell>
          <cell r="G597">
            <v>31510</v>
          </cell>
        </row>
        <row r="598">
          <cell r="A598" t="str">
            <v>31-1014</v>
          </cell>
          <cell r="B598" t="str">
            <v>Nursing Assistants</v>
          </cell>
          <cell r="C598">
            <v>-0.90402119999999997</v>
          </cell>
          <cell r="D598">
            <v>50990</v>
          </cell>
          <cell r="E598" t="e">
            <v>#N/A</v>
          </cell>
          <cell r="G598" t="e">
            <v>#N/A</v>
          </cell>
        </row>
        <row r="599">
          <cell r="A599" t="str">
            <v>39-5093</v>
          </cell>
          <cell r="B599" t="str">
            <v>Shampooers</v>
          </cell>
          <cell r="C599">
            <v>-0.90537100000000004</v>
          </cell>
          <cell r="D599">
            <v>60690</v>
          </cell>
          <cell r="E599" t="e">
            <v>#N/A</v>
          </cell>
          <cell r="G599">
            <v>8890</v>
          </cell>
        </row>
        <row r="600">
          <cell r="A600" t="str">
            <v>51-5113</v>
          </cell>
          <cell r="B600" t="str">
            <v>Print Binding and Finishing Workers</v>
          </cell>
          <cell r="C600">
            <v>-0.90620889999999998</v>
          </cell>
          <cell r="D600">
            <v>57440</v>
          </cell>
          <cell r="E600" t="e">
            <v>#N/A</v>
          </cell>
          <cell r="G600">
            <v>36470</v>
          </cell>
        </row>
        <row r="601">
          <cell r="A601" t="str">
            <v>39-2011</v>
          </cell>
          <cell r="B601" t="str">
            <v>Animal Trainers</v>
          </cell>
          <cell r="C601">
            <v>-0.91677589999999998</v>
          </cell>
          <cell r="D601">
            <v>87980</v>
          </cell>
          <cell r="E601" t="e">
            <v>#N/A</v>
          </cell>
          <cell r="G601">
            <v>20110</v>
          </cell>
        </row>
        <row r="602">
          <cell r="A602" t="str">
            <v>49-3091</v>
          </cell>
          <cell r="B602" t="str">
            <v>Bicycle Repairers</v>
          </cell>
          <cell r="C602">
            <v>-0.92260679999999995</v>
          </cell>
          <cell r="D602">
            <v>41600</v>
          </cell>
          <cell r="E602" t="e">
            <v>#N/A</v>
          </cell>
          <cell r="G602">
            <v>12590</v>
          </cell>
        </row>
        <row r="603">
          <cell r="A603" t="str">
            <v>49-3092</v>
          </cell>
          <cell r="B603" t="str">
            <v>Recreational Vehicle Service Technicians</v>
          </cell>
          <cell r="C603">
            <v>-0.92440520000000004</v>
          </cell>
          <cell r="D603" t="e">
            <v>#N/A</v>
          </cell>
          <cell r="E603" t="e">
            <v>#N/A</v>
          </cell>
          <cell r="G603">
            <v>18710</v>
          </cell>
        </row>
        <row r="604">
          <cell r="A604" t="str">
            <v>27-1012</v>
          </cell>
          <cell r="B604" t="str">
            <v>Craft Artists</v>
          </cell>
          <cell r="C604">
            <v>-0.92952840000000003</v>
          </cell>
          <cell r="D604">
            <v>58570</v>
          </cell>
          <cell r="E604" t="e">
            <v>#N/A</v>
          </cell>
          <cell r="G604">
            <v>4370</v>
          </cell>
        </row>
        <row r="605">
          <cell r="A605" t="str">
            <v>51-9012</v>
          </cell>
          <cell r="B605" t="str">
            <v>Separating, Filtering, Clarifying, Precipitating, and Still Machine Setters, Operators, and Tenders</v>
          </cell>
          <cell r="C605">
            <v>-0.93791409999999997</v>
          </cell>
          <cell r="D605">
            <v>36020</v>
          </cell>
          <cell r="E605" t="e">
            <v>#N/A</v>
          </cell>
          <cell r="G605">
            <v>54200</v>
          </cell>
        </row>
        <row r="606">
          <cell r="A606" t="str">
            <v>47-2231</v>
          </cell>
          <cell r="B606" t="str">
            <v>Solar Photovoltaic Installers</v>
          </cell>
          <cell r="C606">
            <v>-0.94416920000000004</v>
          </cell>
          <cell r="D606">
            <v>46060</v>
          </cell>
          <cell r="E606" t="e">
            <v>#N/A</v>
          </cell>
          <cell r="G606">
            <v>28280</v>
          </cell>
        </row>
        <row r="607">
          <cell r="A607" t="str">
            <v>51-9031</v>
          </cell>
          <cell r="B607" t="str">
            <v>Cutters and Trimmers, Hand</v>
          </cell>
          <cell r="C607">
            <v>-0.94798389999999999</v>
          </cell>
          <cell r="D607">
            <v>54340</v>
          </cell>
          <cell r="E607" t="e">
            <v>#N/A</v>
          </cell>
          <cell r="G607">
            <v>7070</v>
          </cell>
        </row>
        <row r="608">
          <cell r="A608" t="str">
            <v>35-3031</v>
          </cell>
          <cell r="B608" t="str">
            <v>Waiters and Waitresses</v>
          </cell>
          <cell r="C608">
            <v>-0.94810030000000001</v>
          </cell>
          <cell r="D608" t="e">
            <v>#N/A</v>
          </cell>
          <cell r="E608">
            <v>2270910</v>
          </cell>
          <cell r="G608">
            <v>2302690</v>
          </cell>
        </row>
        <row r="609">
          <cell r="A609" t="str">
            <v>49-3023</v>
          </cell>
          <cell r="B609" t="str">
            <v>Automotive Service Technicians and Mechanics</v>
          </cell>
          <cell r="C609">
            <v>-0.95470549999999998</v>
          </cell>
          <cell r="D609">
            <v>58710</v>
          </cell>
          <cell r="E609">
            <v>704640</v>
          </cell>
          <cell r="G609">
            <v>688840</v>
          </cell>
        </row>
        <row r="610">
          <cell r="A610" t="str">
            <v>51-2031</v>
          </cell>
          <cell r="B610" t="str">
            <v>Engine and Other Machine Assemblers</v>
          </cell>
          <cell r="C610">
            <v>-0.95614529999999998</v>
          </cell>
          <cell r="D610">
            <v>48940</v>
          </cell>
          <cell r="E610" t="e">
            <v>#N/A</v>
          </cell>
          <cell r="G610">
            <v>38420</v>
          </cell>
        </row>
        <row r="611">
          <cell r="A611" t="str">
            <v>51-9051</v>
          </cell>
          <cell r="B611" t="str">
            <v>Furnace, Kiln, Oven, Drier, and Kettle Operators and Tenders</v>
          </cell>
          <cell r="C611">
            <v>-0.95823460000000005</v>
          </cell>
          <cell r="D611">
            <v>46190</v>
          </cell>
          <cell r="E611" t="e">
            <v>#N/A</v>
          </cell>
          <cell r="G611">
            <v>16160</v>
          </cell>
        </row>
        <row r="612">
          <cell r="A612" t="str">
            <v>43-5021</v>
          </cell>
          <cell r="B612" t="str">
            <v>Couriers and Messengers</v>
          </cell>
          <cell r="C612">
            <v>-0.95911259999999998</v>
          </cell>
          <cell r="D612">
            <v>57050</v>
          </cell>
          <cell r="E612">
            <v>68640</v>
          </cell>
          <cell r="G612">
            <v>71920</v>
          </cell>
        </row>
        <row r="613">
          <cell r="A613" t="str">
            <v>51-9193</v>
          </cell>
          <cell r="B613" t="str">
            <v>Cooling and Freezing Equipment Operators and Tenders</v>
          </cell>
          <cell r="C613">
            <v>-0.96049519999999999</v>
          </cell>
          <cell r="D613">
            <v>57950</v>
          </cell>
          <cell r="E613" t="e">
            <v>#N/A</v>
          </cell>
          <cell r="G613">
            <v>6590</v>
          </cell>
        </row>
        <row r="614">
          <cell r="A614" t="str">
            <v>51-6031</v>
          </cell>
          <cell r="B614" t="str">
            <v>Sewing Machine Operators</v>
          </cell>
          <cell r="C614">
            <v>-0.96396610000000005</v>
          </cell>
          <cell r="D614">
            <v>63380</v>
          </cell>
          <cell r="E614">
            <v>104880</v>
          </cell>
          <cell r="G614">
            <v>109590</v>
          </cell>
        </row>
        <row r="615">
          <cell r="A615" t="str">
            <v>49-9031</v>
          </cell>
          <cell r="B615" t="str">
            <v>Home Appliance Repairers</v>
          </cell>
          <cell r="C615">
            <v>-0.97037989999999996</v>
          </cell>
          <cell r="D615">
            <v>50540</v>
          </cell>
          <cell r="E615" t="e">
            <v>#N/A</v>
          </cell>
          <cell r="G615">
            <v>31940</v>
          </cell>
        </row>
        <row r="616">
          <cell r="A616" t="str">
            <v>51-9123</v>
          </cell>
          <cell r="B616" t="str">
            <v>Painting, Coating, and Decorating Workers</v>
          </cell>
          <cell r="C616">
            <v>-0.9705587</v>
          </cell>
          <cell r="D616">
            <v>58070</v>
          </cell>
          <cell r="E616" t="e">
            <v>#N/A</v>
          </cell>
          <cell r="G616">
            <v>8470</v>
          </cell>
        </row>
        <row r="617">
          <cell r="A617" t="str">
            <v>51-3021</v>
          </cell>
          <cell r="B617" t="str">
            <v>Butchers and Meat Cutters</v>
          </cell>
          <cell r="C617">
            <v>-0.97099239999999998</v>
          </cell>
          <cell r="D617">
            <v>66370</v>
          </cell>
          <cell r="E617">
            <v>136430</v>
          </cell>
          <cell r="G617">
            <v>140040</v>
          </cell>
        </row>
        <row r="618">
          <cell r="A618" t="str">
            <v>49-9081</v>
          </cell>
          <cell r="B618" t="str">
            <v>Wind Turbine Service Technicians</v>
          </cell>
          <cell r="C618">
            <v>-0.97099349999999995</v>
          </cell>
          <cell r="D618">
            <v>49410</v>
          </cell>
          <cell r="E618" t="e">
            <v>#N/A</v>
          </cell>
          <cell r="G618">
            <v>11220</v>
          </cell>
        </row>
        <row r="619">
          <cell r="A619" t="str">
            <v>47-5013</v>
          </cell>
          <cell r="B619" t="str">
            <v>Service Unit Operators, Oil, Gas, and Mining</v>
          </cell>
          <cell r="C619">
            <v>-0.971916</v>
          </cell>
          <cell r="D619">
            <v>53990</v>
          </cell>
          <cell r="E619" t="e">
            <v>#N/A</v>
          </cell>
          <cell r="G619">
            <v>44120</v>
          </cell>
        </row>
        <row r="620">
          <cell r="A620" t="str">
            <v>43-5041</v>
          </cell>
          <cell r="B620" t="str">
            <v>Meter Readers, Utilities</v>
          </cell>
          <cell r="C620">
            <v>-0.97237720000000005</v>
          </cell>
          <cell r="D620">
            <v>39020</v>
          </cell>
          <cell r="E620" t="e">
            <v>#N/A</v>
          </cell>
          <cell r="G620">
            <v>19620</v>
          </cell>
        </row>
        <row r="621">
          <cell r="A621" t="str">
            <v>49-9043</v>
          </cell>
          <cell r="B621" t="str">
            <v>Maintenance Workers, Machinery</v>
          </cell>
          <cell r="C621">
            <v>-0.9735492</v>
          </cell>
          <cell r="D621">
            <v>49500</v>
          </cell>
          <cell r="E621">
            <v>60020</v>
          </cell>
          <cell r="G621">
            <v>56540</v>
          </cell>
        </row>
        <row r="622">
          <cell r="A622" t="str">
            <v>53-7041</v>
          </cell>
          <cell r="B622" t="str">
            <v>Hoist and Winch Operators</v>
          </cell>
          <cell r="C622">
            <v>-0.97819970000000001</v>
          </cell>
          <cell r="D622">
            <v>62360</v>
          </cell>
          <cell r="E622" t="e">
            <v>#N/A</v>
          </cell>
          <cell r="G622">
            <v>2480</v>
          </cell>
        </row>
        <row r="623">
          <cell r="A623" t="str">
            <v>51-9111</v>
          </cell>
          <cell r="B623" t="str">
            <v>Packaging and Filling Machine Operators and Tenders</v>
          </cell>
          <cell r="C623">
            <v>-0.97860800000000003</v>
          </cell>
          <cell r="D623">
            <v>35430</v>
          </cell>
          <cell r="E623">
            <v>379060</v>
          </cell>
          <cell r="G623">
            <v>383860</v>
          </cell>
        </row>
        <row r="624">
          <cell r="A624" t="str">
            <v>47-4091</v>
          </cell>
          <cell r="B624" t="str">
            <v>Segmental Pavers</v>
          </cell>
          <cell r="C624">
            <v>-0.9827304</v>
          </cell>
          <cell r="D624">
            <v>44530</v>
          </cell>
          <cell r="E624" t="e">
            <v>#N/A</v>
          </cell>
          <cell r="G624" t="e">
            <v>#N/A</v>
          </cell>
        </row>
        <row r="625">
          <cell r="A625" t="str">
            <v>51-4033</v>
          </cell>
          <cell r="B625" t="str">
            <v>Grinding, Lapping, Polishing, and Buffing Machine Tool Setters, Operators, and Tenders, Metal and Plastic</v>
          </cell>
          <cell r="C625">
            <v>-0.9901662</v>
          </cell>
          <cell r="D625">
            <v>92560</v>
          </cell>
          <cell r="E625">
            <v>67000</v>
          </cell>
          <cell r="G625">
            <v>70110</v>
          </cell>
        </row>
        <row r="626">
          <cell r="A626" t="str">
            <v>51-6041</v>
          </cell>
          <cell r="B626" t="str">
            <v>Shoe and Leather Workers and Repairers</v>
          </cell>
          <cell r="C626">
            <v>-0.99091200000000002</v>
          </cell>
          <cell r="D626">
            <v>55770</v>
          </cell>
          <cell r="E626" t="e">
            <v>#N/A</v>
          </cell>
          <cell r="G626">
            <v>7640</v>
          </cell>
        </row>
        <row r="627">
          <cell r="A627" t="str">
            <v>27-1026</v>
          </cell>
          <cell r="B627" t="str">
            <v>Merchandise Displayers and Window Trimmers</v>
          </cell>
          <cell r="C627">
            <v>-1.0014130000000001</v>
          </cell>
          <cell r="D627">
            <v>108390</v>
          </cell>
          <cell r="E627">
            <v>165220</v>
          </cell>
          <cell r="G627">
            <v>192480</v>
          </cell>
        </row>
        <row r="628">
          <cell r="A628" t="str">
            <v>51-4122</v>
          </cell>
          <cell r="B628" t="str">
            <v>Welding, Soldering, and Brazing Machine Setters, Operators, and Tenders</v>
          </cell>
          <cell r="C628">
            <v>-1.0024109999999999</v>
          </cell>
          <cell r="D628">
            <v>40440</v>
          </cell>
          <cell r="E628" t="e">
            <v>#N/A</v>
          </cell>
          <cell r="G628">
            <v>36290</v>
          </cell>
        </row>
        <row r="629">
          <cell r="A629" t="str">
            <v>45-4022</v>
          </cell>
          <cell r="B629" t="str">
            <v>Logging Equipment Operators</v>
          </cell>
          <cell r="C629">
            <v>-1.0037020000000001</v>
          </cell>
          <cell r="D629" t="e">
            <v>#N/A</v>
          </cell>
          <cell r="E629" t="e">
            <v>#N/A</v>
          </cell>
          <cell r="G629">
            <v>22520</v>
          </cell>
        </row>
        <row r="630">
          <cell r="A630" t="str">
            <v>51-4052</v>
          </cell>
          <cell r="B630" t="str">
            <v>Pourers and Casters, Metal</v>
          </cell>
          <cell r="C630">
            <v>-1.0091399999999999</v>
          </cell>
          <cell r="D630">
            <v>73340</v>
          </cell>
          <cell r="E630" t="e">
            <v>#N/A</v>
          </cell>
          <cell r="G630">
            <v>5830</v>
          </cell>
        </row>
        <row r="631">
          <cell r="A631" t="str">
            <v>49-3031</v>
          </cell>
          <cell r="B631" t="str">
            <v>Bus and Truck Mechanics and Diesel Engine Specialists</v>
          </cell>
          <cell r="C631">
            <v>-1.010472</v>
          </cell>
          <cell r="D631">
            <v>34520</v>
          </cell>
          <cell r="E631">
            <v>289960</v>
          </cell>
          <cell r="G631">
            <v>287230</v>
          </cell>
        </row>
        <row r="632">
          <cell r="A632" t="str">
            <v>49-9071</v>
          </cell>
          <cell r="B632" t="str">
            <v>Maintenance and Repair Workers, General</v>
          </cell>
          <cell r="C632">
            <v>-1.014408</v>
          </cell>
          <cell r="D632">
            <v>36000</v>
          </cell>
          <cell r="E632">
            <v>1529700</v>
          </cell>
          <cell r="G632">
            <v>1531700</v>
          </cell>
        </row>
        <row r="633">
          <cell r="A633" t="str">
            <v>53-7031</v>
          </cell>
          <cell r="B633" t="str">
            <v>Dredge Operators</v>
          </cell>
          <cell r="C633">
            <v>-1.016648</v>
          </cell>
          <cell r="D633">
            <v>54660</v>
          </cell>
          <cell r="E633" t="e">
            <v>#N/A</v>
          </cell>
          <cell r="G633">
            <v>1030</v>
          </cell>
        </row>
        <row r="634">
          <cell r="A634" t="str">
            <v>51-6062</v>
          </cell>
          <cell r="B634" t="str">
            <v>Textile Cutting Machine Setters, Operators, and Tenders</v>
          </cell>
          <cell r="C634">
            <v>-1.0229490000000001</v>
          </cell>
          <cell r="D634">
            <v>51650</v>
          </cell>
          <cell r="E634" t="e">
            <v>#N/A</v>
          </cell>
          <cell r="G634">
            <v>8960</v>
          </cell>
        </row>
        <row r="635">
          <cell r="A635" t="str">
            <v>51-6042</v>
          </cell>
          <cell r="B635" t="str">
            <v>Shoe Machine Operators and Tenders</v>
          </cell>
          <cell r="C635">
            <v>-1.029855</v>
          </cell>
          <cell r="D635">
            <v>63980</v>
          </cell>
          <cell r="E635" t="e">
            <v>#N/A</v>
          </cell>
          <cell r="G635">
            <v>3270</v>
          </cell>
        </row>
        <row r="636">
          <cell r="A636" t="str">
            <v>53-7021</v>
          </cell>
          <cell r="B636" t="str">
            <v>Crane and Tower Operators</v>
          </cell>
          <cell r="C636">
            <v>-1.030619</v>
          </cell>
          <cell r="D636">
            <v>57260</v>
          </cell>
          <cell r="E636" t="e">
            <v>#N/A</v>
          </cell>
          <cell r="G636">
            <v>42000</v>
          </cell>
        </row>
        <row r="637">
          <cell r="A637" t="str">
            <v>51-4031</v>
          </cell>
          <cell r="B637" t="str">
            <v>Cutting, Punching, and Press Machine Setters, Operators, and Tenders, Metal and Plastic</v>
          </cell>
          <cell r="C637">
            <v>-1.0365690000000001</v>
          </cell>
          <cell r="D637">
            <v>49900</v>
          </cell>
          <cell r="E637">
            <v>171200</v>
          </cell>
          <cell r="G637">
            <v>174430</v>
          </cell>
        </row>
        <row r="638">
          <cell r="A638" t="str">
            <v>53-7063</v>
          </cell>
          <cell r="B638" t="str">
            <v>Machine Feeders and Offbearers</v>
          </cell>
          <cell r="C638">
            <v>-1.0374129999999999</v>
          </cell>
          <cell r="D638">
            <v>46940</v>
          </cell>
          <cell r="E638" t="e">
            <v>#N/A</v>
          </cell>
          <cell r="G638">
            <v>46690</v>
          </cell>
        </row>
        <row r="639">
          <cell r="A639" t="str">
            <v>51-9041</v>
          </cell>
          <cell r="B639" t="str">
            <v>Extruding, Forming, Pressing, and Compacting Machine Setters, Operators, and Tenders</v>
          </cell>
          <cell r="C639">
            <v>-1.042151</v>
          </cell>
          <cell r="D639">
            <v>45210</v>
          </cell>
          <cell r="E639" t="e">
            <v>#N/A</v>
          </cell>
          <cell r="G639">
            <v>57310</v>
          </cell>
        </row>
        <row r="640">
          <cell r="A640" t="str">
            <v>51-9021</v>
          </cell>
          <cell r="B640" t="str">
            <v>Crushing, Grinding, and Polishing Machine Setters, Operators, and Tenders</v>
          </cell>
          <cell r="C640">
            <v>-1.0434760000000001</v>
          </cell>
          <cell r="D640">
            <v>49070</v>
          </cell>
          <cell r="E640" t="e">
            <v>#N/A</v>
          </cell>
          <cell r="G640">
            <v>28550</v>
          </cell>
        </row>
        <row r="641">
          <cell r="A641" t="str">
            <v>45-2021</v>
          </cell>
          <cell r="B641" t="str">
            <v>Animal Breeders</v>
          </cell>
          <cell r="C641">
            <v>-1.044292</v>
          </cell>
          <cell r="D641">
            <v>38420</v>
          </cell>
          <cell r="E641" t="e">
            <v>#N/A</v>
          </cell>
          <cell r="G641">
            <v>1730</v>
          </cell>
        </row>
        <row r="642">
          <cell r="A642" t="str">
            <v>51-6011</v>
          </cell>
          <cell r="B642" t="str">
            <v>Laundry and Dry-Cleaning Workers</v>
          </cell>
          <cell r="C642">
            <v>-1.0543990000000001</v>
          </cell>
          <cell r="D642">
            <v>49610</v>
          </cell>
          <cell r="E642">
            <v>198040</v>
          </cell>
          <cell r="G642">
            <v>195360</v>
          </cell>
        </row>
        <row r="643">
          <cell r="A643" t="str">
            <v>51-7032</v>
          </cell>
          <cell r="B643" t="str">
            <v>Patternmakers, Wood</v>
          </cell>
          <cell r="C643">
            <v>-1.0578970000000001</v>
          </cell>
          <cell r="D643" t="e">
            <v>#N/A</v>
          </cell>
          <cell r="E643" t="e">
            <v>#N/A</v>
          </cell>
          <cell r="G643">
            <v>180</v>
          </cell>
        </row>
        <row r="644">
          <cell r="A644" t="str">
            <v>45-4011</v>
          </cell>
          <cell r="B644" t="str">
            <v>Forest and Conservation Workers</v>
          </cell>
          <cell r="C644">
            <v>-1.0642050000000001</v>
          </cell>
          <cell r="D644" t="e">
            <v>#N/A</v>
          </cell>
          <cell r="E644" t="e">
            <v>#N/A</v>
          </cell>
          <cell r="G644">
            <v>5630</v>
          </cell>
        </row>
        <row r="645">
          <cell r="A645" t="str">
            <v>43-5052</v>
          </cell>
          <cell r="B645" t="str">
            <v>Postal Service Mail Carriers</v>
          </cell>
          <cell r="C645">
            <v>-1.0647150000000001</v>
          </cell>
          <cell r="D645">
            <v>30490</v>
          </cell>
          <cell r="E645">
            <v>328820</v>
          </cell>
          <cell r="G645">
            <v>336040</v>
          </cell>
        </row>
        <row r="646">
          <cell r="A646" t="str">
            <v>51-4034</v>
          </cell>
          <cell r="B646" t="str">
            <v>Lathe and Turning Machine Tool Setters, Operators, and Tenders, Metal and Plastic</v>
          </cell>
          <cell r="C646">
            <v>-1.06734</v>
          </cell>
          <cell r="D646">
            <v>70500</v>
          </cell>
          <cell r="E646" t="e">
            <v>#N/A</v>
          </cell>
          <cell r="G646">
            <v>18970</v>
          </cell>
        </row>
        <row r="647">
          <cell r="A647" t="str">
            <v>51-2041</v>
          </cell>
          <cell r="B647" t="str">
            <v>Structural Metal Fabricators and Fitters</v>
          </cell>
          <cell r="C647">
            <v>-1.0763069999999999</v>
          </cell>
          <cell r="D647">
            <v>60640</v>
          </cell>
          <cell r="E647" t="e">
            <v>#N/A</v>
          </cell>
          <cell r="G647">
            <v>53380</v>
          </cell>
        </row>
        <row r="648">
          <cell r="A648" t="str">
            <v>51-9032</v>
          </cell>
          <cell r="B648" t="str">
            <v>Cutting and Slicing Machine Setters, Operators, and Tenders</v>
          </cell>
          <cell r="C648">
            <v>-1.0792820000000001</v>
          </cell>
          <cell r="D648" t="e">
            <v>#N/A</v>
          </cell>
          <cell r="E648" t="e">
            <v>#N/A</v>
          </cell>
          <cell r="G648">
            <v>47540</v>
          </cell>
        </row>
        <row r="649">
          <cell r="A649" t="str">
            <v>49-9051</v>
          </cell>
          <cell r="B649" t="str">
            <v>Electrical Power-Line Installers and Repairers</v>
          </cell>
          <cell r="C649">
            <v>-1.0813980000000001</v>
          </cell>
          <cell r="D649">
            <v>33760</v>
          </cell>
          <cell r="E649">
            <v>131070</v>
          </cell>
          <cell r="G649">
            <v>123680</v>
          </cell>
        </row>
        <row r="650">
          <cell r="A650" t="str">
            <v>49-9052</v>
          </cell>
          <cell r="B650" t="str">
            <v>Telecommunications Line Installers and Repairers</v>
          </cell>
          <cell r="C650">
            <v>-1.0838829999999999</v>
          </cell>
          <cell r="D650">
            <v>49670</v>
          </cell>
          <cell r="E650">
            <v>97720</v>
          </cell>
          <cell r="G650">
            <v>98360</v>
          </cell>
        </row>
        <row r="651">
          <cell r="A651" t="str">
            <v>51-4023</v>
          </cell>
          <cell r="B651" t="str">
            <v>Rolling Machine Setters, Operators, and Tenders, Metal and Plastic</v>
          </cell>
          <cell r="C651">
            <v>-1.08921</v>
          </cell>
          <cell r="D651">
            <v>48620</v>
          </cell>
          <cell r="E651" t="e">
            <v>#N/A</v>
          </cell>
          <cell r="G651">
            <v>22350</v>
          </cell>
        </row>
        <row r="652">
          <cell r="A652" t="str">
            <v>53-7073</v>
          </cell>
          <cell r="B652" t="str">
            <v>Wellhead Pumpers</v>
          </cell>
          <cell r="C652">
            <v>-1.091197</v>
          </cell>
          <cell r="D652">
            <v>59280</v>
          </cell>
          <cell r="E652" t="e">
            <v>#N/A</v>
          </cell>
          <cell r="G652">
            <v>17350</v>
          </cell>
        </row>
        <row r="653">
          <cell r="A653" t="str">
            <v>51-4191</v>
          </cell>
          <cell r="B653" t="str">
            <v>Heat Treating Equipment Setters, Operators, and Tenders, Metal and Plastic</v>
          </cell>
          <cell r="C653">
            <v>-1.0924860000000001</v>
          </cell>
          <cell r="D653">
            <v>63760</v>
          </cell>
          <cell r="E653" t="e">
            <v>#N/A</v>
          </cell>
          <cell r="G653">
            <v>14590</v>
          </cell>
        </row>
        <row r="654">
          <cell r="A654" t="str">
            <v>47-2011</v>
          </cell>
          <cell r="B654" t="str">
            <v>Boilermakers</v>
          </cell>
          <cell r="C654">
            <v>-1.097532</v>
          </cell>
          <cell r="D654">
            <v>51180</v>
          </cell>
          <cell r="E654" t="e">
            <v>#N/A</v>
          </cell>
          <cell r="G654">
            <v>10170</v>
          </cell>
        </row>
        <row r="655">
          <cell r="A655" t="str">
            <v>49-9092</v>
          </cell>
          <cell r="B655" t="str">
            <v>Commercial Divers</v>
          </cell>
          <cell r="C655">
            <v>-1.1027279999999999</v>
          </cell>
          <cell r="D655">
            <v>38960</v>
          </cell>
          <cell r="E655" t="e">
            <v>#N/A</v>
          </cell>
          <cell r="G655">
            <v>3430</v>
          </cell>
        </row>
        <row r="656">
          <cell r="A656" t="str">
            <v>51-3022</v>
          </cell>
          <cell r="B656" t="str">
            <v>Meat, Poultry, and Fish Cutters and Trimmers</v>
          </cell>
          <cell r="C656">
            <v>-1.1056299999999999</v>
          </cell>
          <cell r="D656">
            <v>45590</v>
          </cell>
          <cell r="E656">
            <v>145700</v>
          </cell>
          <cell r="G656">
            <v>141090</v>
          </cell>
        </row>
        <row r="657">
          <cell r="A657" t="str">
            <v>45-2093</v>
          </cell>
          <cell r="B657" t="str">
            <v>Farmworkers, Farm and Ranch Animals</v>
          </cell>
          <cell r="C657">
            <v>-1.1084320000000001</v>
          </cell>
          <cell r="D657">
            <v>84830</v>
          </cell>
          <cell r="E657" t="e">
            <v>#N/A</v>
          </cell>
          <cell r="G657">
            <v>35420</v>
          </cell>
        </row>
        <row r="658">
          <cell r="A658" t="str">
            <v>53-3033</v>
          </cell>
          <cell r="B658" t="str">
            <v>Truck Drivers, Light or Delivery Services</v>
          </cell>
          <cell r="C658">
            <v>-1.120501</v>
          </cell>
          <cell r="D658">
            <v>55580</v>
          </cell>
          <cell r="E658">
            <v>983300</v>
          </cell>
          <cell r="G658">
            <v>994410</v>
          </cell>
        </row>
        <row r="659">
          <cell r="A659" t="str">
            <v>47-2152</v>
          </cell>
          <cell r="B659" t="str">
            <v>Plumbers, Pipefitters, and Steamfitters</v>
          </cell>
          <cell r="C659">
            <v>-1.121219</v>
          </cell>
          <cell r="D659">
            <v>37130</v>
          </cell>
          <cell r="E659">
            <v>465840</v>
          </cell>
          <cell r="G659">
            <v>455940</v>
          </cell>
        </row>
        <row r="660">
          <cell r="A660" t="str">
            <v>51-9121</v>
          </cell>
          <cell r="B660" t="str">
            <v>Coating, Painting, and Spraying Machine Setters, Operators, and Tenders</v>
          </cell>
          <cell r="C660">
            <v>-1.1213310000000001</v>
          </cell>
          <cell r="D660" t="e">
            <v>#N/A</v>
          </cell>
          <cell r="E660" t="e">
            <v>#N/A</v>
          </cell>
          <cell r="G660" t="e">
            <v>#N/A</v>
          </cell>
        </row>
        <row r="661">
          <cell r="A661" t="str">
            <v>41-9012</v>
          </cell>
          <cell r="B661" t="str">
            <v>Models</v>
          </cell>
          <cell r="C661">
            <v>-1.1220209999999999</v>
          </cell>
          <cell r="D661">
            <v>101020</v>
          </cell>
          <cell r="E661" t="e">
            <v>#N/A</v>
          </cell>
          <cell r="G661">
            <v>5350</v>
          </cell>
        </row>
        <row r="662">
          <cell r="A662" t="str">
            <v>51-7042</v>
          </cell>
          <cell r="B662" t="str">
            <v>Woodworking Machine Setters, Operators, and Tenders, Except Sawing</v>
          </cell>
          <cell r="C662">
            <v>-1.1303570000000001</v>
          </cell>
          <cell r="D662">
            <v>34850</v>
          </cell>
          <cell r="E662" t="e">
            <v>#N/A</v>
          </cell>
          <cell r="G662">
            <v>63350</v>
          </cell>
        </row>
        <row r="663">
          <cell r="A663" t="str">
            <v>49-9041</v>
          </cell>
          <cell r="B663" t="str">
            <v>Industrial Machinery Mechanics</v>
          </cell>
          <cell r="C663">
            <v>-1.1331770000000001</v>
          </cell>
          <cell r="D663">
            <v>38480</v>
          </cell>
          <cell r="E663">
            <v>439640</v>
          </cell>
          <cell r="G663">
            <v>421940</v>
          </cell>
        </row>
        <row r="664">
          <cell r="A664" t="str">
            <v>51-9192</v>
          </cell>
          <cell r="B664" t="str">
            <v>Cleaning, Washing, and Metal Pickling Equipment Operators and Tenders</v>
          </cell>
          <cell r="C664">
            <v>-1.141885</v>
          </cell>
          <cell r="D664">
            <v>67370</v>
          </cell>
          <cell r="E664" t="e">
            <v>#N/A</v>
          </cell>
          <cell r="G664">
            <v>13890</v>
          </cell>
        </row>
        <row r="665">
          <cell r="A665" t="str">
            <v>53-7032</v>
          </cell>
          <cell r="B665" t="str">
            <v>Excavating and Loading Machine and Dragline Operators</v>
          </cell>
          <cell r="C665">
            <v>-1.1443559999999999</v>
          </cell>
          <cell r="D665">
            <v>62700</v>
          </cell>
          <cell r="E665" t="e">
            <v>#N/A</v>
          </cell>
          <cell r="G665" t="e">
            <v>#N/A</v>
          </cell>
        </row>
        <row r="666">
          <cell r="A666" t="str">
            <v>45-2091</v>
          </cell>
          <cell r="B666" t="str">
            <v>Agricultural Equipment Operators</v>
          </cell>
          <cell r="C666">
            <v>-1.1451560000000001</v>
          </cell>
          <cell r="D666" t="e">
            <v>#N/A</v>
          </cell>
          <cell r="E666" t="e">
            <v>#N/A</v>
          </cell>
          <cell r="G666">
            <v>30940</v>
          </cell>
        </row>
        <row r="667">
          <cell r="A667" t="str">
            <v>51-4072</v>
          </cell>
          <cell r="B667" t="str">
            <v>Molding, Coremaking, and Casting Machine Setters, Operators, and Tenders, Metal and Plastic</v>
          </cell>
          <cell r="C667">
            <v>-1.146139</v>
          </cell>
          <cell r="D667">
            <v>44140</v>
          </cell>
          <cell r="E667">
            <v>150470</v>
          </cell>
          <cell r="G667">
            <v>154820</v>
          </cell>
        </row>
        <row r="668">
          <cell r="A668" t="str">
            <v>51-9022</v>
          </cell>
          <cell r="B668" t="str">
            <v>Grinding and Polishing Workers, Hand</v>
          </cell>
          <cell r="C668">
            <v>-1.1465240000000001</v>
          </cell>
          <cell r="D668">
            <v>48350</v>
          </cell>
          <cell r="E668" t="e">
            <v>#N/A</v>
          </cell>
          <cell r="G668">
            <v>11850</v>
          </cell>
        </row>
        <row r="669">
          <cell r="A669" t="str">
            <v>53-3032</v>
          </cell>
          <cell r="B669" t="str">
            <v>Truck Drivers, Heavy and Tractor-Trailer</v>
          </cell>
          <cell r="C669">
            <v>-1.149057</v>
          </cell>
          <cell r="D669">
            <v>35690</v>
          </cell>
          <cell r="E669">
            <v>2062040</v>
          </cell>
          <cell r="G669">
            <v>2070480</v>
          </cell>
        </row>
        <row r="670">
          <cell r="A670" t="str">
            <v>53-5011</v>
          </cell>
          <cell r="B670" t="str">
            <v>Sailors and Marine Oilers</v>
          </cell>
          <cell r="C670">
            <v>-1.1500010000000001</v>
          </cell>
          <cell r="D670">
            <v>38940</v>
          </cell>
          <cell r="E670" t="e">
            <v>#N/A</v>
          </cell>
          <cell r="G670">
            <v>31360</v>
          </cell>
        </row>
        <row r="671">
          <cell r="A671" t="str">
            <v>51-7041</v>
          </cell>
          <cell r="B671" t="str">
            <v>Sawing Machine Setters, Operators, and Tenders, Wood</v>
          </cell>
          <cell r="C671">
            <v>-1.1650309999999999</v>
          </cell>
          <cell r="D671">
            <v>70510</v>
          </cell>
          <cell r="E671" t="e">
            <v>#N/A</v>
          </cell>
          <cell r="G671">
            <v>43140</v>
          </cell>
        </row>
        <row r="672">
          <cell r="A672" t="str">
            <v>47-5041</v>
          </cell>
          <cell r="B672" t="str">
            <v>Continuous Mining Machine Operators</v>
          </cell>
          <cell r="C672">
            <v>-1.165492</v>
          </cell>
          <cell r="D672">
            <v>82320</v>
          </cell>
          <cell r="E672" t="e">
            <v>#N/A</v>
          </cell>
          <cell r="G672">
            <v>14340</v>
          </cell>
        </row>
        <row r="673">
          <cell r="A673" t="str">
            <v>51-4051</v>
          </cell>
          <cell r="B673" t="str">
            <v>Metal-Refining Furnace Operators and Tenders</v>
          </cell>
          <cell r="C673">
            <v>-1.167465</v>
          </cell>
          <cell r="D673">
            <v>47450</v>
          </cell>
          <cell r="E673" t="e">
            <v>#N/A</v>
          </cell>
          <cell r="G673">
            <v>20330</v>
          </cell>
        </row>
        <row r="674">
          <cell r="A674" t="str">
            <v>49-3042</v>
          </cell>
          <cell r="B674" t="str">
            <v>Mobile Heavy Equipment Mechanics, Except Engines</v>
          </cell>
          <cell r="C674">
            <v>-1.169815</v>
          </cell>
          <cell r="D674">
            <v>54950</v>
          </cell>
          <cell r="E674">
            <v>176600</v>
          </cell>
          <cell r="G674">
            <v>180270</v>
          </cell>
        </row>
        <row r="675">
          <cell r="A675" t="str">
            <v>47-2211</v>
          </cell>
          <cell r="B675" t="str">
            <v>Sheet Metal Workers</v>
          </cell>
          <cell r="C675">
            <v>-1.1749719999999999</v>
          </cell>
          <cell r="D675">
            <v>36830</v>
          </cell>
          <cell r="E675">
            <v>119770</v>
          </cell>
          <cell r="G675">
            <v>117470</v>
          </cell>
        </row>
        <row r="676">
          <cell r="A676" t="str">
            <v>49-3021</v>
          </cell>
          <cell r="B676" t="str">
            <v>Automotive Body and Related Repairers</v>
          </cell>
          <cell r="C676">
            <v>-1.1805890000000001</v>
          </cell>
          <cell r="D676">
            <v>49390</v>
          </cell>
          <cell r="E676">
            <v>149310</v>
          </cell>
          <cell r="G676">
            <v>155220</v>
          </cell>
        </row>
        <row r="677">
          <cell r="A677" t="str">
            <v>51-9195</v>
          </cell>
          <cell r="B677" t="str">
            <v>Molders, Shapers, and Casters, Except Metal and Plastic</v>
          </cell>
          <cell r="C677">
            <v>-1.183408</v>
          </cell>
          <cell r="D677">
            <v>41080</v>
          </cell>
          <cell r="E677" t="e">
            <v>#N/A</v>
          </cell>
          <cell r="G677">
            <v>34750</v>
          </cell>
        </row>
        <row r="678">
          <cell r="A678" t="str">
            <v>47-2071</v>
          </cell>
          <cell r="B678" t="str">
            <v>Paving, Surfacing, and Tamping Equipment Operators</v>
          </cell>
          <cell r="C678">
            <v>-1.184739</v>
          </cell>
          <cell r="D678">
            <v>48490</v>
          </cell>
          <cell r="E678">
            <v>41820</v>
          </cell>
          <cell r="G678">
            <v>45680</v>
          </cell>
        </row>
        <row r="679">
          <cell r="A679" t="str">
            <v>43-5053</v>
          </cell>
          <cell r="B679" t="str">
            <v>Postal Service Mail Sorters, Processors, and Processing Machine Operators</v>
          </cell>
          <cell r="C679">
            <v>-1.185001</v>
          </cell>
          <cell r="D679">
            <v>101320</v>
          </cell>
          <cell r="E679">
            <v>105200</v>
          </cell>
          <cell r="G679">
            <v>111930</v>
          </cell>
        </row>
        <row r="680">
          <cell r="A680" t="str">
            <v>51-4121</v>
          </cell>
          <cell r="B680" t="str">
            <v>Welders, Cutters, Solderers, and Brazers</v>
          </cell>
          <cell r="C680">
            <v>-1.1975960000000001</v>
          </cell>
          <cell r="D680">
            <v>89990</v>
          </cell>
          <cell r="E680">
            <v>416210</v>
          </cell>
          <cell r="G680">
            <v>424040</v>
          </cell>
        </row>
        <row r="681">
          <cell r="A681" t="str">
            <v>51-7021</v>
          </cell>
          <cell r="B681" t="str">
            <v>Furniture Finishers</v>
          </cell>
          <cell r="C681">
            <v>-1.197727</v>
          </cell>
          <cell r="D681">
            <v>49140</v>
          </cell>
          <cell r="E681" t="e">
            <v>#N/A</v>
          </cell>
          <cell r="G681">
            <v>14230</v>
          </cell>
        </row>
        <row r="682">
          <cell r="A682" t="str">
            <v>47-5042</v>
          </cell>
          <cell r="B682" t="str">
            <v>Mine Cutting and Channeling Machine Operators</v>
          </cell>
          <cell r="C682">
            <v>-1.2004250000000001</v>
          </cell>
          <cell r="D682">
            <v>47260</v>
          </cell>
          <cell r="E682" t="e">
            <v>#N/A</v>
          </cell>
          <cell r="G682" t="e">
            <v>#N/A</v>
          </cell>
        </row>
        <row r="683">
          <cell r="A683" t="str">
            <v>49-3022</v>
          </cell>
          <cell r="B683" t="str">
            <v>Automotive Glass Installers and Repairers</v>
          </cell>
          <cell r="C683">
            <v>-1.202285</v>
          </cell>
          <cell r="D683">
            <v>48970</v>
          </cell>
          <cell r="E683" t="e">
            <v>#N/A</v>
          </cell>
          <cell r="G683">
            <v>18940</v>
          </cell>
        </row>
        <row r="684">
          <cell r="A684" t="str">
            <v>49-3041</v>
          </cell>
          <cell r="B684" t="str">
            <v>Farm Equipment Mechanics</v>
          </cell>
          <cell r="C684">
            <v>-1.20703</v>
          </cell>
          <cell r="D684">
            <v>45200</v>
          </cell>
          <cell r="E684" t="e">
            <v>#N/A</v>
          </cell>
          <cell r="G684">
            <v>36880</v>
          </cell>
        </row>
        <row r="685">
          <cell r="A685" t="str">
            <v>47-4071</v>
          </cell>
          <cell r="B685" t="str">
            <v>Septic Tank Servicers and Sewer Pipe Cleaners</v>
          </cell>
          <cell r="C685">
            <v>-1.210591</v>
          </cell>
          <cell r="D685">
            <v>62350</v>
          </cell>
          <cell r="E685" t="e">
            <v>#N/A</v>
          </cell>
          <cell r="G685">
            <v>29050</v>
          </cell>
        </row>
        <row r="686">
          <cell r="A686" t="str">
            <v>51-2091</v>
          </cell>
          <cell r="B686" t="str">
            <v>Fiberglass Laminators and Fabricators</v>
          </cell>
          <cell r="C686">
            <v>-1.216496</v>
          </cell>
          <cell r="D686">
            <v>48620</v>
          </cell>
          <cell r="E686" t="e">
            <v>#N/A</v>
          </cell>
          <cell r="G686" t="e">
            <v>#N/A</v>
          </cell>
        </row>
        <row r="687">
          <cell r="A687" t="str">
            <v>53-4021</v>
          </cell>
          <cell r="B687" t="str">
            <v>Railroad Brake, Signal, and Switch Operators</v>
          </cell>
          <cell r="C687">
            <v>-1.2176469999999999</v>
          </cell>
          <cell r="D687">
            <v>58140</v>
          </cell>
          <cell r="E687" t="e">
            <v>#N/A</v>
          </cell>
          <cell r="G687" t="e">
            <v>#N/A</v>
          </cell>
        </row>
        <row r="688">
          <cell r="A688" t="str">
            <v>47-2072</v>
          </cell>
          <cell r="B688" t="str">
            <v>Pile-Driver Operators</v>
          </cell>
          <cell r="C688">
            <v>-1.2200089999999999</v>
          </cell>
          <cell r="D688">
            <v>71510</v>
          </cell>
          <cell r="E688" t="e">
            <v>#N/A</v>
          </cell>
          <cell r="G688">
            <v>3040</v>
          </cell>
        </row>
        <row r="689">
          <cell r="A689" t="str">
            <v>53-6031</v>
          </cell>
          <cell r="B689" t="str">
            <v>Service Station Attendants</v>
          </cell>
          <cell r="C689">
            <v>-1.221489</v>
          </cell>
          <cell r="D689">
            <v>49150</v>
          </cell>
          <cell r="E689">
            <v>102010</v>
          </cell>
          <cell r="G689">
            <v>98270</v>
          </cell>
        </row>
        <row r="690">
          <cell r="A690" t="str">
            <v>49-9096</v>
          </cell>
          <cell r="B690" t="str">
            <v>Riggers</v>
          </cell>
          <cell r="C690">
            <v>-1.221519</v>
          </cell>
          <cell r="D690">
            <v>60500</v>
          </cell>
          <cell r="E690" t="e">
            <v>#N/A</v>
          </cell>
          <cell r="G690">
            <v>24190</v>
          </cell>
        </row>
        <row r="691">
          <cell r="A691" t="str">
            <v>47-2044</v>
          </cell>
          <cell r="B691" t="str">
            <v>Tile and Marble Setters</v>
          </cell>
          <cell r="C691">
            <v>-1.22543</v>
          </cell>
          <cell r="D691">
            <v>61710</v>
          </cell>
          <cell r="E691" t="e">
            <v>#N/A</v>
          </cell>
          <cell r="G691">
            <v>38740</v>
          </cell>
        </row>
        <row r="692">
          <cell r="A692" t="str">
            <v>47-2151</v>
          </cell>
          <cell r="B692" t="str">
            <v>Pipelayers</v>
          </cell>
          <cell r="C692">
            <v>-1.225611</v>
          </cell>
          <cell r="D692">
            <v>51850</v>
          </cell>
          <cell r="E692" t="e">
            <v>#N/A</v>
          </cell>
          <cell r="G692">
            <v>33580</v>
          </cell>
        </row>
        <row r="693">
          <cell r="A693" t="str">
            <v>35-2021</v>
          </cell>
          <cell r="B693" t="str">
            <v>Food Preparation Workers</v>
          </cell>
          <cell r="C693">
            <v>-1.226416</v>
          </cell>
          <cell r="D693">
            <v>47460</v>
          </cell>
          <cell r="E693">
            <v>893600</v>
          </cell>
          <cell r="G693">
            <v>888770</v>
          </cell>
        </row>
        <row r="694">
          <cell r="A694" t="str">
            <v>51-4021</v>
          </cell>
          <cell r="B694" t="str">
            <v>Extruding and Drawing Machine Setters, Operators, and Tenders, Metal and Plastic</v>
          </cell>
          <cell r="C694">
            <v>-1.2343519999999999</v>
          </cell>
          <cell r="D694">
            <v>43680</v>
          </cell>
          <cell r="E694">
            <v>60840</v>
          </cell>
          <cell r="G694">
            <v>65700</v>
          </cell>
        </row>
        <row r="695">
          <cell r="A695" t="str">
            <v>49-9045</v>
          </cell>
          <cell r="B695" t="str">
            <v>Refractory Materials Repairers, Except Brickmasons</v>
          </cell>
          <cell r="C695">
            <v>-1.237463</v>
          </cell>
          <cell r="D695">
            <v>38800</v>
          </cell>
          <cell r="E695" t="e">
            <v>#N/A</v>
          </cell>
          <cell r="G695">
            <v>1100</v>
          </cell>
        </row>
        <row r="696">
          <cell r="A696" t="str">
            <v>51-6063</v>
          </cell>
          <cell r="B696" t="str">
            <v>Textile Knitting and Weaving Machine Setters, Operators, and Tenders</v>
          </cell>
          <cell r="C696">
            <v>-1.241662</v>
          </cell>
          <cell r="D696">
            <v>56530</v>
          </cell>
          <cell r="E696" t="e">
            <v>#N/A</v>
          </cell>
          <cell r="G696">
            <v>14530</v>
          </cell>
        </row>
        <row r="697">
          <cell r="A697" t="str">
            <v>53-7033</v>
          </cell>
          <cell r="B697" t="str">
            <v>Loading Machine Operators, Underground Mining</v>
          </cell>
          <cell r="C697">
            <v>-1.262688</v>
          </cell>
          <cell r="D697">
            <v>53900</v>
          </cell>
          <cell r="E697" t="e">
            <v>#N/A</v>
          </cell>
          <cell r="G697" t="e">
            <v>#N/A</v>
          </cell>
        </row>
        <row r="698">
          <cell r="A698" t="str">
            <v>49-9044</v>
          </cell>
          <cell r="B698" t="str">
            <v>Millwrights</v>
          </cell>
          <cell r="C698">
            <v>-1.2660849999999999</v>
          </cell>
          <cell r="D698">
            <v>51860</v>
          </cell>
          <cell r="E698" t="e">
            <v>#N/A</v>
          </cell>
          <cell r="G698">
            <v>40660</v>
          </cell>
        </row>
        <row r="699">
          <cell r="A699" t="str">
            <v>47-2132</v>
          </cell>
          <cell r="B699" t="str">
            <v>Insulation Workers, Mechanical</v>
          </cell>
          <cell r="C699">
            <v>-1.268615</v>
          </cell>
          <cell r="D699">
            <v>47350</v>
          </cell>
          <cell r="E699" t="e">
            <v>#N/A</v>
          </cell>
          <cell r="G699">
            <v>25640</v>
          </cell>
        </row>
        <row r="700">
          <cell r="A700" t="str">
            <v>39-6011</v>
          </cell>
          <cell r="B700" t="str">
            <v>Baggage Porters and Bellhops</v>
          </cell>
          <cell r="C700">
            <v>-1.2720149999999999</v>
          </cell>
          <cell r="D700">
            <v>101990</v>
          </cell>
          <cell r="E700">
            <v>28510</v>
          </cell>
          <cell r="G700">
            <v>31220</v>
          </cell>
        </row>
        <row r="701">
          <cell r="A701" t="str">
            <v>47-4051</v>
          </cell>
          <cell r="B701" t="str">
            <v>Highway Maintenance Workers</v>
          </cell>
          <cell r="C701">
            <v>-1.2790900000000001</v>
          </cell>
          <cell r="D701">
            <v>37320</v>
          </cell>
          <cell r="E701">
            <v>154960</v>
          </cell>
          <cell r="G701">
            <v>151750</v>
          </cell>
        </row>
        <row r="702">
          <cell r="A702" t="str">
            <v>53-7081</v>
          </cell>
          <cell r="B702" t="str">
            <v>Refuse and Recyclable Material Collectors</v>
          </cell>
          <cell r="C702">
            <v>-1.2833730000000001</v>
          </cell>
          <cell r="D702">
            <v>38140</v>
          </cell>
          <cell r="E702">
            <v>147240</v>
          </cell>
          <cell r="G702">
            <v>139180</v>
          </cell>
        </row>
        <row r="703">
          <cell r="A703" t="str">
            <v>51-9199</v>
          </cell>
          <cell r="B703" t="str">
            <v>Production Workers, All Other</v>
          </cell>
          <cell r="C703">
            <v>-1.290964</v>
          </cell>
          <cell r="D703" t="e">
            <v>#N/A</v>
          </cell>
          <cell r="E703">
            <v>251700</v>
          </cell>
          <cell r="G703">
            <v>277060</v>
          </cell>
        </row>
        <row r="704">
          <cell r="A704" t="str">
            <v>47-2042</v>
          </cell>
          <cell r="B704" t="str">
            <v>Floor Layers, Except Carpet, Wood, and Hard Tiles</v>
          </cell>
          <cell r="C704">
            <v>-1.301024</v>
          </cell>
          <cell r="D704" t="e">
            <v>#N/A</v>
          </cell>
          <cell r="E704" t="e">
            <v>#N/A</v>
          </cell>
          <cell r="G704">
            <v>24850</v>
          </cell>
        </row>
        <row r="705">
          <cell r="A705" t="str">
            <v>45-3021</v>
          </cell>
          <cell r="B705" t="str">
            <v>Hunters and Trappers</v>
          </cell>
          <cell r="C705">
            <v>-1.304797</v>
          </cell>
          <cell r="D705">
            <v>47150</v>
          </cell>
          <cell r="E705" t="e">
            <v>#N/A</v>
          </cell>
          <cell r="G705" t="e">
            <v>#N/A</v>
          </cell>
        </row>
        <row r="706">
          <cell r="A706" t="str">
            <v>51-9191</v>
          </cell>
          <cell r="B706" t="str">
            <v>Cementing and Gluing Machine Operators and Tenders</v>
          </cell>
          <cell r="C706">
            <v>-1.311418</v>
          </cell>
          <cell r="D706">
            <v>46390</v>
          </cell>
          <cell r="E706" t="e">
            <v>#N/A</v>
          </cell>
          <cell r="G706">
            <v>12170</v>
          </cell>
        </row>
        <row r="707">
          <cell r="A707" t="str">
            <v>51-6093</v>
          </cell>
          <cell r="B707" t="str">
            <v>Upholsterers</v>
          </cell>
          <cell r="C707">
            <v>-1.3137350000000001</v>
          </cell>
          <cell r="D707">
            <v>47260</v>
          </cell>
          <cell r="E707" t="e">
            <v>#N/A</v>
          </cell>
          <cell r="G707">
            <v>20990</v>
          </cell>
        </row>
        <row r="708">
          <cell r="A708" t="str">
            <v>33-2011</v>
          </cell>
          <cell r="B708" t="str">
            <v>Fire Fighters</v>
          </cell>
          <cell r="C708">
            <v>-1.3202320000000001</v>
          </cell>
          <cell r="D708">
            <v>97020</v>
          </cell>
          <cell r="E708">
            <v>345990</v>
          </cell>
          <cell r="G708">
            <v>332240</v>
          </cell>
        </row>
        <row r="709">
          <cell r="A709" t="str">
            <v>47-2031</v>
          </cell>
          <cell r="B709" t="str">
            <v>Carpenters</v>
          </cell>
          <cell r="C709">
            <v>-1.323631</v>
          </cell>
          <cell r="D709">
            <v>78680</v>
          </cell>
          <cell r="E709">
            <v>670090</v>
          </cell>
          <cell r="G709">
            <v>697740</v>
          </cell>
        </row>
        <row r="710">
          <cell r="A710" t="str">
            <v>51-7011</v>
          </cell>
          <cell r="B710" t="str">
            <v>Cabinetmakers and Bench Carpenters</v>
          </cell>
          <cell r="C710">
            <v>-1.3274889999999999</v>
          </cell>
          <cell r="D710">
            <v>52080</v>
          </cell>
          <cell r="E710">
            <v>77170</v>
          </cell>
          <cell r="G710">
            <v>79540</v>
          </cell>
        </row>
        <row r="711">
          <cell r="A711" t="str">
            <v>49-9098</v>
          </cell>
          <cell r="B711" t="str">
            <v>Helpers--Installation, Maintenance, and Repair Workers</v>
          </cell>
          <cell r="C711">
            <v>-1.3465549999999999</v>
          </cell>
          <cell r="D711">
            <v>40900</v>
          </cell>
          <cell r="E711">
            <v>95580</v>
          </cell>
          <cell r="G711">
            <v>97540</v>
          </cell>
        </row>
        <row r="712">
          <cell r="A712" t="str">
            <v>53-7111</v>
          </cell>
          <cell r="B712" t="str">
            <v>Shuttle Car Operators</v>
          </cell>
          <cell r="C712">
            <v>-1.351998</v>
          </cell>
          <cell r="D712">
            <v>46180</v>
          </cell>
          <cell r="E712" t="e">
            <v>#N/A</v>
          </cell>
          <cell r="G712" t="e">
            <v>#N/A</v>
          </cell>
        </row>
        <row r="713">
          <cell r="A713" t="str">
            <v>45-2041</v>
          </cell>
          <cell r="B713" t="str">
            <v>Graders and Sorters, Agricultural Products</v>
          </cell>
          <cell r="C713">
            <v>-1.370968</v>
          </cell>
          <cell r="D713">
            <v>33760</v>
          </cell>
          <cell r="E713" t="e">
            <v>#N/A</v>
          </cell>
          <cell r="G713">
            <v>26870</v>
          </cell>
        </row>
        <row r="714">
          <cell r="A714" t="str">
            <v>49-9093</v>
          </cell>
          <cell r="B714" t="str">
            <v>Fabric Menders, Except Garment</v>
          </cell>
          <cell r="C714">
            <v>-1.3728389999999999</v>
          </cell>
          <cell r="D714">
            <v>62580</v>
          </cell>
          <cell r="E714" t="e">
            <v>#N/A</v>
          </cell>
          <cell r="G714" t="e">
            <v>#N/A</v>
          </cell>
        </row>
        <row r="715">
          <cell r="A715" t="str">
            <v>49-9011</v>
          </cell>
          <cell r="B715" t="str">
            <v>Mechanical Door Repairers</v>
          </cell>
          <cell r="C715">
            <v>-1.3831519999999999</v>
          </cell>
          <cell r="D715">
            <v>39820</v>
          </cell>
          <cell r="E715" t="e">
            <v>#N/A</v>
          </cell>
          <cell r="G715">
            <v>27970</v>
          </cell>
        </row>
        <row r="716">
          <cell r="A716" t="str">
            <v>53-7121</v>
          </cell>
          <cell r="B716" t="str">
            <v>Tank Car, Truck, and Ship Loaders</v>
          </cell>
          <cell r="C716">
            <v>-1.3877600000000001</v>
          </cell>
          <cell r="D716" t="str">
            <v>—</v>
          </cell>
          <cell r="E716" t="e">
            <v>#N/A</v>
          </cell>
          <cell r="G716">
            <v>10920</v>
          </cell>
        </row>
        <row r="717">
          <cell r="A717" t="str">
            <v>47-2121</v>
          </cell>
          <cell r="B717" t="str">
            <v>Glaziers</v>
          </cell>
          <cell r="C717">
            <v>-1.3889009999999999</v>
          </cell>
          <cell r="D717">
            <v>30160</v>
          </cell>
          <cell r="E717">
            <v>58480</v>
          </cell>
          <cell r="G717">
            <v>57000</v>
          </cell>
        </row>
        <row r="718">
          <cell r="A718" t="str">
            <v>51-6064</v>
          </cell>
          <cell r="B718" t="str">
            <v>Textile Winding, Twisting, and Drawing Out Machine Setters, Operators, and Tenders</v>
          </cell>
          <cell r="C718">
            <v>-1.3929290000000001</v>
          </cell>
          <cell r="D718">
            <v>51000</v>
          </cell>
          <cell r="E718" t="e">
            <v>#N/A</v>
          </cell>
          <cell r="G718">
            <v>20600</v>
          </cell>
        </row>
        <row r="719">
          <cell r="A719" t="str">
            <v>53-7051</v>
          </cell>
          <cell r="B719" t="str">
            <v>Industrial Truck and Tractor Operators</v>
          </cell>
          <cell r="C719">
            <v>-1.39869</v>
          </cell>
          <cell r="D719">
            <v>38090</v>
          </cell>
          <cell r="E719">
            <v>774420</v>
          </cell>
          <cell r="G719">
            <v>805770</v>
          </cell>
        </row>
        <row r="720">
          <cell r="A720" t="str">
            <v>47-4061</v>
          </cell>
          <cell r="B720" t="str">
            <v>Rail-Track Laying and Maintenance Equipment Operators</v>
          </cell>
          <cell r="C720">
            <v>-1.39906</v>
          </cell>
          <cell r="D720">
            <v>65010</v>
          </cell>
          <cell r="E720" t="e">
            <v>#N/A</v>
          </cell>
          <cell r="G720">
            <v>16480</v>
          </cell>
        </row>
        <row r="721">
          <cell r="A721" t="str">
            <v>31-9011</v>
          </cell>
          <cell r="B721" t="str">
            <v>Massage Therapists</v>
          </cell>
          <cell r="C721">
            <v>-1.4102330000000001</v>
          </cell>
          <cell r="D721">
            <v>44200</v>
          </cell>
          <cell r="E721">
            <v>98790</v>
          </cell>
          <cell r="G721">
            <v>96040</v>
          </cell>
        </row>
        <row r="722">
          <cell r="A722" t="str">
            <v>51-9198</v>
          </cell>
          <cell r="B722" t="str">
            <v>Helpers--Production Workers</v>
          </cell>
          <cell r="C722">
            <v>-1.4113039999999999</v>
          </cell>
          <cell r="D722">
            <v>35930</v>
          </cell>
          <cell r="E722">
            <v>165700</v>
          </cell>
          <cell r="G722">
            <v>167490</v>
          </cell>
        </row>
        <row r="723">
          <cell r="A723" t="str">
            <v>49-9095</v>
          </cell>
          <cell r="B723" t="str">
            <v>Manufactured Building and Mobile Home Installers</v>
          </cell>
          <cell r="C723">
            <v>-1.4140619999999999</v>
          </cell>
          <cell r="D723">
            <v>49180</v>
          </cell>
          <cell r="E723" t="e">
            <v>#N/A</v>
          </cell>
          <cell r="G723">
            <v>2610</v>
          </cell>
        </row>
        <row r="724">
          <cell r="A724" t="str">
            <v>47-5011</v>
          </cell>
          <cell r="B724" t="str">
            <v>Derrick Operators, Oil and Gas</v>
          </cell>
          <cell r="C724">
            <v>-1.4150020000000001</v>
          </cell>
          <cell r="D724">
            <v>47940</v>
          </cell>
          <cell r="E724" t="e">
            <v>#N/A</v>
          </cell>
          <cell r="G724">
            <v>11040</v>
          </cell>
        </row>
        <row r="725">
          <cell r="A725" t="str">
            <v>47-3012</v>
          </cell>
          <cell r="B725" t="str">
            <v>Helpers--Carpenters</v>
          </cell>
          <cell r="C725">
            <v>-1.4252819999999999</v>
          </cell>
          <cell r="D725">
            <v>41230</v>
          </cell>
          <cell r="E725" t="e">
            <v>#N/A</v>
          </cell>
          <cell r="G725">
            <v>24610</v>
          </cell>
        </row>
        <row r="726">
          <cell r="A726" t="str">
            <v>37-2011</v>
          </cell>
          <cell r="B726" t="str">
            <v>Janitors and Cleaners, Except Maids and Housekeeping Cleaners</v>
          </cell>
          <cell r="C726">
            <v>-1.4362010000000001</v>
          </cell>
          <cell r="D726">
            <v>67260</v>
          </cell>
          <cell r="E726">
            <v>2209760</v>
          </cell>
          <cell r="G726">
            <v>2199900</v>
          </cell>
        </row>
        <row r="727">
          <cell r="A727" t="str">
            <v>51-9122</v>
          </cell>
          <cell r="B727" t="str">
            <v>Painters, Transportation Equipment</v>
          </cell>
          <cell r="C727">
            <v>-1.4475530000000001</v>
          </cell>
          <cell r="D727">
            <v>51050</v>
          </cell>
          <cell r="E727" t="e">
            <v>#N/A</v>
          </cell>
          <cell r="G727" t="e">
            <v>#N/A</v>
          </cell>
        </row>
        <row r="728">
          <cell r="A728" t="str">
            <v>49-3043</v>
          </cell>
          <cell r="B728" t="str">
            <v>Rail Car Repairers</v>
          </cell>
          <cell r="C728">
            <v>-1.448102</v>
          </cell>
          <cell r="D728">
            <v>51880</v>
          </cell>
          <cell r="E728" t="e">
            <v>#N/A</v>
          </cell>
          <cell r="G728">
            <v>18300</v>
          </cell>
        </row>
        <row r="729">
          <cell r="A729" t="str">
            <v>37-2012</v>
          </cell>
          <cell r="B729" t="str">
            <v>Maids and Housekeeping Cleaners</v>
          </cell>
          <cell r="C729">
            <v>-1.4806569999999999</v>
          </cell>
          <cell r="D729">
            <v>47460</v>
          </cell>
          <cell r="E729">
            <v>860670</v>
          </cell>
          <cell r="G729">
            <v>854910</v>
          </cell>
        </row>
        <row r="730">
          <cell r="A730" t="str">
            <v>47-3013</v>
          </cell>
          <cell r="B730" t="str">
            <v>Helpers--Electricians</v>
          </cell>
          <cell r="C730">
            <v>-1.506896</v>
          </cell>
          <cell r="D730">
            <v>42730</v>
          </cell>
          <cell r="E730">
            <v>63630</v>
          </cell>
          <cell r="G730">
            <v>64440</v>
          </cell>
        </row>
        <row r="731">
          <cell r="A731" t="str">
            <v>45-3011</v>
          </cell>
          <cell r="B731" t="str">
            <v>Fishers and Related Fishing Workers</v>
          </cell>
          <cell r="C731">
            <v>-1.5132490000000001</v>
          </cell>
          <cell r="D731">
            <v>33530</v>
          </cell>
          <cell r="E731" t="e">
            <v>#N/A</v>
          </cell>
          <cell r="G731" t="e">
            <v>#N/A</v>
          </cell>
        </row>
        <row r="732">
          <cell r="A732" t="str">
            <v>53-7064</v>
          </cell>
          <cell r="B732" t="str">
            <v>Packers and Packagers, Hand</v>
          </cell>
          <cell r="C732">
            <v>-1.51362</v>
          </cell>
          <cell r="D732">
            <v>32670</v>
          </cell>
          <cell r="E732">
            <v>559820</v>
          </cell>
          <cell r="G732">
            <v>601440</v>
          </cell>
        </row>
        <row r="733">
          <cell r="A733" t="str">
            <v>47-5071</v>
          </cell>
          <cell r="B733" t="str">
            <v>Roustabouts, Oil and Gas</v>
          </cell>
          <cell r="C733">
            <v>-1.518977</v>
          </cell>
          <cell r="D733" t="e">
            <v>#N/A</v>
          </cell>
          <cell r="E733" t="e">
            <v>#N/A</v>
          </cell>
          <cell r="G733">
            <v>45330</v>
          </cell>
        </row>
        <row r="734">
          <cell r="A734" t="str">
            <v>47-2082</v>
          </cell>
          <cell r="B734" t="str">
            <v>Tapers</v>
          </cell>
          <cell r="C734">
            <v>-1.5407740000000001</v>
          </cell>
          <cell r="D734" t="e">
            <v>#N/A</v>
          </cell>
          <cell r="E734" t="e">
            <v>#N/A</v>
          </cell>
          <cell r="G734">
            <v>12500</v>
          </cell>
        </row>
        <row r="735">
          <cell r="A735" t="str">
            <v>47-5081</v>
          </cell>
          <cell r="B735" t="str">
            <v>Helpers--Extraction Workers</v>
          </cell>
          <cell r="C735">
            <v>-1.5431539999999999</v>
          </cell>
          <cell r="D735">
            <v>58030</v>
          </cell>
          <cell r="E735" t="e">
            <v>#N/A</v>
          </cell>
          <cell r="G735">
            <v>6720</v>
          </cell>
        </row>
        <row r="736">
          <cell r="A736" t="str">
            <v>49-3093</v>
          </cell>
          <cell r="B736" t="str">
            <v>Tire Repairers and Changers</v>
          </cell>
          <cell r="C736">
            <v>-1.550724</v>
          </cell>
          <cell r="D736">
            <v>31470</v>
          </cell>
          <cell r="E736">
            <v>108410</v>
          </cell>
          <cell r="G736">
            <v>106620</v>
          </cell>
        </row>
        <row r="737">
          <cell r="A737" t="str">
            <v>47-2041</v>
          </cell>
          <cell r="B737" t="str">
            <v>Carpet Installers</v>
          </cell>
          <cell r="C737">
            <v>-1.5645770000000001</v>
          </cell>
          <cell r="D737">
            <v>67430</v>
          </cell>
          <cell r="E737" t="e">
            <v>#N/A</v>
          </cell>
          <cell r="G737">
            <v>14980</v>
          </cell>
        </row>
        <row r="738">
          <cell r="A738" t="str">
            <v>27-2032</v>
          </cell>
          <cell r="B738" t="str">
            <v>Choreographers</v>
          </cell>
          <cell r="C738">
            <v>-1.575769</v>
          </cell>
          <cell r="D738">
            <v>99800</v>
          </cell>
          <cell r="E738" t="e">
            <v>#N/A</v>
          </cell>
          <cell r="G738">
            <v>3430</v>
          </cell>
        </row>
        <row r="739">
          <cell r="A739" t="str">
            <v>47-2141</v>
          </cell>
          <cell r="B739" t="str">
            <v>Painters, Construction and Maintenance</v>
          </cell>
          <cell r="C739">
            <v>-1.58799</v>
          </cell>
          <cell r="D739">
            <v>44730</v>
          </cell>
          <cell r="E739">
            <v>225190</v>
          </cell>
          <cell r="G739">
            <v>224180</v>
          </cell>
        </row>
        <row r="740">
          <cell r="A740" t="str">
            <v>45-2092</v>
          </cell>
          <cell r="B740" t="str">
            <v>Farmworkers and Laborers, Crop, Nursery, and Greenhouse</v>
          </cell>
          <cell r="C740">
            <v>-1.6013489999999999</v>
          </cell>
          <cell r="D740">
            <v>54540</v>
          </cell>
          <cell r="E740">
            <v>265500</v>
          </cell>
          <cell r="G740">
            <v>261690</v>
          </cell>
        </row>
        <row r="741">
          <cell r="A741" t="str">
            <v>51-9197</v>
          </cell>
          <cell r="B741" t="str">
            <v>Tire Builders</v>
          </cell>
          <cell r="C741">
            <v>-1.6109150000000001</v>
          </cell>
          <cell r="D741">
            <v>41600</v>
          </cell>
          <cell r="E741" t="e">
            <v>#N/A</v>
          </cell>
          <cell r="G741">
            <v>20970</v>
          </cell>
        </row>
        <row r="742">
          <cell r="A742" t="str">
            <v>47-5061</v>
          </cell>
          <cell r="B742" t="str">
            <v>Roof Bolters, Mining</v>
          </cell>
          <cell r="C742">
            <v>-1.6185179999999999</v>
          </cell>
          <cell r="D742">
            <v>82730</v>
          </cell>
          <cell r="E742" t="e">
            <v>#N/A</v>
          </cell>
          <cell r="G742" t="e">
            <v>#N/A</v>
          </cell>
        </row>
        <row r="743">
          <cell r="A743" t="str">
            <v>47-2131</v>
          </cell>
          <cell r="B743" t="str">
            <v>Insulation Workers, Floor, Ceiling, and Wall</v>
          </cell>
          <cell r="C743">
            <v>-1.6187720000000001</v>
          </cell>
          <cell r="D743">
            <v>61870</v>
          </cell>
          <cell r="E743">
            <v>44440</v>
          </cell>
          <cell r="G743">
            <v>38610</v>
          </cell>
        </row>
        <row r="744">
          <cell r="A744" t="str">
            <v>47-2061</v>
          </cell>
          <cell r="B744" t="str">
            <v>Construction Laborers</v>
          </cell>
          <cell r="C744">
            <v>-1.6229880000000001</v>
          </cell>
          <cell r="D744" t="e">
            <v>#N/A</v>
          </cell>
          <cell r="E744">
            <v>1096780</v>
          </cell>
          <cell r="G744">
            <v>1057660</v>
          </cell>
        </row>
        <row r="745">
          <cell r="A745" t="str">
            <v>53-7061</v>
          </cell>
          <cell r="B745" t="str">
            <v>Cleaners of Vehicles and Equipment</v>
          </cell>
          <cell r="C745">
            <v>-1.6298969999999999</v>
          </cell>
          <cell r="D745">
            <v>39790</v>
          </cell>
          <cell r="E745">
            <v>380430</v>
          </cell>
          <cell r="G745">
            <v>373960</v>
          </cell>
        </row>
        <row r="746">
          <cell r="A746" t="str">
            <v>47-2081</v>
          </cell>
          <cell r="B746" t="str">
            <v>Drywall and Ceiling Tile Installers</v>
          </cell>
          <cell r="C746">
            <v>-1.6479710000000001</v>
          </cell>
          <cell r="D746" t="e">
            <v>#N/A</v>
          </cell>
          <cell r="E746">
            <v>83080</v>
          </cell>
          <cell r="G746">
            <v>82900</v>
          </cell>
        </row>
        <row r="747">
          <cell r="A747" t="str">
            <v>47-3015</v>
          </cell>
          <cell r="B747" t="str">
            <v>Helpers--Pipelayers, Plumbers, Pipefitters, and Steamfitters</v>
          </cell>
          <cell r="C747">
            <v>-1.678876</v>
          </cell>
          <cell r="D747">
            <v>74690</v>
          </cell>
          <cell r="E747">
            <v>44330</v>
          </cell>
          <cell r="G747">
            <v>43640</v>
          </cell>
        </row>
        <row r="748">
          <cell r="A748" t="str">
            <v>31-1015</v>
          </cell>
          <cell r="B748" t="str">
            <v>Orderlies</v>
          </cell>
          <cell r="C748">
            <v>-1.6792320000000001</v>
          </cell>
          <cell r="D748">
            <v>104240</v>
          </cell>
          <cell r="E748" t="e">
            <v>#N/A</v>
          </cell>
          <cell r="G748" t="e">
            <v>#N/A</v>
          </cell>
        </row>
        <row r="749">
          <cell r="A749" t="str">
            <v>53-7062</v>
          </cell>
          <cell r="B749" t="str">
            <v>Laborers and Freight, Stock, and Material Movers, Hand</v>
          </cell>
          <cell r="C749">
            <v>-1.7091829999999999</v>
          </cell>
          <cell r="D749">
            <v>40590</v>
          </cell>
          <cell r="E749">
            <v>2950280</v>
          </cell>
          <cell r="G749">
            <v>2982530</v>
          </cell>
        </row>
        <row r="750">
          <cell r="A750" t="str">
            <v>47-2022</v>
          </cell>
          <cell r="B750" t="str">
            <v>Stonemasons</v>
          </cell>
          <cell r="C750">
            <v>-1.7147589999999999</v>
          </cell>
          <cell r="D750" t="e">
            <v>#N/A</v>
          </cell>
          <cell r="E750" t="e">
            <v>#N/A</v>
          </cell>
          <cell r="G750">
            <v>8750</v>
          </cell>
        </row>
        <row r="751">
          <cell r="A751" t="str">
            <v>37-3013</v>
          </cell>
          <cell r="B751" t="str">
            <v>Tree Trimmers and Pruners</v>
          </cell>
          <cell r="C751">
            <v>-1.7270350000000001</v>
          </cell>
          <cell r="D751">
            <v>65310</v>
          </cell>
          <cell r="E751">
            <v>55160</v>
          </cell>
          <cell r="G751">
            <v>47870</v>
          </cell>
        </row>
        <row r="752">
          <cell r="A752" t="str">
            <v>47-2142</v>
          </cell>
          <cell r="B752" t="str">
            <v>Paperhangers</v>
          </cell>
          <cell r="C752">
            <v>-1.72753</v>
          </cell>
          <cell r="D752">
            <v>34460</v>
          </cell>
          <cell r="E752" t="e">
            <v>#N/A</v>
          </cell>
          <cell r="G752">
            <v>1520</v>
          </cell>
        </row>
        <row r="753">
          <cell r="A753" t="str">
            <v>35-9021</v>
          </cell>
          <cell r="B753" t="str">
            <v>Dishwashers</v>
          </cell>
          <cell r="C753">
            <v>-1.738612</v>
          </cell>
          <cell r="D753">
            <v>88180</v>
          </cell>
          <cell r="E753">
            <v>477450</v>
          </cell>
          <cell r="G753">
            <v>471670</v>
          </cell>
        </row>
        <row r="754">
          <cell r="A754" t="str">
            <v>51-4071</v>
          </cell>
          <cell r="B754" t="str">
            <v>Foundry Mold and Coremakers</v>
          </cell>
          <cell r="C754">
            <v>-1.7403489999999999</v>
          </cell>
          <cell r="D754">
            <v>36150</v>
          </cell>
          <cell r="E754" t="e">
            <v>#N/A</v>
          </cell>
          <cell r="G754">
            <v>12720</v>
          </cell>
        </row>
        <row r="755">
          <cell r="A755" t="str">
            <v>47-2043</v>
          </cell>
          <cell r="B755" t="str">
            <v>Floor Sanders and Finishers</v>
          </cell>
          <cell r="C755">
            <v>-1.7487220000000001</v>
          </cell>
          <cell r="D755">
            <v>76290</v>
          </cell>
          <cell r="E755" t="e">
            <v>#N/A</v>
          </cell>
          <cell r="G755">
            <v>4140</v>
          </cell>
        </row>
        <row r="756">
          <cell r="A756" t="str">
            <v>47-2181</v>
          </cell>
          <cell r="B756" t="str">
            <v>Roofers</v>
          </cell>
          <cell r="C756">
            <v>-1.7529410000000001</v>
          </cell>
          <cell r="D756">
            <v>56280</v>
          </cell>
          <cell r="E756">
            <v>135490</v>
          </cell>
          <cell r="G756">
            <v>136740</v>
          </cell>
        </row>
        <row r="757">
          <cell r="A757" t="str">
            <v>47-2021</v>
          </cell>
          <cell r="B757" t="str">
            <v>Brickmasons and Blockmasons</v>
          </cell>
          <cell r="C757">
            <v>-1.75434</v>
          </cell>
          <cell r="D757">
            <v>40450</v>
          </cell>
          <cell r="E757">
            <v>52550</v>
          </cell>
          <cell r="G757">
            <v>53520</v>
          </cell>
        </row>
        <row r="758">
          <cell r="A758" t="str">
            <v>47-2161</v>
          </cell>
          <cell r="B758" t="str">
            <v>Plasterers and Stucco Masons</v>
          </cell>
          <cell r="C758">
            <v>-1.7555879999999999</v>
          </cell>
          <cell r="D758">
            <v>38960</v>
          </cell>
          <cell r="E758" t="e">
            <v>#N/A</v>
          </cell>
          <cell r="G758">
            <v>20880</v>
          </cell>
        </row>
        <row r="759">
          <cell r="A759" t="str">
            <v>47-5051</v>
          </cell>
          <cell r="B759" t="str">
            <v>Rock Splitters, Quarry</v>
          </cell>
          <cell r="C759">
            <v>-1.7634939999999999</v>
          </cell>
          <cell r="D759">
            <v>34330</v>
          </cell>
          <cell r="E759" t="e">
            <v>#N/A</v>
          </cell>
          <cell r="G759">
            <v>3080</v>
          </cell>
        </row>
        <row r="760">
          <cell r="A760" t="str">
            <v>47-2053</v>
          </cell>
          <cell r="B760" t="str">
            <v>Terrazzo Workers and Finishers</v>
          </cell>
          <cell r="C760">
            <v>-1.776065</v>
          </cell>
          <cell r="D760">
            <v>35250</v>
          </cell>
          <cell r="E760" t="e">
            <v>#N/A</v>
          </cell>
          <cell r="G760">
            <v>1450</v>
          </cell>
        </row>
        <row r="761">
          <cell r="A761" t="str">
            <v>47-2051</v>
          </cell>
          <cell r="B761" t="str">
            <v>Cement Masons and Concrete Finishers</v>
          </cell>
          <cell r="C761">
            <v>-1.777407</v>
          </cell>
          <cell r="D761" t="e">
            <v>#N/A</v>
          </cell>
          <cell r="E761">
            <v>206170</v>
          </cell>
          <cell r="G761">
            <v>205230</v>
          </cell>
        </row>
        <row r="762">
          <cell r="A762" t="str">
            <v>47-2221</v>
          </cell>
          <cell r="B762" t="str">
            <v>Structural Iron and Steel Workers</v>
          </cell>
          <cell r="C762">
            <v>-1.780065</v>
          </cell>
          <cell r="D762">
            <v>62700</v>
          </cell>
          <cell r="E762">
            <v>68380</v>
          </cell>
          <cell r="G762">
            <v>64720</v>
          </cell>
        </row>
        <row r="763">
          <cell r="A763" t="str">
            <v>45-4021</v>
          </cell>
          <cell r="B763" t="str">
            <v>Fallers</v>
          </cell>
          <cell r="C763">
            <v>-1.795407</v>
          </cell>
          <cell r="D763">
            <v>58490</v>
          </cell>
          <cell r="E763" t="e">
            <v>#N/A</v>
          </cell>
          <cell r="G763">
            <v>4110</v>
          </cell>
        </row>
        <row r="764">
          <cell r="A764" t="str">
            <v>27-2021</v>
          </cell>
          <cell r="B764" t="str">
            <v>Athletes and Sports Competitors</v>
          </cell>
          <cell r="C764">
            <v>-1.8143359999999999</v>
          </cell>
          <cell r="D764">
            <v>61300</v>
          </cell>
          <cell r="E764">
            <v>15070</v>
          </cell>
          <cell r="G764">
            <v>14370</v>
          </cell>
        </row>
        <row r="765">
          <cell r="A765" t="str">
            <v>37-3011</v>
          </cell>
          <cell r="B765" t="str">
            <v>Landscaping and Groundskeeping Workers</v>
          </cell>
          <cell r="C765">
            <v>-1.8242929999999999</v>
          </cell>
          <cell r="D765">
            <v>37440</v>
          </cell>
          <cell r="E765">
            <v>952640</v>
          </cell>
          <cell r="G765">
            <v>943430</v>
          </cell>
        </row>
        <row r="766">
          <cell r="A766" t="str">
            <v>51-3023</v>
          </cell>
          <cell r="B766" t="str">
            <v>Slaughterers and Meat Packers</v>
          </cell>
          <cell r="C766">
            <v>-1.834668</v>
          </cell>
          <cell r="D766">
            <v>39700</v>
          </cell>
          <cell r="E766">
            <v>69950</v>
          </cell>
          <cell r="G766">
            <v>67500</v>
          </cell>
        </row>
        <row r="767">
          <cell r="A767" t="str">
            <v>47-3016</v>
          </cell>
          <cell r="B767" t="str">
            <v>Helpers--Roofers</v>
          </cell>
          <cell r="C767">
            <v>-1.89822</v>
          </cell>
          <cell r="D767">
            <v>67130</v>
          </cell>
          <cell r="E767" t="e">
            <v>#N/A</v>
          </cell>
          <cell r="G767">
            <v>5170</v>
          </cell>
        </row>
        <row r="768">
          <cell r="A768" t="str">
            <v>47-4031</v>
          </cell>
          <cell r="B768" t="str">
            <v>Fence Erectors</v>
          </cell>
          <cell r="C768">
            <v>-1.9021129999999999</v>
          </cell>
          <cell r="D768" t="e">
            <v>#N/A</v>
          </cell>
          <cell r="E768" t="e">
            <v>#N/A</v>
          </cell>
          <cell r="G768">
            <v>22640</v>
          </cell>
        </row>
        <row r="769">
          <cell r="A769" t="str">
            <v>35-9011</v>
          </cell>
          <cell r="B769" t="str">
            <v>Dining Room and Cafeteria Attendants and Bartender Helpers</v>
          </cell>
          <cell r="C769">
            <v>-1.9270780000000001</v>
          </cell>
          <cell r="D769">
            <v>30380</v>
          </cell>
          <cell r="E769">
            <v>542750</v>
          </cell>
          <cell r="G769">
            <v>522010</v>
          </cell>
        </row>
        <row r="770">
          <cell r="A770" t="str">
            <v>47-3011</v>
          </cell>
          <cell r="B770" t="str">
            <v>Helpers--Brickmasons, Blockmasons, Stonemasons, and Tile and Marble Setters</v>
          </cell>
          <cell r="C770">
            <v>-1.9422900000000001</v>
          </cell>
          <cell r="D770">
            <v>43190</v>
          </cell>
          <cell r="E770" t="e">
            <v>#N/A</v>
          </cell>
          <cell r="G770">
            <v>15660</v>
          </cell>
        </row>
        <row r="771">
          <cell r="A771" t="str">
            <v>51-6021</v>
          </cell>
          <cell r="B771" t="str">
            <v>Pressers, Textile, Garment, and Related Materials</v>
          </cell>
          <cell r="C771">
            <v>-1.9500630000000001</v>
          </cell>
          <cell r="D771">
            <v>39950</v>
          </cell>
          <cell r="E771" t="e">
            <v>#N/A</v>
          </cell>
          <cell r="G771">
            <v>26830</v>
          </cell>
        </row>
        <row r="772">
          <cell r="A772" t="str">
            <v>47-2171</v>
          </cell>
          <cell r="B772" t="str">
            <v>Reinforcing Iron and Rebar Workers</v>
          </cell>
          <cell r="C772">
            <v>-1.9709970000000001</v>
          </cell>
          <cell r="D772">
            <v>46490</v>
          </cell>
          <cell r="E772" t="e">
            <v>#N/A</v>
          </cell>
          <cell r="G772">
            <v>14140</v>
          </cell>
        </row>
        <row r="773">
          <cell r="A773" t="str">
            <v>47-3014</v>
          </cell>
          <cell r="B773" t="str">
            <v>Helpers--Painters, Paperhangers, Plasterers, and Stucco Masons</v>
          </cell>
          <cell r="C773">
            <v>-2.0448400000000002</v>
          </cell>
          <cell r="D773">
            <v>46630</v>
          </cell>
          <cell r="E773" t="e">
            <v>#N/A</v>
          </cell>
          <cell r="G773">
            <v>7220</v>
          </cell>
        </row>
        <row r="774">
          <cell r="A774" t="str">
            <v>39-9031</v>
          </cell>
          <cell r="B774" t="str">
            <v>Fitness Trainers and Aerobics Instructors</v>
          </cell>
          <cell r="C774">
            <v>-2.1119479999999999</v>
          </cell>
          <cell r="D774" t="e">
            <v>#N/A</v>
          </cell>
          <cell r="E774">
            <v>322930</v>
          </cell>
          <cell r="G774">
            <v>303620</v>
          </cell>
        </row>
        <row r="775">
          <cell r="A775" t="str">
            <v>27-2031</v>
          </cell>
          <cell r="B775" t="str">
            <v>Dancers</v>
          </cell>
          <cell r="C775">
            <v>-2.6697579999999999</v>
          </cell>
          <cell r="D775" t="e">
            <v>#N/A</v>
          </cell>
          <cell r="E775" t="e">
            <v>#N/A</v>
          </cell>
          <cell r="G775">
            <v>9060</v>
          </cell>
        </row>
      </sheetData>
      <sheetData sheetId="9">
        <row r="1">
          <cell r="A1" t="str">
            <v>Data Appendix A: AIOE Scores by Occupation</v>
          </cell>
        </row>
        <row r="2">
          <cell r="A2" t="str">
            <v>Data Appendix B: AIIE Scores by Industry (4-Digit NAICS)</v>
          </cell>
        </row>
        <row r="3">
          <cell r="A3" t="str">
            <v>Data Appendix C: AIGE Scores by FIPS Code</v>
          </cell>
        </row>
        <row r="4">
          <cell r="A4" t="str">
            <v>Data Appendix D: AI Application-Occupational Ability Matrix</v>
          </cell>
        </row>
        <row r="5">
          <cell r="A5" t="str">
            <v>Data Appendix E: Standardized Ability-Level AI Exposure</v>
          </cell>
        </row>
      </sheetData>
      <sheetData sheetId="10">
        <row r="17">
          <cell r="F17" t="str">
            <v>zp median/srednyaa</v>
          </cell>
        </row>
        <row r="19">
          <cell r="E19" t="str">
            <v>time-frame</v>
          </cell>
          <cell r="F19" t="str">
            <v>2021-2025</v>
          </cell>
        </row>
        <row r="20">
          <cell r="E20" t="str">
            <v>y</v>
          </cell>
          <cell r="F20" t="str">
            <v>employment</v>
          </cell>
          <cell r="G20" t="str">
            <v>zanyatost'</v>
          </cell>
        </row>
        <row r="21">
          <cell r="E21" t="str">
            <v>x</v>
          </cell>
          <cell r="F21" t="str">
            <v>AI exposure jobs</v>
          </cell>
        </row>
        <row r="22">
          <cell r="F22" t="str">
            <v>srednyaa zp</v>
          </cell>
        </row>
      </sheetData>
      <sheetData sheetId="11">
        <row r="1">
          <cell r="A1" t="str">
            <v>NAICS</v>
          </cell>
          <cell r="B1" t="str">
            <v>Industry Title</v>
          </cell>
          <cell r="C1" t="str">
            <v>AIIE</v>
          </cell>
        </row>
        <row r="2">
          <cell r="A2">
            <v>1133</v>
          </cell>
          <cell r="B2" t="str">
            <v>Logging</v>
          </cell>
          <cell r="C2">
            <v>-1.360161</v>
          </cell>
        </row>
        <row r="3">
          <cell r="A3">
            <v>1151</v>
          </cell>
          <cell r="B3" t="str">
            <v>Support Activities for Crop Production</v>
          </cell>
          <cell r="C3">
            <v>-2.1653039999999999</v>
          </cell>
        </row>
        <row r="4">
          <cell r="A4">
            <v>1152</v>
          </cell>
          <cell r="B4" t="str">
            <v>Support Activities for Animal Production</v>
          </cell>
          <cell r="C4">
            <v>-1.1493070000000001</v>
          </cell>
        </row>
        <row r="5">
          <cell r="A5">
            <v>2111</v>
          </cell>
          <cell r="B5" t="str">
            <v>Oil and Gas Extraction</v>
          </cell>
          <cell r="C5">
            <v>0.66861539999999997</v>
          </cell>
        </row>
        <row r="6">
          <cell r="A6">
            <v>2121</v>
          </cell>
          <cell r="B6" t="str">
            <v>Coal Mining</v>
          </cell>
          <cell r="C6">
            <v>-1.146242</v>
          </cell>
        </row>
        <row r="7">
          <cell r="A7">
            <v>2122</v>
          </cell>
          <cell r="B7" t="str">
            <v>Metal Ore Mining</v>
          </cell>
          <cell r="C7">
            <v>-0.89240319999999995</v>
          </cell>
        </row>
        <row r="8">
          <cell r="A8">
            <v>2123</v>
          </cell>
          <cell r="B8" t="str">
            <v>Nonmetallic Mineral Mining and Quarrying</v>
          </cell>
          <cell r="C8">
            <v>-1.037903</v>
          </cell>
        </row>
        <row r="9">
          <cell r="A9">
            <v>2131</v>
          </cell>
          <cell r="B9" t="str">
            <v>Support Activities for Mining</v>
          </cell>
          <cell r="C9">
            <v>-0.98104080000000005</v>
          </cell>
        </row>
        <row r="10">
          <cell r="A10">
            <v>2211</v>
          </cell>
          <cell r="B10" t="str">
            <v>Electric Power Generation, Transmission and Distribution</v>
          </cell>
          <cell r="C10">
            <v>0.20961869999999999</v>
          </cell>
        </row>
        <row r="11">
          <cell r="A11">
            <v>2212</v>
          </cell>
          <cell r="B11" t="str">
            <v>Natural Gas Distribution</v>
          </cell>
          <cell r="C11">
            <v>0.34535379999999999</v>
          </cell>
        </row>
        <row r="12">
          <cell r="A12">
            <v>2213</v>
          </cell>
          <cell r="B12" t="str">
            <v>Water, Sewage and Other Systems</v>
          </cell>
          <cell r="C12">
            <v>-0.15642259999999999</v>
          </cell>
        </row>
        <row r="13">
          <cell r="A13">
            <v>2361</v>
          </cell>
          <cell r="B13" t="str">
            <v>Residential Building Construction</v>
          </cell>
          <cell r="C13">
            <v>-0.76025189999999998</v>
          </cell>
        </row>
        <row r="14">
          <cell r="A14">
            <v>2362</v>
          </cell>
          <cell r="B14" t="str">
            <v>Nonresidential Building Construction</v>
          </cell>
          <cell r="C14">
            <v>-0.66322320000000001</v>
          </cell>
        </row>
        <row r="15">
          <cell r="A15">
            <v>2371</v>
          </cell>
          <cell r="B15" t="str">
            <v>Utility System Construction</v>
          </cell>
          <cell r="C15">
            <v>-1.1763809999999999</v>
          </cell>
        </row>
        <row r="16">
          <cell r="A16">
            <v>2372</v>
          </cell>
          <cell r="B16" t="str">
            <v>Land Subdivision</v>
          </cell>
          <cell r="C16">
            <v>0.58140179999999997</v>
          </cell>
        </row>
        <row r="17">
          <cell r="A17">
            <v>2373</v>
          </cell>
          <cell r="B17" t="str">
            <v>Highway, Street, and Bridge Construction</v>
          </cell>
          <cell r="C17">
            <v>-1.2962560000000001</v>
          </cell>
        </row>
        <row r="18">
          <cell r="A18">
            <v>2379</v>
          </cell>
          <cell r="B18" t="str">
            <v>Other Heavy and Civil Engineering Construction</v>
          </cell>
          <cell r="C18">
            <v>-1.104619</v>
          </cell>
        </row>
        <row r="19">
          <cell r="A19">
            <v>2381</v>
          </cell>
          <cell r="B19" t="str">
            <v>Foundation, Structure, and Building Exterior Contractors</v>
          </cell>
          <cell r="C19">
            <v>-1.757023</v>
          </cell>
        </row>
        <row r="20">
          <cell r="A20">
            <v>2382</v>
          </cell>
          <cell r="B20" t="str">
            <v>Building Equipment Contractors</v>
          </cell>
          <cell r="C20">
            <v>-0.83207909999999996</v>
          </cell>
        </row>
        <row r="21">
          <cell r="A21">
            <v>2383</v>
          </cell>
          <cell r="B21" t="str">
            <v>Building Finishing Contractors</v>
          </cell>
          <cell r="C21">
            <v>-1.602616</v>
          </cell>
        </row>
        <row r="22">
          <cell r="A22">
            <v>2389</v>
          </cell>
          <cell r="B22" t="str">
            <v>Other Specialty Trade Contractors</v>
          </cell>
          <cell r="C22">
            <v>-1.3585640000000001</v>
          </cell>
        </row>
        <row r="23">
          <cell r="A23">
            <v>3111</v>
          </cell>
          <cell r="B23" t="str">
            <v>Animal Food Manufacturing</v>
          </cell>
          <cell r="C23">
            <v>-0.78913999999999995</v>
          </cell>
        </row>
        <row r="24">
          <cell r="A24">
            <v>3112</v>
          </cell>
          <cell r="B24" t="str">
            <v>Grain and Oilseed Milling</v>
          </cell>
          <cell r="C24">
            <v>-0.72062859999999995</v>
          </cell>
        </row>
        <row r="25">
          <cell r="A25">
            <v>3113</v>
          </cell>
          <cell r="B25" t="str">
            <v>Sugar and Confectionery Product Manufacturing</v>
          </cell>
          <cell r="C25">
            <v>-0.77299459999999998</v>
          </cell>
        </row>
        <row r="26">
          <cell r="A26">
            <v>3114</v>
          </cell>
          <cell r="B26" t="str">
            <v>Fruit and Vegetable Preserving and Specialty Food Manufacturing</v>
          </cell>
          <cell r="C26">
            <v>-0.98080800000000001</v>
          </cell>
        </row>
        <row r="27">
          <cell r="A27">
            <v>3115</v>
          </cell>
          <cell r="B27" t="str">
            <v>Dairy Product Manufacturing</v>
          </cell>
          <cell r="C27">
            <v>-0.84353350000000005</v>
          </cell>
        </row>
        <row r="28">
          <cell r="A28">
            <v>3116</v>
          </cell>
          <cell r="B28" t="str">
            <v>Animal Slaughtering and Processing</v>
          </cell>
          <cell r="C28">
            <v>-1.662866</v>
          </cell>
        </row>
        <row r="29">
          <cell r="A29">
            <v>3117</v>
          </cell>
          <cell r="B29" t="str">
            <v>Seafood Product Preparation and Packaging</v>
          </cell>
          <cell r="C29">
            <v>-1.2582230000000001</v>
          </cell>
        </row>
        <row r="30">
          <cell r="A30">
            <v>3118</v>
          </cell>
          <cell r="B30" t="str">
            <v>Bakeries and Tortilla Manufacturing</v>
          </cell>
          <cell r="C30">
            <v>-0.80156090000000002</v>
          </cell>
        </row>
        <row r="31">
          <cell r="A31">
            <v>3119</v>
          </cell>
          <cell r="B31" t="str">
            <v>Other Food Manufacturing</v>
          </cell>
          <cell r="C31">
            <v>-0.85389090000000001</v>
          </cell>
        </row>
        <row r="32">
          <cell r="A32">
            <v>3121</v>
          </cell>
          <cell r="B32" t="str">
            <v>Beverage Manufacturing</v>
          </cell>
          <cell r="C32">
            <v>-0.65864239999999996</v>
          </cell>
        </row>
        <row r="33">
          <cell r="A33">
            <v>3122</v>
          </cell>
          <cell r="B33" t="str">
            <v>Tobacco Manufacturing</v>
          </cell>
          <cell r="C33">
            <v>-0.88430569999999997</v>
          </cell>
        </row>
        <row r="34">
          <cell r="A34">
            <v>3131</v>
          </cell>
          <cell r="B34" t="str">
            <v>Fiber, Yarn, and Thread Mills</v>
          </cell>
          <cell r="C34">
            <v>-1.587852</v>
          </cell>
        </row>
        <row r="35">
          <cell r="A35">
            <v>3132</v>
          </cell>
          <cell r="B35" t="str">
            <v>Fabric Mills</v>
          </cell>
          <cell r="C35">
            <v>-1.114104</v>
          </cell>
        </row>
        <row r="36">
          <cell r="A36">
            <v>3133</v>
          </cell>
          <cell r="B36" t="str">
            <v>Textile and Fabric Finishing and Fabric Coating Mills</v>
          </cell>
          <cell r="C36">
            <v>-0.43584719999999999</v>
          </cell>
        </row>
        <row r="37">
          <cell r="A37">
            <v>3141</v>
          </cell>
          <cell r="B37" t="str">
            <v>Textile Furnishings Mills</v>
          </cell>
          <cell r="C37">
            <v>-1.0678179999999999</v>
          </cell>
        </row>
        <row r="38">
          <cell r="A38">
            <v>3149</v>
          </cell>
          <cell r="B38" t="str">
            <v>Other Textile Product Mills</v>
          </cell>
          <cell r="C38">
            <v>-0.56157100000000004</v>
          </cell>
        </row>
        <row r="39">
          <cell r="A39">
            <v>3151</v>
          </cell>
          <cell r="B39" t="str">
            <v>Apparel Knitting Mills</v>
          </cell>
          <cell r="C39">
            <v>-1.272213</v>
          </cell>
        </row>
        <row r="40">
          <cell r="A40">
            <v>3152</v>
          </cell>
          <cell r="B40" t="str">
            <v>Cut and Sew Apparel Manufacturing</v>
          </cell>
          <cell r="C40">
            <v>-0.65202870000000002</v>
          </cell>
        </row>
        <row r="41">
          <cell r="A41">
            <v>3159</v>
          </cell>
          <cell r="B41" t="str">
            <v>Apparel Accessories and Other Apparel Manufacturing</v>
          </cell>
          <cell r="C41">
            <v>-0.79162030000000005</v>
          </cell>
        </row>
        <row r="42">
          <cell r="A42">
            <v>3161</v>
          </cell>
          <cell r="B42" t="str">
            <v>Leather and Hide Tanning and Finishing</v>
          </cell>
          <cell r="C42">
            <v>-1.103977</v>
          </cell>
        </row>
        <row r="43">
          <cell r="A43">
            <v>3162</v>
          </cell>
          <cell r="B43" t="str">
            <v>Footwear Manufacturing</v>
          </cell>
          <cell r="C43">
            <v>-0.53007709999999997</v>
          </cell>
        </row>
        <row r="44">
          <cell r="A44">
            <v>3169</v>
          </cell>
          <cell r="B44" t="str">
            <v>Other Leather and Allied Product Manufacturing</v>
          </cell>
          <cell r="C44">
            <v>-0.67990669999999997</v>
          </cell>
        </row>
        <row r="45">
          <cell r="A45">
            <v>3211</v>
          </cell>
          <cell r="B45" t="str">
            <v>Sawmills and Wood Preservation</v>
          </cell>
          <cell r="C45">
            <v>-1.4210370000000001</v>
          </cell>
        </row>
        <row r="46">
          <cell r="A46">
            <v>3212</v>
          </cell>
          <cell r="B46" t="str">
            <v>Veneer, Plywood, and Engineered Wood Product Manufacturing</v>
          </cell>
          <cell r="C46">
            <v>-1.1345700000000001</v>
          </cell>
        </row>
        <row r="47">
          <cell r="A47">
            <v>3219</v>
          </cell>
          <cell r="B47" t="str">
            <v>Other Wood Product Manufacturing</v>
          </cell>
          <cell r="C47">
            <v>-1.1459999999999999</v>
          </cell>
        </row>
        <row r="48">
          <cell r="A48">
            <v>3221</v>
          </cell>
          <cell r="B48" t="str">
            <v>Pulp, Paper, and Paperboard Mills</v>
          </cell>
          <cell r="C48">
            <v>-0.9502621</v>
          </cell>
        </row>
        <row r="49">
          <cell r="A49">
            <v>3222</v>
          </cell>
          <cell r="B49" t="str">
            <v>Converted Paper Product Manufacturing</v>
          </cell>
          <cell r="C49">
            <v>-0.82418460000000004</v>
          </cell>
        </row>
        <row r="50">
          <cell r="A50">
            <v>3231</v>
          </cell>
          <cell r="B50" t="str">
            <v>Printing and Related Support Activities</v>
          </cell>
          <cell r="C50">
            <v>-0.2099964</v>
          </cell>
        </row>
        <row r="51">
          <cell r="A51">
            <v>3241</v>
          </cell>
          <cell r="B51" t="str">
            <v>Petroleum and Coal Products Manufacturing</v>
          </cell>
          <cell r="C51">
            <v>-0.1959436</v>
          </cell>
        </row>
        <row r="52">
          <cell r="A52">
            <v>3250</v>
          </cell>
          <cell r="B52" t="str">
            <v>Chemical Manufacturing (3255 and 3256 only)</v>
          </cell>
          <cell r="C52">
            <v>-0.1203409</v>
          </cell>
        </row>
        <row r="53">
          <cell r="A53">
            <v>3250</v>
          </cell>
          <cell r="B53" t="str">
            <v>Chemical Manufacturing (3251, 3252, 3253, and 3259 only)</v>
          </cell>
          <cell r="C53">
            <v>-0.30803560000000002</v>
          </cell>
        </row>
        <row r="54">
          <cell r="A54">
            <v>3254</v>
          </cell>
          <cell r="B54" t="str">
            <v>Pharmaceutical and Medicine Manufacturing</v>
          </cell>
          <cell r="C54">
            <v>0.46370860000000003</v>
          </cell>
        </row>
        <row r="55">
          <cell r="A55">
            <v>3261</v>
          </cell>
          <cell r="B55" t="str">
            <v>Plastics Product Manufacturing</v>
          </cell>
          <cell r="C55">
            <v>-0.86575919999999995</v>
          </cell>
        </row>
        <row r="56">
          <cell r="A56">
            <v>3262</v>
          </cell>
          <cell r="B56" t="str">
            <v>Rubber Product Manufacturing</v>
          </cell>
          <cell r="C56">
            <v>-1.077709</v>
          </cell>
        </row>
        <row r="57">
          <cell r="A57">
            <v>3270</v>
          </cell>
          <cell r="B57" t="str">
            <v>Nonmetallic Mineral Product Manufacturing</v>
          </cell>
          <cell r="C57">
            <v>-0.96567449999999999</v>
          </cell>
        </row>
        <row r="58">
          <cell r="A58">
            <v>3311</v>
          </cell>
          <cell r="B58" t="str">
            <v>Iron and Steel Mills and Ferroalloy Manufacturing</v>
          </cell>
          <cell r="C58">
            <v>-0.99133910000000003</v>
          </cell>
        </row>
        <row r="59">
          <cell r="A59">
            <v>3312</v>
          </cell>
          <cell r="B59" t="str">
            <v>Steel Product Manufacturing from Purchased Steel</v>
          </cell>
          <cell r="C59">
            <v>-0.9156145</v>
          </cell>
        </row>
        <row r="60">
          <cell r="A60">
            <v>3313</v>
          </cell>
          <cell r="B60" t="str">
            <v>Alumina and Aluminum Production and Processing</v>
          </cell>
          <cell r="C60">
            <v>-1.022397</v>
          </cell>
        </row>
        <row r="61">
          <cell r="A61">
            <v>3314</v>
          </cell>
          <cell r="B61" t="str">
            <v>Nonferrous Metal (except Aluminum) Production and Processing</v>
          </cell>
          <cell r="C61">
            <v>-0.74217250000000001</v>
          </cell>
        </row>
        <row r="62">
          <cell r="A62">
            <v>3315</v>
          </cell>
          <cell r="B62" t="str">
            <v>Foundries</v>
          </cell>
          <cell r="C62">
            <v>-1.0780510000000001</v>
          </cell>
        </row>
        <row r="63">
          <cell r="A63">
            <v>3320</v>
          </cell>
          <cell r="B63" t="str">
            <v>Fabricated Metal Product Manufacturing (3323 and 3324 only)</v>
          </cell>
          <cell r="C63">
            <v>-0.50058159999999996</v>
          </cell>
        </row>
        <row r="64">
          <cell r="A64">
            <v>3320</v>
          </cell>
          <cell r="B64" t="str">
            <v>Fabricated Metal Product Manufacturing (3321, 3322, 3325, 3326, and 3329 only)</v>
          </cell>
          <cell r="C64">
            <v>-0.740151</v>
          </cell>
        </row>
        <row r="65">
          <cell r="A65">
            <v>3327</v>
          </cell>
          <cell r="B65" t="str">
            <v>Machine Shops; Turned Product; and Screw, Nut, and Bolt Manufacturing</v>
          </cell>
          <cell r="C65">
            <v>-0.60992809999999997</v>
          </cell>
        </row>
        <row r="66">
          <cell r="A66">
            <v>3328</v>
          </cell>
          <cell r="B66" t="str">
            <v>Coating, Engraving, Heat Treating, and Allied Activities</v>
          </cell>
          <cell r="C66">
            <v>-0.77538090000000004</v>
          </cell>
        </row>
        <row r="67">
          <cell r="A67">
            <v>3330</v>
          </cell>
          <cell r="B67" t="str">
            <v>Machinery Manufacturing (3331, 3332, 3334, and 3339 only)</v>
          </cell>
          <cell r="C67">
            <v>-7.4639200000000003E-2</v>
          </cell>
        </row>
        <row r="68">
          <cell r="A68">
            <v>3333</v>
          </cell>
          <cell r="B68" t="str">
            <v>Commercial and Service Industry Machinery Manufacturing</v>
          </cell>
          <cell r="C68">
            <v>0.33089950000000001</v>
          </cell>
        </row>
        <row r="69">
          <cell r="A69">
            <v>3335</v>
          </cell>
          <cell r="B69" t="str">
            <v>Metalworking Machinery Manufacturing</v>
          </cell>
          <cell r="C69">
            <v>-0.34693200000000002</v>
          </cell>
        </row>
        <row r="70">
          <cell r="A70">
            <v>3336</v>
          </cell>
          <cell r="B70" t="str">
            <v>Engine, Turbine, and Power Transmission Equipment Manufacturing</v>
          </cell>
          <cell r="C70">
            <v>0.13071969999999999</v>
          </cell>
        </row>
        <row r="71">
          <cell r="A71">
            <v>3341</v>
          </cell>
          <cell r="B71" t="str">
            <v>Computer and Peripheral Equipment Manufacturing</v>
          </cell>
          <cell r="C71">
            <v>1.5960840000000001</v>
          </cell>
        </row>
        <row r="72">
          <cell r="A72">
            <v>3342</v>
          </cell>
          <cell r="B72" t="str">
            <v>Communications Equipment Manufacturing</v>
          </cell>
          <cell r="C72">
            <v>1.1817249999999999</v>
          </cell>
        </row>
        <row r="73">
          <cell r="A73">
            <v>3343</v>
          </cell>
          <cell r="B73" t="str">
            <v>Audio and Video Equipment Manufacturing</v>
          </cell>
          <cell r="C73">
            <v>1.1611320000000001</v>
          </cell>
        </row>
        <row r="74">
          <cell r="A74">
            <v>3344</v>
          </cell>
          <cell r="B74" t="str">
            <v>Semiconductor and Other Electronic Component Manufacturing</v>
          </cell>
          <cell r="C74">
            <v>0.68282949999999998</v>
          </cell>
        </row>
        <row r="75">
          <cell r="A75">
            <v>3345</v>
          </cell>
          <cell r="B75" t="str">
            <v>Navigational, Measuring, Electromedical, and Control Instruments Manufacturing</v>
          </cell>
          <cell r="C75">
            <v>1.113945</v>
          </cell>
        </row>
        <row r="76">
          <cell r="A76">
            <v>3346</v>
          </cell>
          <cell r="B76" t="str">
            <v>Manufacturing and Reproducing Magnetic and Optical Media</v>
          </cell>
          <cell r="C76">
            <v>0.14902360000000001</v>
          </cell>
        </row>
        <row r="77">
          <cell r="A77">
            <v>3351</v>
          </cell>
          <cell r="B77" t="str">
            <v>Electric Lighting Equipment Manufacturing</v>
          </cell>
          <cell r="C77">
            <v>0.58069709999999997</v>
          </cell>
        </row>
        <row r="78">
          <cell r="A78">
            <v>3352</v>
          </cell>
          <cell r="B78" t="str">
            <v>Household Appliance Manufacturing</v>
          </cell>
          <cell r="C78">
            <v>2.8170799999999999E-2</v>
          </cell>
        </row>
        <row r="79">
          <cell r="A79">
            <v>3353</v>
          </cell>
          <cell r="B79" t="str">
            <v>Electrical Equipment Manufacturing</v>
          </cell>
          <cell r="C79">
            <v>0.33297300000000002</v>
          </cell>
        </row>
        <row r="80">
          <cell r="A80">
            <v>3359</v>
          </cell>
          <cell r="B80" t="str">
            <v>Other Electrical Equipment and Component Manufacturing</v>
          </cell>
          <cell r="C80">
            <v>-3.8407299999999998E-2</v>
          </cell>
        </row>
        <row r="81">
          <cell r="A81">
            <v>3361</v>
          </cell>
          <cell r="B81" t="str">
            <v>Motor Vehicle Manufacturing</v>
          </cell>
          <cell r="C81">
            <v>-0.30234739999999999</v>
          </cell>
        </row>
        <row r="82">
          <cell r="A82">
            <v>3362</v>
          </cell>
          <cell r="B82" t="str">
            <v>Motor Vehicle Body and Trailer Manufacturing</v>
          </cell>
          <cell r="C82">
            <v>-0.80582880000000001</v>
          </cell>
        </row>
        <row r="83">
          <cell r="A83">
            <v>3363</v>
          </cell>
          <cell r="B83" t="str">
            <v>Motor Vehicle Parts Manufacturing</v>
          </cell>
          <cell r="C83">
            <v>-0.58609239999999996</v>
          </cell>
        </row>
        <row r="84">
          <cell r="A84">
            <v>3364</v>
          </cell>
          <cell r="B84" t="str">
            <v>Aerospace Product and Parts Manufacturing</v>
          </cell>
          <cell r="C84">
            <v>0.51895389999999997</v>
          </cell>
        </row>
        <row r="85">
          <cell r="A85">
            <v>3365</v>
          </cell>
          <cell r="B85" t="str">
            <v>Railroad Rolling Stock Manufacturing</v>
          </cell>
          <cell r="C85">
            <v>-0.66238710000000001</v>
          </cell>
        </row>
        <row r="86">
          <cell r="A86">
            <v>3366</v>
          </cell>
          <cell r="B86" t="str">
            <v>Ship and Boat Building</v>
          </cell>
          <cell r="C86">
            <v>-0.66754309999999994</v>
          </cell>
        </row>
        <row r="87">
          <cell r="A87">
            <v>3369</v>
          </cell>
          <cell r="B87" t="str">
            <v>Other Transportation Equipment Manufacturing</v>
          </cell>
          <cell r="C87">
            <v>-0.16767460000000001</v>
          </cell>
        </row>
        <row r="88">
          <cell r="A88">
            <v>3370</v>
          </cell>
          <cell r="B88" t="str">
            <v>Furniture and Related Product Manufacturing (3371 and 3372 only)</v>
          </cell>
          <cell r="C88">
            <v>-1.000794</v>
          </cell>
        </row>
        <row r="89">
          <cell r="A89">
            <v>3379</v>
          </cell>
          <cell r="B89" t="str">
            <v>Other Furniture Related Product Manufacturing</v>
          </cell>
          <cell r="C89">
            <v>-0.57247689999999996</v>
          </cell>
        </row>
        <row r="90">
          <cell r="A90">
            <v>3391</v>
          </cell>
          <cell r="B90" t="str">
            <v>Medical Equipment and Supplies Manufacturing</v>
          </cell>
          <cell r="C90">
            <v>0.23018830000000001</v>
          </cell>
        </row>
        <row r="91">
          <cell r="A91">
            <v>3399</v>
          </cell>
          <cell r="B91" t="str">
            <v>Other Miscellaneous Manufacturing</v>
          </cell>
          <cell r="C91">
            <v>-6.8744E-2</v>
          </cell>
        </row>
        <row r="92">
          <cell r="A92">
            <v>4230</v>
          </cell>
          <cell r="B92" t="str">
            <v>Merchant Wholesalers, Durable Goods (4232, 4233, 4235, 4236, 4237, and 4239 only)</v>
          </cell>
          <cell r="C92">
            <v>0.24247769999999999</v>
          </cell>
        </row>
        <row r="93">
          <cell r="A93">
            <v>4231</v>
          </cell>
          <cell r="B93" t="str">
            <v>Motor Vehicle and Motor Vehicle Parts and Supplies Merchant Wholesalers</v>
          </cell>
          <cell r="C93">
            <v>-0.16016459999999999</v>
          </cell>
        </row>
        <row r="94">
          <cell r="A94">
            <v>4234</v>
          </cell>
          <cell r="B94" t="str">
            <v>Professional and Commercial Equipment and Supplies Merchant Wholesalers</v>
          </cell>
          <cell r="C94">
            <v>1.041147</v>
          </cell>
        </row>
        <row r="95">
          <cell r="A95">
            <v>4238</v>
          </cell>
          <cell r="B95" t="str">
            <v>Machinery, Equipment, and Supplies Merchant Wholesalers</v>
          </cell>
          <cell r="C95">
            <v>0.26075710000000002</v>
          </cell>
        </row>
        <row r="96">
          <cell r="A96">
            <v>4240</v>
          </cell>
          <cell r="B96" t="str">
            <v>Merchant Wholesalers, Nondurable Goods (4244 and 4248 only)</v>
          </cell>
          <cell r="C96">
            <v>-0.358483</v>
          </cell>
        </row>
        <row r="97">
          <cell r="A97">
            <v>4240</v>
          </cell>
          <cell r="B97" t="str">
            <v>Merchant Wholesalers, Nondurable Goods (4241, 4247, and 4249 only)</v>
          </cell>
          <cell r="C97">
            <v>0.68382419999999999</v>
          </cell>
        </row>
        <row r="98">
          <cell r="A98">
            <v>4240</v>
          </cell>
          <cell r="B98" t="str">
            <v>Merchant Wholesalers, Nondurable Goods (4242 and 4246 only)</v>
          </cell>
          <cell r="C98">
            <v>-2.7296999999999998E-3</v>
          </cell>
        </row>
        <row r="99">
          <cell r="A99">
            <v>4243</v>
          </cell>
          <cell r="B99" t="str">
            <v>Apparel, Piece Goods, and Notions Merchant Wholesalers</v>
          </cell>
          <cell r="C99">
            <v>0.6573116</v>
          </cell>
        </row>
        <row r="100">
          <cell r="A100">
            <v>4245</v>
          </cell>
          <cell r="B100" t="str">
            <v>Farm Product Raw Material Merchant Wholesalers</v>
          </cell>
          <cell r="C100">
            <v>-0.71096689999999996</v>
          </cell>
        </row>
        <row r="101">
          <cell r="A101">
            <v>4251</v>
          </cell>
          <cell r="B101" t="str">
            <v>Wholesale Electronic Markets and Agents and Brokers</v>
          </cell>
          <cell r="C101">
            <v>0.98767170000000004</v>
          </cell>
        </row>
        <row r="102">
          <cell r="A102">
            <v>4411</v>
          </cell>
          <cell r="B102" t="str">
            <v>Automobile Dealers</v>
          </cell>
          <cell r="C102">
            <v>-0.16688939999999999</v>
          </cell>
        </row>
        <row r="103">
          <cell r="A103">
            <v>4412</v>
          </cell>
          <cell r="B103" t="str">
            <v>Other Motor Vehicle Dealers</v>
          </cell>
          <cell r="C103">
            <v>-0.1300993</v>
          </cell>
        </row>
        <row r="104">
          <cell r="A104">
            <v>4413</v>
          </cell>
          <cell r="B104" t="str">
            <v>Automotive Parts, Accessories, and Tire Stores</v>
          </cell>
          <cell r="C104">
            <v>-0.6871853</v>
          </cell>
        </row>
        <row r="105">
          <cell r="A105">
            <v>4421</v>
          </cell>
          <cell r="B105" t="str">
            <v>Furniture Stores</v>
          </cell>
          <cell r="C105">
            <v>-1.12289E-2</v>
          </cell>
        </row>
        <row r="106">
          <cell r="A106">
            <v>4422</v>
          </cell>
          <cell r="B106" t="str">
            <v>Home Furnishings Stores</v>
          </cell>
          <cell r="C106">
            <v>4.9806999999999997E-2</v>
          </cell>
        </row>
        <row r="107">
          <cell r="A107">
            <v>4431</v>
          </cell>
          <cell r="B107" t="str">
            <v>Electronics and Appliance Stores</v>
          </cell>
          <cell r="C107">
            <v>0.3619018</v>
          </cell>
        </row>
        <row r="108">
          <cell r="A108">
            <v>4441</v>
          </cell>
          <cell r="B108" t="str">
            <v>Building Material and Supplies Dealers</v>
          </cell>
          <cell r="C108">
            <v>0.1045359</v>
          </cell>
        </row>
        <row r="109">
          <cell r="A109">
            <v>4442</v>
          </cell>
          <cell r="B109" t="str">
            <v>Lawn and Garden Equipment and Supplies Stores</v>
          </cell>
          <cell r="C109">
            <v>-0.46416360000000001</v>
          </cell>
        </row>
        <row r="110">
          <cell r="A110">
            <v>4450</v>
          </cell>
          <cell r="B110" t="str">
            <v>Food and Beverage Stores (4451 and 4452 only)</v>
          </cell>
          <cell r="C110">
            <v>-0.40669559999999999</v>
          </cell>
        </row>
        <row r="111">
          <cell r="A111">
            <v>4453</v>
          </cell>
          <cell r="B111" t="str">
            <v>Beer, Wine, and Liquor Stores</v>
          </cell>
          <cell r="C111">
            <v>-1.8579700000000001E-2</v>
          </cell>
        </row>
        <row r="112">
          <cell r="A112">
            <v>4461</v>
          </cell>
          <cell r="B112" t="str">
            <v>Health and Personal Care Stores</v>
          </cell>
          <cell r="C112">
            <v>0.32572509999999999</v>
          </cell>
        </row>
        <row r="113">
          <cell r="A113">
            <v>4471</v>
          </cell>
          <cell r="B113" t="str">
            <v>Gasoline Stations</v>
          </cell>
          <cell r="C113">
            <v>-0.31082290000000001</v>
          </cell>
        </row>
        <row r="114">
          <cell r="A114">
            <v>4481</v>
          </cell>
          <cell r="B114" t="str">
            <v>Clothing Stores</v>
          </cell>
          <cell r="C114">
            <v>0.22683809999999999</v>
          </cell>
        </row>
        <row r="115">
          <cell r="A115">
            <v>4482</v>
          </cell>
          <cell r="B115" t="str">
            <v>Shoe Stores</v>
          </cell>
          <cell r="C115">
            <v>0.28108080000000002</v>
          </cell>
        </row>
        <row r="116">
          <cell r="A116">
            <v>4483</v>
          </cell>
          <cell r="B116" t="str">
            <v>Jewelry, Luggage, and Leather Goods Stores</v>
          </cell>
          <cell r="C116">
            <v>0.3828857</v>
          </cell>
        </row>
        <row r="117">
          <cell r="A117">
            <v>4511</v>
          </cell>
          <cell r="B117" t="str">
            <v>Sporting Goods, Hobby, and Musical Instrument Stores</v>
          </cell>
          <cell r="C117">
            <v>0.20909430000000001</v>
          </cell>
        </row>
        <row r="118">
          <cell r="A118">
            <v>4512</v>
          </cell>
          <cell r="B118" t="str">
            <v>Book Stores and News Dealers</v>
          </cell>
          <cell r="C118">
            <v>0.24998709999999999</v>
          </cell>
        </row>
        <row r="119">
          <cell r="A119">
            <v>4520</v>
          </cell>
          <cell r="B119" t="str">
            <v>General Merchandise Stores</v>
          </cell>
          <cell r="C119">
            <v>-7.2189999999999997E-3</v>
          </cell>
        </row>
        <row r="120">
          <cell r="A120">
            <v>4530</v>
          </cell>
          <cell r="B120" t="str">
            <v>Miscellaneous Store Retailers (4532 and 4533 only)</v>
          </cell>
          <cell r="C120">
            <v>0.16633829999999999</v>
          </cell>
        </row>
        <row r="121">
          <cell r="A121">
            <v>4531</v>
          </cell>
          <cell r="B121" t="str">
            <v>Florists</v>
          </cell>
          <cell r="C121">
            <v>-0.36900169999999999</v>
          </cell>
        </row>
        <row r="122">
          <cell r="A122">
            <v>4539</v>
          </cell>
          <cell r="B122" t="str">
            <v>Other Miscellaneous Store Retailers</v>
          </cell>
          <cell r="C122">
            <v>7.8100000000000001E-3</v>
          </cell>
        </row>
        <row r="123">
          <cell r="A123">
            <v>4541</v>
          </cell>
          <cell r="B123" t="str">
            <v>Electronic Shopping and Mail-Order Houses</v>
          </cell>
          <cell r="C123">
            <v>0.60468379999999999</v>
          </cell>
        </row>
        <row r="124">
          <cell r="A124">
            <v>4542</v>
          </cell>
          <cell r="B124" t="str">
            <v>Vending Machine Operators</v>
          </cell>
          <cell r="C124">
            <v>-0.66468550000000004</v>
          </cell>
        </row>
        <row r="125">
          <cell r="A125">
            <v>4543</v>
          </cell>
          <cell r="B125" t="str">
            <v>Direct Selling Establishments</v>
          </cell>
          <cell r="C125">
            <v>-4.3331599999999998E-2</v>
          </cell>
        </row>
        <row r="126">
          <cell r="A126">
            <v>4811</v>
          </cell>
          <cell r="B126" t="str">
            <v>Scheduled Air Transportation</v>
          </cell>
          <cell r="C126">
            <v>-0.45554489999999997</v>
          </cell>
        </row>
        <row r="127">
          <cell r="A127">
            <v>4812</v>
          </cell>
          <cell r="B127" t="str">
            <v>Nonscheduled Air Transportation</v>
          </cell>
          <cell r="C127">
            <v>0.1134526</v>
          </cell>
        </row>
        <row r="128">
          <cell r="A128">
            <v>4821</v>
          </cell>
          <cell r="B128" t="str">
            <v>Rail Transportation</v>
          </cell>
          <cell r="C128">
            <v>-0.59223579999999998</v>
          </cell>
        </row>
        <row r="129">
          <cell r="A129">
            <v>4831</v>
          </cell>
          <cell r="B129" t="str">
            <v>Deep Sea, Coastal, and Great Lakes Water Transportation</v>
          </cell>
          <cell r="C129">
            <v>-0.32800489999999999</v>
          </cell>
        </row>
        <row r="130">
          <cell r="A130">
            <v>4832</v>
          </cell>
          <cell r="B130" t="str">
            <v>Inland Water Transportation</v>
          </cell>
          <cell r="C130">
            <v>-0.87184790000000001</v>
          </cell>
        </row>
        <row r="131">
          <cell r="A131">
            <v>4840</v>
          </cell>
          <cell r="B131" t="str">
            <v>Truck Transportation</v>
          </cell>
          <cell r="C131">
            <v>-1.2821910000000001</v>
          </cell>
        </row>
        <row r="132">
          <cell r="A132">
            <v>4851</v>
          </cell>
          <cell r="B132" t="str">
            <v>Urban Transit Systems</v>
          </cell>
          <cell r="C132">
            <v>-0.1201694</v>
          </cell>
        </row>
        <row r="133">
          <cell r="A133">
            <v>4852</v>
          </cell>
          <cell r="B133" t="str">
            <v>Interurban and Rural Bus Transportation</v>
          </cell>
          <cell r="C133">
            <v>-4.6220700000000003E-2</v>
          </cell>
        </row>
        <row r="134">
          <cell r="A134">
            <v>4853</v>
          </cell>
          <cell r="B134" t="str">
            <v>Taxi and Limousine Service</v>
          </cell>
          <cell r="C134">
            <v>1.3698570000000001</v>
          </cell>
        </row>
        <row r="135">
          <cell r="A135">
            <v>4854</v>
          </cell>
          <cell r="B135" t="str">
            <v>School and Employee Bus Transportation</v>
          </cell>
          <cell r="C135">
            <v>7.6602000000000003E-2</v>
          </cell>
        </row>
        <row r="136">
          <cell r="A136">
            <v>4855</v>
          </cell>
          <cell r="B136" t="str">
            <v>Charter Bus Industry</v>
          </cell>
          <cell r="C136">
            <v>9.3568000000000002E-3</v>
          </cell>
        </row>
        <row r="137">
          <cell r="A137">
            <v>4859</v>
          </cell>
          <cell r="B137" t="str">
            <v>Other Transit and Ground Passenger Transportation</v>
          </cell>
          <cell r="C137">
            <v>0.96230689999999997</v>
          </cell>
        </row>
        <row r="138">
          <cell r="A138">
            <v>4861</v>
          </cell>
          <cell r="B138" t="str">
            <v>Pipeline Transportation of Crude Oil</v>
          </cell>
          <cell r="C138">
            <v>-0.13405030000000001</v>
          </cell>
        </row>
        <row r="139">
          <cell r="A139">
            <v>4862</v>
          </cell>
          <cell r="B139" t="str">
            <v>Pipeline Transportation of Natural Gas</v>
          </cell>
          <cell r="C139">
            <v>-9.0111899999999995E-2</v>
          </cell>
        </row>
        <row r="140">
          <cell r="A140">
            <v>4869</v>
          </cell>
          <cell r="B140" t="str">
            <v>Other Pipeline Transportation</v>
          </cell>
          <cell r="C140">
            <v>-3.9355500000000002E-2</v>
          </cell>
        </row>
        <row r="141">
          <cell r="A141">
            <v>4871</v>
          </cell>
          <cell r="B141" t="str">
            <v>Scenic and Sightseeing Transportation, Land</v>
          </cell>
          <cell r="C141">
            <v>0.40422150000000001</v>
          </cell>
        </row>
        <row r="142">
          <cell r="A142">
            <v>4872</v>
          </cell>
          <cell r="B142" t="str">
            <v>Scenic and Sightseeing Transportation, Water</v>
          </cell>
          <cell r="C142">
            <v>-0.66793080000000005</v>
          </cell>
        </row>
        <row r="143">
          <cell r="A143">
            <v>4879</v>
          </cell>
          <cell r="B143" t="str">
            <v>Scenic and Sightseeing Transportation, Other</v>
          </cell>
          <cell r="C143">
            <v>0.18661249999999999</v>
          </cell>
        </row>
        <row r="144">
          <cell r="A144">
            <v>4881</v>
          </cell>
          <cell r="B144" t="str">
            <v>Support Activities for Air Transportation</v>
          </cell>
          <cell r="C144">
            <v>-0.33533980000000002</v>
          </cell>
        </row>
        <row r="145">
          <cell r="A145">
            <v>4882</v>
          </cell>
          <cell r="B145" t="str">
            <v>Support Activities for Rail Transportation</v>
          </cell>
          <cell r="C145">
            <v>-1.4749890000000001</v>
          </cell>
        </row>
        <row r="146">
          <cell r="A146">
            <v>4883</v>
          </cell>
          <cell r="B146" t="str">
            <v>Support Activities for Water Transportation</v>
          </cell>
          <cell r="C146">
            <v>-1.4110640000000001</v>
          </cell>
        </row>
        <row r="147">
          <cell r="A147">
            <v>4884</v>
          </cell>
          <cell r="B147" t="str">
            <v>Support Activities for Road Transportation</v>
          </cell>
          <cell r="C147">
            <v>-0.9504591</v>
          </cell>
        </row>
        <row r="148">
          <cell r="A148">
            <v>4885</v>
          </cell>
          <cell r="B148" t="str">
            <v>Freight Transportation Arrangement</v>
          </cell>
          <cell r="C148">
            <v>1.0246090000000001</v>
          </cell>
        </row>
        <row r="149">
          <cell r="A149">
            <v>4889</v>
          </cell>
          <cell r="B149" t="str">
            <v>Other Support Activities for Transportation</v>
          </cell>
          <cell r="C149">
            <v>-1.105623</v>
          </cell>
        </row>
        <row r="150">
          <cell r="A150">
            <v>4911</v>
          </cell>
          <cell r="B150" t="str">
            <v>Postal Service (federal government)</v>
          </cell>
          <cell r="C150">
            <v>-1.3147420000000001</v>
          </cell>
        </row>
        <row r="151">
          <cell r="A151">
            <v>4921</v>
          </cell>
          <cell r="B151" t="str">
            <v>Couriers and Express Delivery Services</v>
          </cell>
          <cell r="C151">
            <v>-1.150431</v>
          </cell>
        </row>
        <row r="152">
          <cell r="A152">
            <v>4922</v>
          </cell>
          <cell r="B152" t="str">
            <v>Local Messengers and Local Delivery</v>
          </cell>
          <cell r="C152">
            <v>-1.1828289999999999</v>
          </cell>
        </row>
        <row r="153">
          <cell r="A153">
            <v>4931</v>
          </cell>
          <cell r="B153" t="str">
            <v>Warehousing and Storage</v>
          </cell>
          <cell r="C153">
            <v>-1.5912599999999999</v>
          </cell>
        </row>
        <row r="154">
          <cell r="A154">
            <v>5111</v>
          </cell>
          <cell r="B154" t="str">
            <v>Newspaper, Periodical, Book, and Directory Publishers</v>
          </cell>
          <cell r="C154">
            <v>1.337831</v>
          </cell>
        </row>
        <row r="155">
          <cell r="A155">
            <v>5112</v>
          </cell>
          <cell r="B155" t="str">
            <v>Software Publishers</v>
          </cell>
          <cell r="C155">
            <v>1.9663090000000001</v>
          </cell>
        </row>
        <row r="156">
          <cell r="A156">
            <v>5121</v>
          </cell>
          <cell r="B156" t="str">
            <v>Motion Picture and Video Industries</v>
          </cell>
          <cell r="C156">
            <v>0.40260410000000002</v>
          </cell>
        </row>
        <row r="157">
          <cell r="A157">
            <v>5122</v>
          </cell>
          <cell r="B157" t="str">
            <v>Sound Recording Industries</v>
          </cell>
          <cell r="C157">
            <v>1.43428</v>
          </cell>
        </row>
        <row r="158">
          <cell r="A158">
            <v>5151</v>
          </cell>
          <cell r="B158" t="str">
            <v>Radio and Television Broadcasting</v>
          </cell>
          <cell r="C158">
            <v>1.4296249999999999</v>
          </cell>
        </row>
        <row r="159">
          <cell r="A159">
            <v>5152</v>
          </cell>
          <cell r="B159" t="str">
            <v>Cable and Other Subscription Programming</v>
          </cell>
          <cell r="C159">
            <v>1.098212</v>
          </cell>
        </row>
        <row r="160">
          <cell r="A160">
            <v>5170</v>
          </cell>
          <cell r="B160" t="str">
            <v>Telecommunications</v>
          </cell>
          <cell r="C160">
            <v>0.2466103</v>
          </cell>
        </row>
        <row r="161">
          <cell r="A161">
            <v>5182</v>
          </cell>
          <cell r="B161" t="str">
            <v>Data Processing, Hosting, and Related Services</v>
          </cell>
          <cell r="C161">
            <v>1.7428600000000001</v>
          </cell>
        </row>
        <row r="162">
          <cell r="A162">
            <v>5191</v>
          </cell>
          <cell r="B162" t="str">
            <v>Other Information Services</v>
          </cell>
          <cell r="C162">
            <v>1.7496640000000001</v>
          </cell>
        </row>
        <row r="163">
          <cell r="A163">
            <v>5211</v>
          </cell>
          <cell r="B163" t="str">
            <v>Monetary Authorities-Central Bank</v>
          </cell>
          <cell r="C163">
            <v>1.7703469999999999</v>
          </cell>
        </row>
        <row r="164">
          <cell r="A164">
            <v>5220</v>
          </cell>
          <cell r="B164" t="str">
            <v>Credit Intermediation and Related Activities (5221 And 5223 only)</v>
          </cell>
          <cell r="C164">
            <v>1.888684</v>
          </cell>
        </row>
        <row r="165">
          <cell r="A165">
            <v>5222</v>
          </cell>
          <cell r="B165" t="str">
            <v>Nondepository Credit Intermediation</v>
          </cell>
          <cell r="C165">
            <v>2.1133449999999998</v>
          </cell>
        </row>
        <row r="166">
          <cell r="A166">
            <v>5230</v>
          </cell>
          <cell r="B166" t="str">
            <v>Securities, Commodity Contracts, and Other Financial Investments and Related Activities</v>
          </cell>
          <cell r="C166">
            <v>2.2186650000000001</v>
          </cell>
        </row>
        <row r="167">
          <cell r="A167">
            <v>5241</v>
          </cell>
          <cell r="B167" t="str">
            <v>Insurance Carriers</v>
          </cell>
          <cell r="C167">
            <v>2.0587939999999998</v>
          </cell>
        </row>
        <row r="168">
          <cell r="A168">
            <v>5242</v>
          </cell>
          <cell r="B168" t="str">
            <v>Agencies, Brokerages, and Other Insurance Related Activities</v>
          </cell>
          <cell r="C168">
            <v>2.1209959999999999</v>
          </cell>
        </row>
        <row r="169">
          <cell r="A169">
            <v>5251</v>
          </cell>
          <cell r="B169" t="str">
            <v>Insurance and Employee Benefit Funds</v>
          </cell>
          <cell r="C169">
            <v>2.1803089999999998</v>
          </cell>
        </row>
        <row r="170">
          <cell r="A170">
            <v>5259</v>
          </cell>
          <cell r="B170" t="str">
            <v>Other Investment Pools and Funds</v>
          </cell>
          <cell r="C170">
            <v>2.0702199999999999</v>
          </cell>
        </row>
        <row r="171">
          <cell r="A171">
            <v>5310</v>
          </cell>
          <cell r="B171" t="str">
            <v>Real Estate</v>
          </cell>
          <cell r="C171">
            <v>0.5238351</v>
          </cell>
        </row>
        <row r="172">
          <cell r="A172">
            <v>5320</v>
          </cell>
          <cell r="B172" t="str">
            <v>Rental and Leasing Services (5322, 5323, and 5324 only)</v>
          </cell>
          <cell r="C172">
            <v>-0.27059709999999998</v>
          </cell>
        </row>
        <row r="173">
          <cell r="A173">
            <v>5321</v>
          </cell>
          <cell r="B173" t="str">
            <v>Automotive Equipment Rental and Leasing</v>
          </cell>
          <cell r="C173">
            <v>-0.1278947</v>
          </cell>
        </row>
        <row r="174">
          <cell r="A174">
            <v>5331</v>
          </cell>
          <cell r="B174" t="str">
            <v>Lessors of Nonfinancial Intangible Assets (except Copyrighted Works)</v>
          </cell>
          <cell r="C174">
            <v>1.9114720000000001</v>
          </cell>
        </row>
        <row r="175">
          <cell r="A175">
            <v>5411</v>
          </cell>
          <cell r="B175" t="str">
            <v>Legal Services</v>
          </cell>
          <cell r="C175">
            <v>2.1567409999999998</v>
          </cell>
        </row>
        <row r="176">
          <cell r="A176">
            <v>5412</v>
          </cell>
          <cell r="B176" t="str">
            <v>Accounting, Tax Preparation, Bookkeeping, and Payroll Services</v>
          </cell>
          <cell r="C176">
            <v>2.2156280000000002</v>
          </cell>
        </row>
        <row r="177">
          <cell r="A177">
            <v>5413</v>
          </cell>
          <cell r="B177" t="str">
            <v>Architectural, Engineering, and Related Services</v>
          </cell>
          <cell r="C177">
            <v>1.4928140000000001</v>
          </cell>
        </row>
        <row r="178">
          <cell r="A178">
            <v>5414</v>
          </cell>
          <cell r="B178" t="str">
            <v>Specialized Design Services</v>
          </cell>
          <cell r="C178">
            <v>1.280983</v>
          </cell>
        </row>
        <row r="179">
          <cell r="A179">
            <v>5415</v>
          </cell>
          <cell r="B179" t="str">
            <v>Computer Systems Design and Related Services</v>
          </cell>
          <cell r="C179">
            <v>1.8602259999999999</v>
          </cell>
        </row>
        <row r="180">
          <cell r="A180">
            <v>5416</v>
          </cell>
          <cell r="B180" t="str">
            <v>Management, Scientific, and Technical Consulting Services</v>
          </cell>
          <cell r="C180">
            <v>1.8047</v>
          </cell>
        </row>
        <row r="181">
          <cell r="A181">
            <v>5417</v>
          </cell>
          <cell r="B181" t="str">
            <v>Scientific Research and Development Services</v>
          </cell>
          <cell r="C181">
            <v>1.6354070000000001</v>
          </cell>
        </row>
        <row r="182">
          <cell r="A182">
            <v>5418</v>
          </cell>
          <cell r="B182" t="str">
            <v>Advertising, Public Relations, and Related Services</v>
          </cell>
          <cell r="C182">
            <v>1.305607</v>
          </cell>
        </row>
        <row r="183">
          <cell r="A183">
            <v>5419</v>
          </cell>
          <cell r="B183" t="str">
            <v>Other Professional, Scientific, and Technical Services</v>
          </cell>
          <cell r="C183">
            <v>0.60224449999999996</v>
          </cell>
        </row>
        <row r="184">
          <cell r="A184">
            <v>5511</v>
          </cell>
          <cell r="B184" t="str">
            <v>Management of Companies and Enterprises</v>
          </cell>
          <cell r="C184">
            <v>1.6987099999999999</v>
          </cell>
        </row>
        <row r="185">
          <cell r="A185">
            <v>5611</v>
          </cell>
          <cell r="B185" t="str">
            <v>Office Administrative Services</v>
          </cell>
          <cell r="C185">
            <v>1.7537689999999999</v>
          </cell>
        </row>
        <row r="186">
          <cell r="A186">
            <v>5612</v>
          </cell>
          <cell r="B186" t="str">
            <v>Facilities Support Services</v>
          </cell>
          <cell r="C186">
            <v>-1.0082279999999999</v>
          </cell>
        </row>
        <row r="187">
          <cell r="A187">
            <v>5613</v>
          </cell>
          <cell r="B187" t="str">
            <v>Employment Services</v>
          </cell>
          <cell r="C187">
            <v>-0.72346540000000004</v>
          </cell>
        </row>
        <row r="188">
          <cell r="A188">
            <v>5614</v>
          </cell>
          <cell r="B188" t="str">
            <v>Business Support Services</v>
          </cell>
          <cell r="C188">
            <v>1.7049650000000001</v>
          </cell>
        </row>
        <row r="189">
          <cell r="A189">
            <v>5615</v>
          </cell>
          <cell r="B189" t="str">
            <v>Travel Arrangement and Reservation Services</v>
          </cell>
          <cell r="C189">
            <v>1.68347</v>
          </cell>
        </row>
        <row r="190">
          <cell r="A190">
            <v>5616</v>
          </cell>
          <cell r="B190" t="str">
            <v>Investigation and Security Services</v>
          </cell>
          <cell r="C190">
            <v>-0.34424979999999999</v>
          </cell>
        </row>
        <row r="191">
          <cell r="A191">
            <v>5617</v>
          </cell>
          <cell r="B191" t="str">
            <v>Services to Buildings and Dwellings</v>
          </cell>
          <cell r="C191">
            <v>-1.998597</v>
          </cell>
        </row>
        <row r="192">
          <cell r="A192">
            <v>5619</v>
          </cell>
          <cell r="B192" t="str">
            <v>Other Support Services</v>
          </cell>
          <cell r="C192">
            <v>-0.47627039999999998</v>
          </cell>
        </row>
        <row r="193">
          <cell r="A193">
            <v>5621</v>
          </cell>
          <cell r="B193" t="str">
            <v>Waste Collection</v>
          </cell>
          <cell r="C193">
            <v>-1.3324959999999999</v>
          </cell>
        </row>
        <row r="194">
          <cell r="A194">
            <v>5622</v>
          </cell>
          <cell r="B194" t="str">
            <v>Waste Treatment and Disposal</v>
          </cell>
          <cell r="C194">
            <v>-0.79653079999999998</v>
          </cell>
        </row>
        <row r="195">
          <cell r="A195">
            <v>5629</v>
          </cell>
          <cell r="B195" t="str">
            <v>Remediation and Other Waste Management Services</v>
          </cell>
          <cell r="C195">
            <v>-0.78353329999999999</v>
          </cell>
        </row>
        <row r="196">
          <cell r="A196">
            <v>6111</v>
          </cell>
          <cell r="B196" t="str">
            <v>Elementary and Secondary Schools</v>
          </cell>
          <cell r="C196">
            <v>1.3159559999999999</v>
          </cell>
        </row>
        <row r="197">
          <cell r="A197">
            <v>6112</v>
          </cell>
          <cell r="B197" t="str">
            <v>Junior Colleges</v>
          </cell>
          <cell r="C197">
            <v>1.530079</v>
          </cell>
        </row>
        <row r="198">
          <cell r="A198">
            <v>6113</v>
          </cell>
          <cell r="B198" t="str">
            <v>Colleges, Universities, and Professional Schools</v>
          </cell>
          <cell r="C198">
            <v>1.4565619999999999</v>
          </cell>
        </row>
        <row r="199">
          <cell r="A199">
            <v>6114</v>
          </cell>
          <cell r="B199" t="str">
            <v>Business Schools and Computer and Management Training</v>
          </cell>
          <cell r="C199">
            <v>1.7411920000000001</v>
          </cell>
        </row>
        <row r="200">
          <cell r="A200">
            <v>6115</v>
          </cell>
          <cell r="B200" t="str">
            <v>Technical and Trade Schools</v>
          </cell>
          <cell r="C200">
            <v>0.94702600000000003</v>
          </cell>
        </row>
        <row r="201">
          <cell r="A201">
            <v>6116</v>
          </cell>
          <cell r="B201" t="str">
            <v>Other Schools and Instruction</v>
          </cell>
          <cell r="C201">
            <v>0.67291330000000005</v>
          </cell>
        </row>
        <row r="202">
          <cell r="A202">
            <v>6117</v>
          </cell>
          <cell r="B202" t="str">
            <v>Educational Support Services</v>
          </cell>
          <cell r="C202">
            <v>1.6053980000000001</v>
          </cell>
        </row>
        <row r="203">
          <cell r="A203">
            <v>6211</v>
          </cell>
          <cell r="B203" t="str">
            <v>Offices of Physicians</v>
          </cell>
          <cell r="C203">
            <v>1.0099070000000001</v>
          </cell>
        </row>
        <row r="204">
          <cell r="A204">
            <v>6212</v>
          </cell>
          <cell r="B204" t="str">
            <v>Offices of Dentists</v>
          </cell>
          <cell r="C204">
            <v>0.41548839999999998</v>
          </cell>
        </row>
        <row r="205">
          <cell r="A205">
            <v>6213</v>
          </cell>
          <cell r="B205" t="str">
            <v>Offices of Other Health Practitioners</v>
          </cell>
          <cell r="C205">
            <v>0.7008373</v>
          </cell>
        </row>
        <row r="206">
          <cell r="A206">
            <v>6214</v>
          </cell>
          <cell r="B206" t="str">
            <v>Outpatient Care Centers</v>
          </cell>
          <cell r="C206">
            <v>0.9686477</v>
          </cell>
        </row>
        <row r="207">
          <cell r="A207">
            <v>6215</v>
          </cell>
          <cell r="B207" t="str">
            <v>Medical and Diagnostic Laboratories</v>
          </cell>
          <cell r="C207">
            <v>0.67419549999999995</v>
          </cell>
        </row>
        <row r="208">
          <cell r="A208">
            <v>6216</v>
          </cell>
          <cell r="B208" t="str">
            <v>Home Health Care Services</v>
          </cell>
          <cell r="C208">
            <v>0.69270719999999997</v>
          </cell>
        </row>
        <row r="209">
          <cell r="A209">
            <v>6219</v>
          </cell>
          <cell r="B209" t="str">
            <v>Other Ambulatory Health Care Services</v>
          </cell>
          <cell r="C209">
            <v>0.78693480000000005</v>
          </cell>
        </row>
        <row r="210">
          <cell r="A210">
            <v>6221</v>
          </cell>
          <cell r="B210" t="str">
            <v>General Medical and Surgical Hospitals</v>
          </cell>
          <cell r="C210">
            <v>0.52749619999999997</v>
          </cell>
        </row>
        <row r="211">
          <cell r="A211">
            <v>6222</v>
          </cell>
          <cell r="B211" t="str">
            <v>Psychiatric and Substance Abuse Hospitals</v>
          </cell>
          <cell r="C211">
            <v>0.52113259999999995</v>
          </cell>
        </row>
        <row r="212">
          <cell r="A212">
            <v>6223</v>
          </cell>
          <cell r="B212" t="str">
            <v>Specialty (except Psychiatric and Substance Abuse) Hospitals</v>
          </cell>
          <cell r="C212">
            <v>0.59006230000000004</v>
          </cell>
        </row>
        <row r="213">
          <cell r="A213">
            <v>6231</v>
          </cell>
          <cell r="B213" t="str">
            <v>Nursing Care Facilities (Skilled Nursing Facilities)</v>
          </cell>
          <cell r="C213">
            <v>-0.24300069999999999</v>
          </cell>
        </row>
        <row r="214">
          <cell r="A214">
            <v>6232</v>
          </cell>
          <cell r="B214" t="str">
            <v>Residential Intellectual and Developmental Disability, Mental Health, and Substance Abuse Facilities</v>
          </cell>
          <cell r="C214">
            <v>0.85724149999999999</v>
          </cell>
        </row>
        <row r="215">
          <cell r="A215">
            <v>6233</v>
          </cell>
          <cell r="B215" t="str">
            <v>Continuing Care Retirement Communities and Assisted Living Facilities for the Elderly</v>
          </cell>
          <cell r="C215">
            <v>-0.48438639999999999</v>
          </cell>
        </row>
        <row r="216">
          <cell r="A216">
            <v>6239</v>
          </cell>
          <cell r="B216" t="str">
            <v>Other Residential Care Facilities</v>
          </cell>
          <cell r="C216">
            <v>0.71901479999999995</v>
          </cell>
        </row>
        <row r="217">
          <cell r="A217">
            <v>6241</v>
          </cell>
          <cell r="B217" t="str">
            <v>Individual and Family Services</v>
          </cell>
          <cell r="C217">
            <v>1.163092</v>
          </cell>
        </row>
        <row r="218">
          <cell r="A218">
            <v>6242</v>
          </cell>
          <cell r="B218" t="str">
            <v>Community Food and Housing, and Emergency and Other Relief Services</v>
          </cell>
          <cell r="C218">
            <v>0.85144319999999996</v>
          </cell>
        </row>
        <row r="219">
          <cell r="A219">
            <v>6243</v>
          </cell>
          <cell r="B219" t="str">
            <v>Vocational Rehabilitation Services</v>
          </cell>
          <cell r="C219">
            <v>0.28632930000000001</v>
          </cell>
        </row>
        <row r="220">
          <cell r="A220">
            <v>6244</v>
          </cell>
          <cell r="B220" t="str">
            <v>Child Day Care Services</v>
          </cell>
          <cell r="C220">
            <v>5.7271799999999998E-2</v>
          </cell>
        </row>
        <row r="221">
          <cell r="A221">
            <v>7111</v>
          </cell>
          <cell r="B221" t="str">
            <v>Performing Arts Companies</v>
          </cell>
          <cell r="C221">
            <v>0.16770869999999999</v>
          </cell>
        </row>
        <row r="222">
          <cell r="A222">
            <v>7112</v>
          </cell>
          <cell r="B222" t="str">
            <v>Spectator Sports</v>
          </cell>
          <cell r="C222">
            <v>-0.25764169999999997</v>
          </cell>
        </row>
        <row r="223">
          <cell r="A223">
            <v>7113</v>
          </cell>
          <cell r="B223" t="str">
            <v>Promoters of Performing Arts, Sports, and Similar Events</v>
          </cell>
          <cell r="C223">
            <v>-0.19316539999999999</v>
          </cell>
        </row>
        <row r="224">
          <cell r="A224">
            <v>7114</v>
          </cell>
          <cell r="B224" t="str">
            <v>Agents and Managers for Artists, Athletes, Entertainers, and Other Public Figures</v>
          </cell>
          <cell r="C224">
            <v>1.910984</v>
          </cell>
        </row>
        <row r="225">
          <cell r="A225">
            <v>7115</v>
          </cell>
          <cell r="B225" t="str">
            <v>Independent Artists, Writers, and Performers</v>
          </cell>
          <cell r="C225">
            <v>0.60880230000000002</v>
          </cell>
        </row>
        <row r="226">
          <cell r="A226">
            <v>7121</v>
          </cell>
          <cell r="B226" t="str">
            <v>Museums, Historical Sites, and Similar Institutions</v>
          </cell>
          <cell r="C226">
            <v>0.38077699999999998</v>
          </cell>
        </row>
        <row r="227">
          <cell r="A227">
            <v>7131</v>
          </cell>
          <cell r="B227" t="str">
            <v>Amusement Parks and Arcades</v>
          </cell>
          <cell r="C227">
            <v>-0.53381900000000004</v>
          </cell>
        </row>
        <row r="228">
          <cell r="A228">
            <v>7132</v>
          </cell>
          <cell r="B228" t="str">
            <v>Gambling Industries</v>
          </cell>
          <cell r="C228">
            <v>-0.1355364</v>
          </cell>
        </row>
        <row r="229">
          <cell r="A229">
            <v>7139</v>
          </cell>
          <cell r="B229" t="str">
            <v>Other Amusement and Recreation Industries</v>
          </cell>
          <cell r="C229">
            <v>-1.0850679999999999</v>
          </cell>
        </row>
        <row r="230">
          <cell r="A230">
            <v>7211</v>
          </cell>
          <cell r="B230" t="str">
            <v>Traveler Accommodation</v>
          </cell>
          <cell r="C230">
            <v>-0.90261599999999997</v>
          </cell>
        </row>
        <row r="231">
          <cell r="A231">
            <v>7212</v>
          </cell>
          <cell r="B231" t="str">
            <v>RV (Recreational Vehicle) Parks and Recreational Camps</v>
          </cell>
          <cell r="C231">
            <v>-0.40493899999999999</v>
          </cell>
        </row>
        <row r="232">
          <cell r="A232">
            <v>7213</v>
          </cell>
          <cell r="B232" t="str">
            <v>Rooming and Boarding Houses</v>
          </cell>
          <cell r="C232">
            <v>-1.0513920000000001</v>
          </cell>
        </row>
        <row r="233">
          <cell r="A233">
            <v>7223</v>
          </cell>
          <cell r="B233" t="str">
            <v>Special Food Services</v>
          </cell>
          <cell r="C233">
            <v>-1.060899</v>
          </cell>
        </row>
        <row r="234">
          <cell r="A234">
            <v>7224</v>
          </cell>
          <cell r="B234" t="str">
            <v>Drinking Places (Alcoholic Beverages)</v>
          </cell>
          <cell r="C234">
            <v>-0.99912999999999996</v>
          </cell>
        </row>
        <row r="235">
          <cell r="A235">
            <v>7225</v>
          </cell>
          <cell r="B235" t="str">
            <v>Restaurants and Other Eating Places</v>
          </cell>
          <cell r="C235">
            <v>-1.171986</v>
          </cell>
        </row>
        <row r="236">
          <cell r="A236">
            <v>8111</v>
          </cell>
          <cell r="B236" t="str">
            <v>Automotive Repair and Maintenance</v>
          </cell>
          <cell r="C236">
            <v>-1.0942940000000001</v>
          </cell>
        </row>
        <row r="237">
          <cell r="A237">
            <v>8112</v>
          </cell>
          <cell r="B237" t="str">
            <v>Electronic and Precision Equipment Repair and Maintenance</v>
          </cell>
          <cell r="C237">
            <v>0.1066877</v>
          </cell>
        </row>
        <row r="238">
          <cell r="A238">
            <v>8113</v>
          </cell>
          <cell r="B238" t="str">
            <v>Commercial and Industrial Machinery and Equipment (except Automotive and Electronic) Repair and Maintenance</v>
          </cell>
          <cell r="C238">
            <v>-0.77976389999999995</v>
          </cell>
        </row>
        <row r="239">
          <cell r="A239">
            <v>8114</v>
          </cell>
          <cell r="B239" t="str">
            <v>Personal and Household Goods Repair and Maintenance</v>
          </cell>
          <cell r="C239">
            <v>-0.74646040000000002</v>
          </cell>
        </row>
        <row r="240">
          <cell r="A240">
            <v>8121</v>
          </cell>
          <cell r="B240" t="str">
            <v>Personal Care Services</v>
          </cell>
          <cell r="C240">
            <v>-0.47511540000000002</v>
          </cell>
        </row>
        <row r="241">
          <cell r="A241">
            <v>8122</v>
          </cell>
          <cell r="B241" t="str">
            <v>Death Care Services</v>
          </cell>
          <cell r="C241">
            <v>-0.31554409999999999</v>
          </cell>
        </row>
        <row r="242">
          <cell r="A242">
            <v>8123</v>
          </cell>
          <cell r="B242" t="str">
            <v>Drycleaning and Laundry Services</v>
          </cell>
          <cell r="C242">
            <v>-1.1482110000000001</v>
          </cell>
        </row>
        <row r="243">
          <cell r="A243">
            <v>8129</v>
          </cell>
          <cell r="B243" t="str">
            <v>Other Personal Services</v>
          </cell>
          <cell r="C243">
            <v>-0.77020409999999995</v>
          </cell>
        </row>
        <row r="244">
          <cell r="A244">
            <v>8131</v>
          </cell>
          <cell r="B244" t="str">
            <v>Religious Organizations</v>
          </cell>
          <cell r="C244">
            <v>0.9662193</v>
          </cell>
        </row>
        <row r="245">
          <cell r="A245">
            <v>8132</v>
          </cell>
          <cell r="B245" t="str">
            <v>Grantmaking and Giving Services</v>
          </cell>
          <cell r="C245">
            <v>1.7212149999999999</v>
          </cell>
        </row>
        <row r="246">
          <cell r="A246">
            <v>8133</v>
          </cell>
          <cell r="B246" t="str">
            <v>Social Advocacy Organizations</v>
          </cell>
          <cell r="C246">
            <v>1.1940869999999999</v>
          </cell>
        </row>
        <row r="247">
          <cell r="A247">
            <v>8134</v>
          </cell>
          <cell r="B247" t="str">
            <v>Civic and Social Organizations</v>
          </cell>
          <cell r="C247">
            <v>-0.35054479999999999</v>
          </cell>
        </row>
        <row r="248">
          <cell r="A248">
            <v>8139</v>
          </cell>
          <cell r="B248" t="str">
            <v>Business, Professional, Labor, Political, and Similar Organizations</v>
          </cell>
          <cell r="C248">
            <v>1.360341</v>
          </cell>
        </row>
        <row r="249">
          <cell r="A249">
            <v>9991</v>
          </cell>
          <cell r="B249" t="str">
            <v>Federal Executive Branch (OES Designation)</v>
          </cell>
          <cell r="C249">
            <v>1.0767819999999999</v>
          </cell>
        </row>
        <row r="250">
          <cell r="A250">
            <v>9992</v>
          </cell>
          <cell r="B250" t="str">
            <v>State Government, excluding schools and hospitals (OES Designation)</v>
          </cell>
          <cell r="C250">
            <v>0.74755190000000005</v>
          </cell>
        </row>
        <row r="251">
          <cell r="A251">
            <v>9993</v>
          </cell>
          <cell r="B251" t="str">
            <v>Local Government, excluding schools and hospitals (OES Designation)</v>
          </cell>
          <cell r="C251">
            <v>-1.43179E-2</v>
          </cell>
        </row>
      </sheetData>
      <sheetData sheetId="12">
        <row r="1">
          <cell r="A1" t="str">
            <v>FIPS Code</v>
          </cell>
          <cell r="B1" t="str">
            <v>Geographic Area</v>
          </cell>
          <cell r="C1" t="str">
            <v>AIGE</v>
          </cell>
        </row>
        <row r="2">
          <cell r="A2">
            <v>1000</v>
          </cell>
          <cell r="B2" t="str">
            <v>Alabama</v>
          </cell>
          <cell r="C2">
            <v>0.51710780000000001</v>
          </cell>
        </row>
        <row r="3">
          <cell r="A3">
            <v>1001</v>
          </cell>
          <cell r="B3" t="str">
            <v>Autauga County</v>
          </cell>
          <cell r="C3">
            <v>-0.70046529999999996</v>
          </cell>
        </row>
        <row r="4">
          <cell r="A4">
            <v>1003</v>
          </cell>
          <cell r="B4" t="str">
            <v>Baldwin County</v>
          </cell>
          <cell r="C4">
            <v>-0.63583060000000002</v>
          </cell>
        </row>
        <row r="5">
          <cell r="A5">
            <v>1005</v>
          </cell>
          <cell r="B5" t="str">
            <v>Barbour County</v>
          </cell>
          <cell r="C5">
            <v>-1.1922170000000001</v>
          </cell>
        </row>
        <row r="6">
          <cell r="A6">
            <v>1007</v>
          </cell>
          <cell r="B6" t="str">
            <v>Bibb County</v>
          </cell>
          <cell r="C6">
            <v>-0.63493290000000002</v>
          </cell>
        </row>
        <row r="7">
          <cell r="A7">
            <v>1009</v>
          </cell>
          <cell r="B7" t="str">
            <v>Blount County</v>
          </cell>
          <cell r="C7">
            <v>0.51548380000000005</v>
          </cell>
        </row>
        <row r="8">
          <cell r="A8">
            <v>1011</v>
          </cell>
          <cell r="B8" t="str">
            <v>Bullock County</v>
          </cell>
          <cell r="C8">
            <v>0.52972529999999995</v>
          </cell>
        </row>
        <row r="9">
          <cell r="A9">
            <v>1013</v>
          </cell>
          <cell r="B9" t="str">
            <v>Butler County</v>
          </cell>
          <cell r="C9">
            <v>-0.25865529999999998</v>
          </cell>
        </row>
        <row r="10">
          <cell r="A10">
            <v>1015</v>
          </cell>
          <cell r="B10" t="str">
            <v>Calhoun County</v>
          </cell>
          <cell r="C10">
            <v>3.2517600000000001E-2</v>
          </cell>
        </row>
        <row r="11">
          <cell r="A11">
            <v>1017</v>
          </cell>
          <cell r="B11" t="str">
            <v>Chambers County</v>
          </cell>
          <cell r="C11">
            <v>-1.2977099999999999</v>
          </cell>
        </row>
        <row r="12">
          <cell r="A12">
            <v>1019</v>
          </cell>
          <cell r="B12" t="str">
            <v>Cherokee County</v>
          </cell>
          <cell r="C12">
            <v>0.99807869999999999</v>
          </cell>
        </row>
        <row r="13">
          <cell r="A13">
            <v>1021</v>
          </cell>
          <cell r="B13" t="str">
            <v>Chilton County</v>
          </cell>
          <cell r="C13">
            <v>0.60061679999999995</v>
          </cell>
        </row>
        <row r="14">
          <cell r="A14">
            <v>1023</v>
          </cell>
          <cell r="B14" t="str">
            <v>Choctaw County</v>
          </cell>
          <cell r="C14">
            <v>-0.96062029999999998</v>
          </cell>
        </row>
        <row r="15">
          <cell r="A15">
            <v>1025</v>
          </cell>
          <cell r="B15" t="str">
            <v>Clarke County</v>
          </cell>
          <cell r="C15">
            <v>-1.522268</v>
          </cell>
        </row>
        <row r="16">
          <cell r="A16">
            <v>1027</v>
          </cell>
          <cell r="B16" t="str">
            <v>Clay County</v>
          </cell>
          <cell r="C16">
            <v>1.5201640000000001</v>
          </cell>
        </row>
        <row r="17">
          <cell r="A17">
            <v>1029</v>
          </cell>
          <cell r="B17" t="str">
            <v>Cleburne County</v>
          </cell>
          <cell r="C17">
            <v>2.306943</v>
          </cell>
        </row>
        <row r="18">
          <cell r="A18">
            <v>1031</v>
          </cell>
          <cell r="B18" t="str">
            <v>Coffee County</v>
          </cell>
          <cell r="C18">
            <v>-0.63040430000000003</v>
          </cell>
        </row>
        <row r="19">
          <cell r="A19">
            <v>1033</v>
          </cell>
          <cell r="B19" t="str">
            <v>Colbert County</v>
          </cell>
          <cell r="C19">
            <v>-0.87791059999999999</v>
          </cell>
        </row>
        <row r="20">
          <cell r="A20">
            <v>1035</v>
          </cell>
          <cell r="B20" t="str">
            <v>Conecuh County</v>
          </cell>
          <cell r="C20">
            <v>-0.58928349999999996</v>
          </cell>
        </row>
        <row r="21">
          <cell r="A21">
            <v>1037</v>
          </cell>
          <cell r="B21" t="str">
            <v>Coosa County</v>
          </cell>
          <cell r="C21">
            <v>2.4658850000000001</v>
          </cell>
        </row>
        <row r="22">
          <cell r="A22">
            <v>1039</v>
          </cell>
          <cell r="B22" t="str">
            <v>Covington County</v>
          </cell>
          <cell r="C22">
            <v>1.2455259999999999</v>
          </cell>
        </row>
        <row r="23">
          <cell r="A23">
            <v>1041</v>
          </cell>
          <cell r="B23" t="str">
            <v>Crenshaw County</v>
          </cell>
          <cell r="C23">
            <v>-1.699608</v>
          </cell>
        </row>
        <row r="24">
          <cell r="A24">
            <v>1043</v>
          </cell>
          <cell r="B24" t="str">
            <v>Cullman County</v>
          </cell>
          <cell r="C24">
            <v>-0.70874539999999997</v>
          </cell>
        </row>
        <row r="25">
          <cell r="A25">
            <v>1045</v>
          </cell>
          <cell r="B25" t="str">
            <v>Dale County</v>
          </cell>
          <cell r="C25">
            <v>0.24186379999999999</v>
          </cell>
        </row>
        <row r="26">
          <cell r="A26">
            <v>1047</v>
          </cell>
          <cell r="B26" t="str">
            <v>Dallas County</v>
          </cell>
          <cell r="C26">
            <v>0.47952240000000002</v>
          </cell>
        </row>
        <row r="27">
          <cell r="A27">
            <v>1049</v>
          </cell>
          <cell r="B27" t="str">
            <v>DeKalb County</v>
          </cell>
          <cell r="C27">
            <v>4.5424000000000003E-3</v>
          </cell>
        </row>
        <row r="28">
          <cell r="A28">
            <v>1051</v>
          </cell>
          <cell r="B28" t="str">
            <v>Elmore County</v>
          </cell>
          <cell r="C28">
            <v>-0.9159446</v>
          </cell>
        </row>
        <row r="29">
          <cell r="A29">
            <v>1053</v>
          </cell>
          <cell r="B29" t="str">
            <v>Escambia County</v>
          </cell>
          <cell r="C29">
            <v>-0.10874689999999999</v>
          </cell>
        </row>
        <row r="30">
          <cell r="A30">
            <v>1055</v>
          </cell>
          <cell r="B30" t="str">
            <v>Etowah County</v>
          </cell>
          <cell r="C30">
            <v>-5.7039600000000003E-2</v>
          </cell>
        </row>
        <row r="31">
          <cell r="A31">
            <v>1057</v>
          </cell>
          <cell r="B31" t="str">
            <v>Fayette County</v>
          </cell>
          <cell r="C31">
            <v>0.59284269999999994</v>
          </cell>
        </row>
        <row r="32">
          <cell r="A32">
            <v>1059</v>
          </cell>
          <cell r="B32" t="str">
            <v>Franklin County</v>
          </cell>
          <cell r="C32">
            <v>-0.98898710000000001</v>
          </cell>
        </row>
        <row r="33">
          <cell r="A33">
            <v>1061</v>
          </cell>
          <cell r="B33" t="str">
            <v>Geneva County</v>
          </cell>
          <cell r="C33">
            <v>-0.15183669999999999</v>
          </cell>
        </row>
        <row r="34">
          <cell r="A34">
            <v>1063</v>
          </cell>
          <cell r="B34" t="str">
            <v>Greene County</v>
          </cell>
          <cell r="C34">
            <v>-2.2799770000000001</v>
          </cell>
        </row>
        <row r="35">
          <cell r="A35">
            <v>1065</v>
          </cell>
          <cell r="B35" t="str">
            <v>Hale County</v>
          </cell>
          <cell r="C35">
            <v>1.1937580000000001</v>
          </cell>
        </row>
        <row r="36">
          <cell r="A36">
            <v>1067</v>
          </cell>
          <cell r="B36" t="str">
            <v>Henry County</v>
          </cell>
          <cell r="C36">
            <v>-0.62441820000000003</v>
          </cell>
        </row>
        <row r="37">
          <cell r="A37">
            <v>1069</v>
          </cell>
          <cell r="B37" t="str">
            <v>Houston County</v>
          </cell>
          <cell r="C37">
            <v>-8.6216000000000001E-2</v>
          </cell>
        </row>
        <row r="38">
          <cell r="A38">
            <v>1071</v>
          </cell>
          <cell r="B38" t="str">
            <v>Jackson County</v>
          </cell>
          <cell r="C38">
            <v>1.573224</v>
          </cell>
        </row>
        <row r="39">
          <cell r="A39">
            <v>1073</v>
          </cell>
          <cell r="B39" t="str">
            <v>Jefferson County</v>
          </cell>
          <cell r="C39">
            <v>0.80409679999999994</v>
          </cell>
        </row>
        <row r="40">
          <cell r="A40">
            <v>1075</v>
          </cell>
          <cell r="B40" t="str">
            <v>Lamar County</v>
          </cell>
          <cell r="C40">
            <v>0.55978740000000005</v>
          </cell>
        </row>
        <row r="41">
          <cell r="A41">
            <v>1077</v>
          </cell>
          <cell r="B41" t="str">
            <v>Lauderdale County</v>
          </cell>
          <cell r="C41">
            <v>1.5388499999999999E-2</v>
          </cell>
        </row>
        <row r="42">
          <cell r="A42">
            <v>1079</v>
          </cell>
          <cell r="B42" t="str">
            <v>Lawrence County</v>
          </cell>
          <cell r="C42">
            <v>1.6364160000000001</v>
          </cell>
        </row>
        <row r="43">
          <cell r="A43">
            <v>1081</v>
          </cell>
          <cell r="B43" t="str">
            <v>Lee County</v>
          </cell>
          <cell r="C43">
            <v>-0.44079679999999999</v>
          </cell>
        </row>
        <row r="44">
          <cell r="A44">
            <v>1083</v>
          </cell>
          <cell r="B44" t="str">
            <v>Limestone County</v>
          </cell>
          <cell r="C44">
            <v>-0.37812190000000001</v>
          </cell>
        </row>
        <row r="45">
          <cell r="A45">
            <v>1085</v>
          </cell>
          <cell r="B45" t="str">
            <v>Lowndes County</v>
          </cell>
          <cell r="C45">
            <v>-0.99639840000000002</v>
          </cell>
        </row>
        <row r="46">
          <cell r="A46">
            <v>1087</v>
          </cell>
          <cell r="B46" t="str">
            <v>Macon County</v>
          </cell>
          <cell r="C46">
            <v>1.5747199999999999</v>
          </cell>
        </row>
        <row r="47">
          <cell r="A47">
            <v>1089</v>
          </cell>
          <cell r="B47" t="str">
            <v>Madison County</v>
          </cell>
          <cell r="C47">
            <v>1.5300590000000001</v>
          </cell>
        </row>
        <row r="48">
          <cell r="A48">
            <v>1091</v>
          </cell>
          <cell r="B48" t="str">
            <v>Marengo County</v>
          </cell>
          <cell r="C48">
            <v>4.3925400000000003E-2</v>
          </cell>
        </row>
        <row r="49">
          <cell r="A49">
            <v>1093</v>
          </cell>
          <cell r="B49" t="str">
            <v>Marion County</v>
          </cell>
          <cell r="C49">
            <v>0.77246870000000001</v>
          </cell>
        </row>
        <row r="50">
          <cell r="A50">
            <v>1095</v>
          </cell>
          <cell r="B50" t="str">
            <v>Marshall County</v>
          </cell>
          <cell r="C50">
            <v>-1.546875</v>
          </cell>
        </row>
        <row r="51">
          <cell r="A51">
            <v>1097</v>
          </cell>
          <cell r="B51" t="str">
            <v>Mobile County</v>
          </cell>
          <cell r="C51">
            <v>0.4381237</v>
          </cell>
        </row>
        <row r="52">
          <cell r="A52">
            <v>1099</v>
          </cell>
          <cell r="B52" t="str">
            <v>Monroe County</v>
          </cell>
          <cell r="C52">
            <v>-0.92570589999999997</v>
          </cell>
        </row>
        <row r="53">
          <cell r="A53">
            <v>1101</v>
          </cell>
          <cell r="B53" t="str">
            <v>Montgomery County</v>
          </cell>
          <cell r="C53">
            <v>0.65755699999999995</v>
          </cell>
        </row>
        <row r="54">
          <cell r="A54">
            <v>1103</v>
          </cell>
          <cell r="B54" t="str">
            <v>Morgan County</v>
          </cell>
          <cell r="C54">
            <v>0.10284</v>
          </cell>
        </row>
        <row r="55">
          <cell r="A55">
            <v>1105</v>
          </cell>
          <cell r="B55" t="str">
            <v>Perry County</v>
          </cell>
          <cell r="C55">
            <v>-1.0979939999999999</v>
          </cell>
        </row>
        <row r="56">
          <cell r="A56">
            <v>1107</v>
          </cell>
          <cell r="B56" t="str">
            <v>Pickens County</v>
          </cell>
          <cell r="C56">
            <v>-2.0668449999999998</v>
          </cell>
        </row>
        <row r="57">
          <cell r="A57">
            <v>1109</v>
          </cell>
          <cell r="B57" t="str">
            <v>Pike County</v>
          </cell>
          <cell r="C57">
            <v>-0.84660539999999995</v>
          </cell>
        </row>
        <row r="58">
          <cell r="A58">
            <v>1111</v>
          </cell>
          <cell r="B58" t="str">
            <v>Randolph County</v>
          </cell>
          <cell r="C58">
            <v>1.49553</v>
          </cell>
        </row>
        <row r="59">
          <cell r="A59">
            <v>1113</v>
          </cell>
          <cell r="B59" t="str">
            <v>Russell County</v>
          </cell>
          <cell r="C59">
            <v>1.003071</v>
          </cell>
        </row>
        <row r="60">
          <cell r="A60">
            <v>1115</v>
          </cell>
          <cell r="B60" t="str">
            <v>St. Clair County</v>
          </cell>
          <cell r="C60">
            <v>-0.46711960000000002</v>
          </cell>
        </row>
        <row r="61">
          <cell r="A61">
            <v>1117</v>
          </cell>
          <cell r="B61" t="str">
            <v>Shelby County</v>
          </cell>
          <cell r="C61">
            <v>0.81773379999999996</v>
          </cell>
        </row>
        <row r="62">
          <cell r="A62">
            <v>1119</v>
          </cell>
          <cell r="B62" t="str">
            <v>Sumter County</v>
          </cell>
          <cell r="C62">
            <v>-1.2943480000000001</v>
          </cell>
        </row>
        <row r="63">
          <cell r="A63">
            <v>1121</v>
          </cell>
          <cell r="B63" t="str">
            <v>Talladega County</v>
          </cell>
          <cell r="C63">
            <v>-0.1755718</v>
          </cell>
        </row>
        <row r="64">
          <cell r="A64">
            <v>1123</v>
          </cell>
          <cell r="B64" t="str">
            <v>Tallapoosa County</v>
          </cell>
          <cell r="C64">
            <v>-0.1034041</v>
          </cell>
        </row>
        <row r="65">
          <cell r="A65">
            <v>1125</v>
          </cell>
          <cell r="B65" t="str">
            <v>Tuscaloosa County</v>
          </cell>
          <cell r="C65">
            <v>-0.55681740000000002</v>
          </cell>
        </row>
        <row r="66">
          <cell r="A66">
            <v>1127</v>
          </cell>
          <cell r="B66" t="str">
            <v>Walker County</v>
          </cell>
          <cell r="C66">
            <v>-0.35749560000000002</v>
          </cell>
        </row>
        <row r="67">
          <cell r="A67">
            <v>1129</v>
          </cell>
          <cell r="B67" t="str">
            <v>Washington County</v>
          </cell>
          <cell r="C67">
            <v>-1.962855</v>
          </cell>
        </row>
        <row r="68">
          <cell r="A68">
            <v>1131</v>
          </cell>
          <cell r="B68" t="str">
            <v>Wilcox County</v>
          </cell>
          <cell r="C68">
            <v>-1.2649319999999999</v>
          </cell>
        </row>
        <row r="69">
          <cell r="A69">
            <v>1133</v>
          </cell>
          <cell r="B69" t="str">
            <v>Winston County</v>
          </cell>
          <cell r="C69">
            <v>-1.3405320000000001</v>
          </cell>
        </row>
        <row r="70">
          <cell r="A70">
            <v>2000</v>
          </cell>
          <cell r="B70" t="str">
            <v>Alaska</v>
          </cell>
          <cell r="C70">
            <v>0.47096510000000003</v>
          </cell>
        </row>
        <row r="71">
          <cell r="A71">
            <v>2013</v>
          </cell>
          <cell r="B71" t="str">
            <v>Aleutians East Borough</v>
          </cell>
          <cell r="C71">
            <v>-3.137842</v>
          </cell>
        </row>
        <row r="72">
          <cell r="A72">
            <v>2016</v>
          </cell>
          <cell r="B72" t="str">
            <v>Aleutians West Census Area</v>
          </cell>
          <cell r="C72">
            <v>-1.377656</v>
          </cell>
        </row>
        <row r="73">
          <cell r="A73">
            <v>2020</v>
          </cell>
          <cell r="B73" t="str">
            <v>Anchorage Municipality</v>
          </cell>
          <cell r="C73">
            <v>0.51441429999999999</v>
          </cell>
        </row>
        <row r="74">
          <cell r="A74">
            <v>2050</v>
          </cell>
          <cell r="B74" t="str">
            <v>Bethel Census Area</v>
          </cell>
          <cell r="C74">
            <v>3.3451300000000002</v>
          </cell>
        </row>
        <row r="75">
          <cell r="A75">
            <v>2060</v>
          </cell>
          <cell r="B75" t="str">
            <v>Bristol Bay Borough</v>
          </cell>
          <cell r="C75">
            <v>-0.81610199999999999</v>
          </cell>
        </row>
        <row r="76">
          <cell r="A76">
            <v>2068</v>
          </cell>
          <cell r="B76" t="str">
            <v>Denali Borough</v>
          </cell>
          <cell r="C76">
            <v>-1.7868919999999999</v>
          </cell>
        </row>
        <row r="77">
          <cell r="A77">
            <v>2070</v>
          </cell>
          <cell r="B77" t="str">
            <v>Dillingham Census Area</v>
          </cell>
          <cell r="C77">
            <v>-3.0617899999999998</v>
          </cell>
        </row>
        <row r="78">
          <cell r="A78">
            <v>2090</v>
          </cell>
          <cell r="B78" t="str">
            <v>Fairbanks North Star Borough</v>
          </cell>
          <cell r="C78">
            <v>-0.3741544</v>
          </cell>
        </row>
        <row r="79">
          <cell r="A79">
            <v>2100</v>
          </cell>
          <cell r="B79" t="str">
            <v>Haines Borough</v>
          </cell>
          <cell r="C79">
            <v>-1.045993</v>
          </cell>
        </row>
        <row r="80">
          <cell r="A80">
            <v>2105</v>
          </cell>
          <cell r="B80" t="str">
            <v>Hoonah-Angoon Census Area</v>
          </cell>
          <cell r="C80">
            <v>0.3705505</v>
          </cell>
        </row>
        <row r="81">
          <cell r="A81">
            <v>2110</v>
          </cell>
          <cell r="B81" t="str">
            <v>Juneau City and Borough</v>
          </cell>
          <cell r="C81">
            <v>0.3748784</v>
          </cell>
        </row>
        <row r="82">
          <cell r="A82">
            <v>2122</v>
          </cell>
          <cell r="B82" t="str">
            <v>Kenai Peninsula Borough</v>
          </cell>
          <cell r="C82">
            <v>-0.50163690000000005</v>
          </cell>
        </row>
        <row r="83">
          <cell r="A83">
            <v>2130</v>
          </cell>
          <cell r="B83" t="str">
            <v>Ketchikan Gateway Borough</v>
          </cell>
          <cell r="C83">
            <v>-0.50653689999999996</v>
          </cell>
        </row>
        <row r="84">
          <cell r="A84">
            <v>2150</v>
          </cell>
          <cell r="B84" t="str">
            <v>Kodiak Island Borough</v>
          </cell>
          <cell r="C84">
            <v>-0.83399639999999997</v>
          </cell>
        </row>
        <row r="85">
          <cell r="A85">
            <v>2158</v>
          </cell>
          <cell r="B85" t="str">
            <v>Kusilvak Census Area</v>
          </cell>
          <cell r="C85">
            <v>-0.67269749999999995</v>
          </cell>
        </row>
        <row r="86">
          <cell r="A86">
            <v>2164</v>
          </cell>
          <cell r="B86" t="str">
            <v>Lake and Peninsula Borough</v>
          </cell>
          <cell r="C86">
            <v>-0.87271149999999997</v>
          </cell>
        </row>
        <row r="87">
          <cell r="A87">
            <v>2170</v>
          </cell>
          <cell r="B87" t="str">
            <v>Matanuska-Susitna Borough</v>
          </cell>
          <cell r="C87">
            <v>-0.24622269999999999</v>
          </cell>
        </row>
        <row r="88">
          <cell r="A88">
            <v>2180</v>
          </cell>
          <cell r="B88" t="str">
            <v>Nome Census Area</v>
          </cell>
          <cell r="C88">
            <v>2.7151830000000001</v>
          </cell>
        </row>
        <row r="89">
          <cell r="A89">
            <v>2185</v>
          </cell>
          <cell r="B89" t="str">
            <v>North Slope Borough</v>
          </cell>
          <cell r="C89">
            <v>-1.4747399999999999</v>
          </cell>
        </row>
        <row r="90">
          <cell r="A90">
            <v>2188</v>
          </cell>
          <cell r="B90" t="str">
            <v>Northwest Arctic Borough</v>
          </cell>
          <cell r="C90">
            <v>2.844903</v>
          </cell>
        </row>
        <row r="91">
          <cell r="A91">
            <v>2195</v>
          </cell>
          <cell r="B91" t="str">
            <v>Petersburg Borough</v>
          </cell>
          <cell r="C91">
            <v>-3.0249510000000002</v>
          </cell>
        </row>
        <row r="92">
          <cell r="A92">
            <v>2198</v>
          </cell>
          <cell r="B92" t="str">
            <v>Prince of Wales-Hyder Census Area</v>
          </cell>
          <cell r="C92">
            <v>-0.66745220000000005</v>
          </cell>
        </row>
        <row r="93">
          <cell r="A93">
            <v>2220</v>
          </cell>
          <cell r="B93" t="str">
            <v>Sitka City and Borough</v>
          </cell>
          <cell r="C93">
            <v>-1.206666</v>
          </cell>
        </row>
        <row r="94">
          <cell r="A94">
            <v>2230</v>
          </cell>
          <cell r="B94" t="str">
            <v>Skagway Municipality</v>
          </cell>
          <cell r="C94">
            <v>-1.6422760000000001</v>
          </cell>
        </row>
        <row r="95">
          <cell r="A95">
            <v>2240</v>
          </cell>
          <cell r="B95" t="str">
            <v>Southeast Fairbanks Census Area</v>
          </cell>
          <cell r="C95">
            <v>1.889208</v>
          </cell>
        </row>
        <row r="96">
          <cell r="A96">
            <v>2261</v>
          </cell>
          <cell r="B96" t="str">
            <v>Valdez-Cordova Census Area</v>
          </cell>
          <cell r="C96">
            <v>-1.525191</v>
          </cell>
        </row>
        <row r="97">
          <cell r="A97">
            <v>2275</v>
          </cell>
          <cell r="B97" t="str">
            <v>Wrangell City and Borough</v>
          </cell>
          <cell r="C97">
            <v>-2.1631309999999999</v>
          </cell>
        </row>
        <row r="98">
          <cell r="A98">
            <v>2282</v>
          </cell>
          <cell r="B98" t="str">
            <v>Yakutat City and Borough</v>
          </cell>
          <cell r="C98">
            <v>-0.56477379999999999</v>
          </cell>
        </row>
        <row r="99">
          <cell r="A99">
            <v>2290</v>
          </cell>
          <cell r="B99" t="str">
            <v>Yukon-Koyukuk Census Area</v>
          </cell>
          <cell r="C99">
            <v>3.140746</v>
          </cell>
        </row>
        <row r="100">
          <cell r="A100">
            <v>4000</v>
          </cell>
          <cell r="B100" t="str">
            <v>Arizona</v>
          </cell>
          <cell r="C100">
            <v>0.90880019999999995</v>
          </cell>
        </row>
        <row r="101">
          <cell r="A101">
            <v>4001</v>
          </cell>
          <cell r="B101" t="str">
            <v>Apache County</v>
          </cell>
          <cell r="C101">
            <v>2.3255140000000001</v>
          </cell>
        </row>
        <row r="102">
          <cell r="A102">
            <v>4003</v>
          </cell>
          <cell r="B102" t="str">
            <v>Cochise County</v>
          </cell>
          <cell r="C102">
            <v>0.86136440000000003</v>
          </cell>
        </row>
        <row r="103">
          <cell r="A103">
            <v>4005</v>
          </cell>
          <cell r="B103" t="str">
            <v>Coconino County</v>
          </cell>
          <cell r="C103">
            <v>-0.22983049999999999</v>
          </cell>
        </row>
        <row r="104">
          <cell r="A104">
            <v>4007</v>
          </cell>
          <cell r="B104" t="str">
            <v>Gila County</v>
          </cell>
          <cell r="C104">
            <v>-0.61043040000000004</v>
          </cell>
        </row>
        <row r="105">
          <cell r="A105">
            <v>4009</v>
          </cell>
          <cell r="B105" t="str">
            <v>Graham County</v>
          </cell>
          <cell r="C105">
            <v>0.66504059999999998</v>
          </cell>
        </row>
        <row r="106">
          <cell r="A106">
            <v>4011</v>
          </cell>
          <cell r="B106" t="str">
            <v>Greenlee County</v>
          </cell>
          <cell r="C106">
            <v>-3.6170439999999999</v>
          </cell>
        </row>
        <row r="107">
          <cell r="A107">
            <v>4012</v>
          </cell>
          <cell r="B107" t="str">
            <v>La Paz County</v>
          </cell>
          <cell r="C107">
            <v>-5.0122E-2</v>
          </cell>
        </row>
        <row r="108">
          <cell r="A108">
            <v>4013</v>
          </cell>
          <cell r="B108" t="str">
            <v>Maricopa County</v>
          </cell>
          <cell r="C108">
            <v>0.93362460000000003</v>
          </cell>
        </row>
        <row r="109">
          <cell r="A109">
            <v>4015</v>
          </cell>
          <cell r="B109" t="str">
            <v>Mohave County</v>
          </cell>
          <cell r="C109">
            <v>-0.1346637</v>
          </cell>
        </row>
        <row r="110">
          <cell r="A110">
            <v>4017</v>
          </cell>
          <cell r="B110" t="str">
            <v>Navajo County</v>
          </cell>
          <cell r="C110">
            <v>0.59958149999999999</v>
          </cell>
        </row>
        <row r="111">
          <cell r="A111">
            <v>4019</v>
          </cell>
          <cell r="B111" t="str">
            <v>Pima County</v>
          </cell>
          <cell r="C111">
            <v>0.82833420000000002</v>
          </cell>
        </row>
        <row r="112">
          <cell r="A112">
            <v>4021</v>
          </cell>
          <cell r="B112" t="str">
            <v>Pinal County</v>
          </cell>
          <cell r="C112">
            <v>0.38958510000000002</v>
          </cell>
        </row>
        <row r="113">
          <cell r="A113">
            <v>4023</v>
          </cell>
          <cell r="B113" t="str">
            <v>Santa Cruz County</v>
          </cell>
          <cell r="C113">
            <v>-0.96705160000000001</v>
          </cell>
        </row>
        <row r="114">
          <cell r="A114">
            <v>4025</v>
          </cell>
          <cell r="B114" t="str">
            <v>Yavapai County</v>
          </cell>
          <cell r="C114">
            <v>-2.19391E-2</v>
          </cell>
        </row>
        <row r="115">
          <cell r="A115">
            <v>4027</v>
          </cell>
          <cell r="B115" t="str">
            <v>Yuma County</v>
          </cell>
          <cell r="C115">
            <v>-1.0211520000000001</v>
          </cell>
        </row>
        <row r="116">
          <cell r="A116">
            <v>5000</v>
          </cell>
          <cell r="B116" t="str">
            <v>Arkansas</v>
          </cell>
          <cell r="C116">
            <v>0.24302589999999999</v>
          </cell>
        </row>
        <row r="117">
          <cell r="A117">
            <v>5001</v>
          </cell>
          <cell r="B117" t="str">
            <v>Arkansas County</v>
          </cell>
          <cell r="C117">
            <v>-0.30893880000000001</v>
          </cell>
        </row>
        <row r="118">
          <cell r="A118">
            <v>5003</v>
          </cell>
          <cell r="B118" t="str">
            <v>Ashley County</v>
          </cell>
          <cell r="C118">
            <v>1.569059</v>
          </cell>
        </row>
        <row r="119">
          <cell r="A119">
            <v>5005</v>
          </cell>
          <cell r="B119" t="str">
            <v>Baxter County</v>
          </cell>
          <cell r="C119">
            <v>1.544387</v>
          </cell>
        </row>
        <row r="120">
          <cell r="A120">
            <v>5007</v>
          </cell>
          <cell r="B120" t="str">
            <v>Benton County</v>
          </cell>
          <cell r="C120">
            <v>0.49424040000000002</v>
          </cell>
        </row>
        <row r="121">
          <cell r="A121">
            <v>5009</v>
          </cell>
          <cell r="B121" t="str">
            <v>Boone County</v>
          </cell>
          <cell r="C121">
            <v>8.1598599999999993E-2</v>
          </cell>
        </row>
        <row r="122">
          <cell r="A122">
            <v>5011</v>
          </cell>
          <cell r="B122" t="str">
            <v>Bradley County</v>
          </cell>
          <cell r="C122">
            <v>-0.7999387</v>
          </cell>
        </row>
        <row r="123">
          <cell r="A123">
            <v>5013</v>
          </cell>
          <cell r="B123" t="str">
            <v>Calhoun County</v>
          </cell>
          <cell r="C123">
            <v>-0.86698339999999996</v>
          </cell>
        </row>
        <row r="124">
          <cell r="A124">
            <v>5015</v>
          </cell>
          <cell r="B124" t="str">
            <v>Carroll County</v>
          </cell>
          <cell r="C124">
            <v>-0.83341829999999995</v>
          </cell>
        </row>
        <row r="125">
          <cell r="A125">
            <v>5017</v>
          </cell>
          <cell r="B125" t="str">
            <v>Chicot County</v>
          </cell>
          <cell r="C125">
            <v>-0.74172269999999996</v>
          </cell>
        </row>
        <row r="126">
          <cell r="A126">
            <v>5019</v>
          </cell>
          <cell r="B126" t="str">
            <v>Clark County</v>
          </cell>
          <cell r="C126">
            <v>1.200896</v>
          </cell>
        </row>
        <row r="127">
          <cell r="A127">
            <v>5021</v>
          </cell>
          <cell r="B127" t="str">
            <v>Clay County</v>
          </cell>
          <cell r="C127">
            <v>-1.0577300000000001</v>
          </cell>
        </row>
        <row r="128">
          <cell r="A128">
            <v>5023</v>
          </cell>
          <cell r="B128" t="str">
            <v>Cleburne County</v>
          </cell>
          <cell r="C128">
            <v>1.3736060000000001</v>
          </cell>
        </row>
        <row r="129">
          <cell r="A129">
            <v>5025</v>
          </cell>
          <cell r="B129" t="str">
            <v>Cleveland County</v>
          </cell>
          <cell r="C129">
            <v>0.95672029999999997</v>
          </cell>
        </row>
        <row r="130">
          <cell r="A130">
            <v>5027</v>
          </cell>
          <cell r="B130" t="str">
            <v>Columbia County</v>
          </cell>
          <cell r="C130">
            <v>-0.61673670000000003</v>
          </cell>
        </row>
        <row r="131">
          <cell r="A131">
            <v>5029</v>
          </cell>
          <cell r="B131" t="str">
            <v>Conway County</v>
          </cell>
          <cell r="C131">
            <v>1.157737</v>
          </cell>
        </row>
        <row r="132">
          <cell r="A132">
            <v>5031</v>
          </cell>
          <cell r="B132" t="str">
            <v>Craighead County</v>
          </cell>
          <cell r="C132">
            <v>-0.1129257</v>
          </cell>
        </row>
        <row r="133">
          <cell r="A133">
            <v>5033</v>
          </cell>
          <cell r="B133" t="str">
            <v>Crawford County</v>
          </cell>
          <cell r="C133">
            <v>5.0220000000000001E-2</v>
          </cell>
        </row>
        <row r="134">
          <cell r="A134">
            <v>5035</v>
          </cell>
          <cell r="B134" t="str">
            <v>Crittenden County</v>
          </cell>
          <cell r="C134">
            <v>-4.6734299999999999E-2</v>
          </cell>
        </row>
        <row r="135">
          <cell r="A135">
            <v>5037</v>
          </cell>
          <cell r="B135" t="str">
            <v>Cross County</v>
          </cell>
          <cell r="C135">
            <v>2.297E-4</v>
          </cell>
        </row>
        <row r="136">
          <cell r="A136">
            <v>5039</v>
          </cell>
          <cell r="B136" t="str">
            <v>Dallas County</v>
          </cell>
          <cell r="C136">
            <v>-2.7767409999999999</v>
          </cell>
        </row>
        <row r="137">
          <cell r="A137">
            <v>5041</v>
          </cell>
          <cell r="B137" t="str">
            <v>Desha County</v>
          </cell>
          <cell r="C137">
            <v>-0.2465958</v>
          </cell>
        </row>
        <row r="138">
          <cell r="A138">
            <v>5043</v>
          </cell>
          <cell r="B138" t="str">
            <v>Drew County</v>
          </cell>
          <cell r="C138">
            <v>0.94209770000000004</v>
          </cell>
        </row>
        <row r="139">
          <cell r="A139">
            <v>5045</v>
          </cell>
          <cell r="B139" t="str">
            <v>Faulkner County</v>
          </cell>
          <cell r="C139">
            <v>0.35822120000000002</v>
          </cell>
        </row>
        <row r="140">
          <cell r="A140">
            <v>5047</v>
          </cell>
          <cell r="B140" t="str">
            <v>Franklin County</v>
          </cell>
          <cell r="C140">
            <v>0.52611479999999999</v>
          </cell>
        </row>
        <row r="141">
          <cell r="A141">
            <v>5049</v>
          </cell>
          <cell r="B141" t="str">
            <v>Fulton County</v>
          </cell>
          <cell r="C141">
            <v>-0.69529220000000003</v>
          </cell>
        </row>
        <row r="142">
          <cell r="A142">
            <v>5051</v>
          </cell>
          <cell r="B142" t="str">
            <v>Garland County</v>
          </cell>
          <cell r="C142">
            <v>0.24246619999999999</v>
          </cell>
        </row>
        <row r="143">
          <cell r="A143">
            <v>5053</v>
          </cell>
          <cell r="B143" t="str">
            <v>Grant County</v>
          </cell>
          <cell r="C143">
            <v>-1.7012719999999999</v>
          </cell>
        </row>
        <row r="144">
          <cell r="A144">
            <v>5055</v>
          </cell>
          <cell r="B144" t="str">
            <v>Greene County</v>
          </cell>
          <cell r="C144">
            <v>0.45575840000000001</v>
          </cell>
        </row>
        <row r="145">
          <cell r="A145">
            <v>5057</v>
          </cell>
          <cell r="B145" t="str">
            <v>Hempstead County</v>
          </cell>
          <cell r="C145">
            <v>2.0683940000000001</v>
          </cell>
        </row>
        <row r="146">
          <cell r="A146">
            <v>5059</v>
          </cell>
          <cell r="B146" t="str">
            <v>Hot Spring County</v>
          </cell>
          <cell r="C146">
            <v>1.263164</v>
          </cell>
        </row>
        <row r="147">
          <cell r="A147">
            <v>5061</v>
          </cell>
          <cell r="B147" t="str">
            <v>Howard County</v>
          </cell>
          <cell r="C147">
            <v>1.989296</v>
          </cell>
        </row>
        <row r="148">
          <cell r="A148">
            <v>5063</v>
          </cell>
          <cell r="B148" t="str">
            <v>Independence County</v>
          </cell>
          <cell r="C148">
            <v>-0.2189334</v>
          </cell>
        </row>
        <row r="149">
          <cell r="A149">
            <v>5065</v>
          </cell>
          <cell r="B149" t="str">
            <v>Izard County</v>
          </cell>
          <cell r="C149">
            <v>1.673775</v>
          </cell>
        </row>
        <row r="150">
          <cell r="A150">
            <v>5067</v>
          </cell>
          <cell r="B150" t="str">
            <v>Jackson County</v>
          </cell>
          <cell r="C150">
            <v>0.51415540000000004</v>
          </cell>
        </row>
        <row r="151">
          <cell r="A151">
            <v>5069</v>
          </cell>
          <cell r="B151" t="str">
            <v>Jefferson County</v>
          </cell>
          <cell r="C151">
            <v>0.83849940000000001</v>
          </cell>
        </row>
        <row r="152">
          <cell r="A152">
            <v>5071</v>
          </cell>
          <cell r="B152" t="str">
            <v>Johnson County</v>
          </cell>
          <cell r="C152">
            <v>1.661813</v>
          </cell>
        </row>
        <row r="153">
          <cell r="A153">
            <v>5073</v>
          </cell>
          <cell r="B153" t="str">
            <v>Lafayette County</v>
          </cell>
          <cell r="C153">
            <v>5.3017700000000001E-2</v>
          </cell>
        </row>
        <row r="154">
          <cell r="A154">
            <v>5075</v>
          </cell>
          <cell r="B154" t="str">
            <v>Lawrence County</v>
          </cell>
          <cell r="C154">
            <v>0.1289226</v>
          </cell>
        </row>
        <row r="155">
          <cell r="A155">
            <v>5077</v>
          </cell>
          <cell r="B155" t="str">
            <v>Lee County</v>
          </cell>
          <cell r="C155">
            <v>0.67140359999999999</v>
          </cell>
        </row>
        <row r="156">
          <cell r="A156">
            <v>5079</v>
          </cell>
          <cell r="B156" t="str">
            <v>Lincoln County</v>
          </cell>
          <cell r="C156">
            <v>-2.157956</v>
          </cell>
        </row>
        <row r="157">
          <cell r="A157">
            <v>5081</v>
          </cell>
          <cell r="B157" t="str">
            <v>Little River County</v>
          </cell>
          <cell r="C157">
            <v>0.41263820000000001</v>
          </cell>
        </row>
        <row r="158">
          <cell r="A158">
            <v>5083</v>
          </cell>
          <cell r="B158" t="str">
            <v>Logan County</v>
          </cell>
          <cell r="C158">
            <v>-1.0429040000000001</v>
          </cell>
        </row>
        <row r="159">
          <cell r="A159">
            <v>5085</v>
          </cell>
          <cell r="B159" t="str">
            <v>Lonoke County</v>
          </cell>
          <cell r="C159">
            <v>0.34087489999999998</v>
          </cell>
        </row>
        <row r="160">
          <cell r="A160">
            <v>5087</v>
          </cell>
          <cell r="B160" t="str">
            <v>Madison County</v>
          </cell>
          <cell r="C160">
            <v>-1.4086829999999999</v>
          </cell>
        </row>
        <row r="161">
          <cell r="A161">
            <v>5089</v>
          </cell>
          <cell r="B161" t="str">
            <v>Marion County</v>
          </cell>
          <cell r="C161">
            <v>-1.617299</v>
          </cell>
        </row>
        <row r="162">
          <cell r="A162">
            <v>5091</v>
          </cell>
          <cell r="B162" t="str">
            <v>Miller County</v>
          </cell>
          <cell r="C162">
            <v>-0.3514313</v>
          </cell>
        </row>
        <row r="163">
          <cell r="A163">
            <v>5093</v>
          </cell>
          <cell r="B163" t="str">
            <v>Mississippi County</v>
          </cell>
          <cell r="C163">
            <v>-1.0484059999999999</v>
          </cell>
        </row>
        <row r="164">
          <cell r="A164">
            <v>5095</v>
          </cell>
          <cell r="B164" t="str">
            <v>Monroe County</v>
          </cell>
          <cell r="C164">
            <v>9.5192799999999994E-2</v>
          </cell>
        </row>
        <row r="165">
          <cell r="A165">
            <v>5097</v>
          </cell>
          <cell r="B165" t="str">
            <v>Montgomery County</v>
          </cell>
          <cell r="C165">
            <v>-2.3470499999999999</v>
          </cell>
        </row>
        <row r="166">
          <cell r="A166">
            <v>5099</v>
          </cell>
          <cell r="B166" t="str">
            <v>Nevada County</v>
          </cell>
          <cell r="C166">
            <v>-0.38061810000000001</v>
          </cell>
        </row>
        <row r="167">
          <cell r="A167">
            <v>5101</v>
          </cell>
          <cell r="B167" t="str">
            <v>Newton County</v>
          </cell>
          <cell r="C167">
            <v>3.226693</v>
          </cell>
        </row>
        <row r="168">
          <cell r="A168">
            <v>5103</v>
          </cell>
          <cell r="B168" t="str">
            <v>Ouachita County</v>
          </cell>
          <cell r="C168">
            <v>1.618598</v>
          </cell>
        </row>
        <row r="169">
          <cell r="A169">
            <v>5105</v>
          </cell>
          <cell r="B169" t="str">
            <v>Perry County</v>
          </cell>
          <cell r="C169">
            <v>-1.6983760000000001</v>
          </cell>
        </row>
        <row r="170">
          <cell r="A170">
            <v>5107</v>
          </cell>
          <cell r="B170" t="str">
            <v>Phillips County</v>
          </cell>
          <cell r="C170">
            <v>2.348859</v>
          </cell>
        </row>
        <row r="171">
          <cell r="A171">
            <v>5109</v>
          </cell>
          <cell r="B171" t="str">
            <v>Pike County</v>
          </cell>
          <cell r="C171">
            <v>0.90951000000000004</v>
          </cell>
        </row>
        <row r="172">
          <cell r="A172">
            <v>5111</v>
          </cell>
          <cell r="B172" t="str">
            <v>Poinsett County</v>
          </cell>
          <cell r="C172">
            <v>2.0327069999999998</v>
          </cell>
        </row>
        <row r="173">
          <cell r="A173">
            <v>5113</v>
          </cell>
          <cell r="B173" t="str">
            <v>Polk County</v>
          </cell>
          <cell r="C173">
            <v>0.44925480000000001</v>
          </cell>
        </row>
        <row r="174">
          <cell r="A174">
            <v>5115</v>
          </cell>
          <cell r="B174" t="str">
            <v>Pope County</v>
          </cell>
          <cell r="C174">
            <v>-0.67932820000000005</v>
          </cell>
        </row>
        <row r="175">
          <cell r="A175">
            <v>5117</v>
          </cell>
          <cell r="B175" t="str">
            <v>Prairie County</v>
          </cell>
          <cell r="C175">
            <v>-0.88289390000000001</v>
          </cell>
        </row>
        <row r="176">
          <cell r="A176">
            <v>5119</v>
          </cell>
          <cell r="B176" t="str">
            <v>Pulaski County</v>
          </cell>
          <cell r="C176">
            <v>1.0091920000000001</v>
          </cell>
        </row>
        <row r="177">
          <cell r="A177">
            <v>5121</v>
          </cell>
          <cell r="B177" t="str">
            <v>Randolph County</v>
          </cell>
          <cell r="C177">
            <v>1.6507849999999999</v>
          </cell>
        </row>
        <row r="178">
          <cell r="A178">
            <v>5123</v>
          </cell>
          <cell r="B178" t="str">
            <v>St. Francis County</v>
          </cell>
          <cell r="C178">
            <v>0.78068789999999999</v>
          </cell>
        </row>
        <row r="179">
          <cell r="A179">
            <v>5125</v>
          </cell>
          <cell r="B179" t="str">
            <v>Saline County</v>
          </cell>
          <cell r="C179">
            <v>-0.57557930000000002</v>
          </cell>
        </row>
        <row r="180">
          <cell r="A180">
            <v>5127</v>
          </cell>
          <cell r="B180" t="str">
            <v>Scott County</v>
          </cell>
          <cell r="C180">
            <v>-1.5973250000000001</v>
          </cell>
        </row>
        <row r="181">
          <cell r="A181">
            <v>5129</v>
          </cell>
          <cell r="B181" t="str">
            <v>Searcy County</v>
          </cell>
          <cell r="C181">
            <v>1.2654110000000001</v>
          </cell>
        </row>
        <row r="182">
          <cell r="A182">
            <v>5131</v>
          </cell>
          <cell r="B182" t="str">
            <v>Sebastian County</v>
          </cell>
          <cell r="C182">
            <v>0.40033950000000001</v>
          </cell>
        </row>
        <row r="183">
          <cell r="A183">
            <v>5133</v>
          </cell>
          <cell r="B183" t="str">
            <v>Sevier County</v>
          </cell>
          <cell r="C183">
            <v>2.4283899999999998</v>
          </cell>
        </row>
        <row r="184">
          <cell r="A184">
            <v>5135</v>
          </cell>
          <cell r="B184" t="str">
            <v>Sharp County</v>
          </cell>
          <cell r="C184">
            <v>1.5355220000000001</v>
          </cell>
        </row>
        <row r="185">
          <cell r="A185">
            <v>5137</v>
          </cell>
          <cell r="B185" t="str">
            <v>Stone County</v>
          </cell>
          <cell r="C185">
            <v>1.011215</v>
          </cell>
        </row>
        <row r="186">
          <cell r="A186">
            <v>5139</v>
          </cell>
          <cell r="B186" t="str">
            <v>Union County</v>
          </cell>
          <cell r="C186">
            <v>-0.35135290000000002</v>
          </cell>
        </row>
        <row r="187">
          <cell r="A187">
            <v>5141</v>
          </cell>
          <cell r="B187" t="str">
            <v>Van Buren County</v>
          </cell>
          <cell r="C187">
            <v>-0.8302271</v>
          </cell>
        </row>
        <row r="188">
          <cell r="A188">
            <v>5143</v>
          </cell>
          <cell r="B188" t="str">
            <v>Washington County</v>
          </cell>
          <cell r="C188">
            <v>-2.5898000000000002E-3</v>
          </cell>
        </row>
        <row r="189">
          <cell r="A189">
            <v>5145</v>
          </cell>
          <cell r="B189" t="str">
            <v>White County</v>
          </cell>
          <cell r="C189">
            <v>0.51535200000000003</v>
          </cell>
        </row>
        <row r="190">
          <cell r="A190">
            <v>5147</v>
          </cell>
          <cell r="B190" t="str">
            <v>Woodruff County</v>
          </cell>
          <cell r="C190">
            <v>6.6067600000000004E-2</v>
          </cell>
        </row>
        <row r="191">
          <cell r="A191">
            <v>5149</v>
          </cell>
          <cell r="B191" t="str">
            <v>Yell County</v>
          </cell>
          <cell r="C191">
            <v>-1.0203329999999999</v>
          </cell>
        </row>
        <row r="192">
          <cell r="A192">
            <v>6000</v>
          </cell>
          <cell r="B192" t="str">
            <v>California</v>
          </cell>
          <cell r="C192">
            <v>1.028286</v>
          </cell>
        </row>
        <row r="193">
          <cell r="A193">
            <v>6001</v>
          </cell>
          <cell r="B193" t="str">
            <v>Alameda County</v>
          </cell>
          <cell r="C193">
            <v>1.347146</v>
          </cell>
        </row>
        <row r="194">
          <cell r="A194">
            <v>6003</v>
          </cell>
          <cell r="B194" t="str">
            <v>Alpine County</v>
          </cell>
          <cell r="C194">
            <v>-1.4771559999999999</v>
          </cell>
        </row>
        <row r="195">
          <cell r="A195">
            <v>6005</v>
          </cell>
          <cell r="B195" t="str">
            <v>Amador County</v>
          </cell>
          <cell r="C195">
            <v>-0.44507360000000001</v>
          </cell>
        </row>
        <row r="196">
          <cell r="A196">
            <v>6007</v>
          </cell>
          <cell r="B196" t="str">
            <v>Butte County</v>
          </cell>
          <cell r="C196">
            <v>0.59081799999999995</v>
          </cell>
        </row>
        <row r="197">
          <cell r="A197">
            <v>6009</v>
          </cell>
          <cell r="B197" t="str">
            <v>Calaveras County</v>
          </cell>
          <cell r="C197">
            <v>-0.97924889999999998</v>
          </cell>
        </row>
        <row r="198">
          <cell r="A198">
            <v>6011</v>
          </cell>
          <cell r="B198" t="str">
            <v>Colusa County</v>
          </cell>
          <cell r="C198">
            <v>0.69056899999999999</v>
          </cell>
        </row>
        <row r="199">
          <cell r="A199">
            <v>6013</v>
          </cell>
          <cell r="B199" t="str">
            <v>Contra Costa County</v>
          </cell>
          <cell r="C199">
            <v>0.97365449999999998</v>
          </cell>
        </row>
        <row r="200">
          <cell r="A200">
            <v>6015</v>
          </cell>
          <cell r="B200" t="str">
            <v>Del Norte County</v>
          </cell>
          <cell r="C200">
            <v>-0.22638059999999999</v>
          </cell>
        </row>
        <row r="201">
          <cell r="A201">
            <v>6017</v>
          </cell>
          <cell r="B201" t="str">
            <v>El Dorado County</v>
          </cell>
          <cell r="C201">
            <v>0.46588810000000003</v>
          </cell>
        </row>
        <row r="202">
          <cell r="A202">
            <v>6019</v>
          </cell>
          <cell r="B202" t="str">
            <v>Fresno County</v>
          </cell>
          <cell r="C202">
            <v>3.7622200000000001E-2</v>
          </cell>
        </row>
        <row r="203">
          <cell r="A203">
            <v>6021</v>
          </cell>
          <cell r="B203" t="str">
            <v>Glenn County</v>
          </cell>
          <cell r="C203">
            <v>-1.080643</v>
          </cell>
        </row>
        <row r="204">
          <cell r="A204">
            <v>6023</v>
          </cell>
          <cell r="B204" t="str">
            <v>Humboldt County</v>
          </cell>
          <cell r="C204">
            <v>0.73642399999999997</v>
          </cell>
        </row>
        <row r="205">
          <cell r="A205">
            <v>6025</v>
          </cell>
          <cell r="B205" t="str">
            <v>Imperial County</v>
          </cell>
          <cell r="C205">
            <v>-0.61523479999999997</v>
          </cell>
        </row>
        <row r="206">
          <cell r="A206">
            <v>6027</v>
          </cell>
          <cell r="B206" t="str">
            <v>Inyo County</v>
          </cell>
          <cell r="C206">
            <v>-1.2603340000000001</v>
          </cell>
        </row>
        <row r="207">
          <cell r="A207">
            <v>6029</v>
          </cell>
          <cell r="B207" t="str">
            <v>Kern County</v>
          </cell>
          <cell r="C207">
            <v>-0.56654119999999997</v>
          </cell>
        </row>
        <row r="208">
          <cell r="A208">
            <v>6031</v>
          </cell>
          <cell r="B208" t="str">
            <v>Kings County</v>
          </cell>
          <cell r="C208">
            <v>-0.55971210000000005</v>
          </cell>
        </row>
        <row r="209">
          <cell r="A209">
            <v>6033</v>
          </cell>
          <cell r="B209" t="str">
            <v>Lake County</v>
          </cell>
          <cell r="C209">
            <v>1.435268</v>
          </cell>
        </row>
        <row r="210">
          <cell r="A210">
            <v>6035</v>
          </cell>
          <cell r="B210" t="str">
            <v>Lassen County</v>
          </cell>
          <cell r="C210">
            <v>1.8939839999999999</v>
          </cell>
        </row>
        <row r="211">
          <cell r="A211">
            <v>6037</v>
          </cell>
          <cell r="B211" t="str">
            <v>Los Angeles County</v>
          </cell>
          <cell r="C211">
            <v>1.2663070000000001</v>
          </cell>
        </row>
        <row r="212">
          <cell r="A212">
            <v>6039</v>
          </cell>
          <cell r="B212" t="str">
            <v>Madera County</v>
          </cell>
          <cell r="C212">
            <v>-1.65042</v>
          </cell>
        </row>
        <row r="213">
          <cell r="A213">
            <v>6041</v>
          </cell>
          <cell r="B213" t="str">
            <v>Marin County</v>
          </cell>
          <cell r="C213">
            <v>0.89262140000000001</v>
          </cell>
        </row>
        <row r="214">
          <cell r="A214">
            <v>6043</v>
          </cell>
          <cell r="B214" t="str">
            <v>Mariposa County</v>
          </cell>
          <cell r="C214">
            <v>-0.41558790000000001</v>
          </cell>
        </row>
        <row r="215">
          <cell r="A215">
            <v>6045</v>
          </cell>
          <cell r="B215" t="str">
            <v>Mendocino County</v>
          </cell>
          <cell r="C215">
            <v>-0.37484820000000002</v>
          </cell>
        </row>
        <row r="216">
          <cell r="A216">
            <v>6047</v>
          </cell>
          <cell r="B216" t="str">
            <v>Merced County</v>
          </cell>
          <cell r="C216">
            <v>-0.39311760000000001</v>
          </cell>
        </row>
        <row r="217">
          <cell r="A217">
            <v>6049</v>
          </cell>
          <cell r="B217" t="str">
            <v>Modoc County</v>
          </cell>
          <cell r="C217">
            <v>1.008934</v>
          </cell>
        </row>
        <row r="218">
          <cell r="A218">
            <v>6051</v>
          </cell>
          <cell r="B218" t="str">
            <v>Mono County</v>
          </cell>
          <cell r="C218">
            <v>-2.0536240000000001</v>
          </cell>
        </row>
        <row r="219">
          <cell r="A219">
            <v>6053</v>
          </cell>
          <cell r="B219" t="str">
            <v>Monterey County</v>
          </cell>
          <cell r="C219">
            <v>-1.942871</v>
          </cell>
        </row>
        <row r="220">
          <cell r="A220">
            <v>6055</v>
          </cell>
          <cell r="B220" t="str">
            <v>Napa County</v>
          </cell>
          <cell r="C220">
            <v>-0.67777270000000001</v>
          </cell>
        </row>
        <row r="221">
          <cell r="A221">
            <v>6057</v>
          </cell>
          <cell r="B221" t="str">
            <v>Nevada County</v>
          </cell>
          <cell r="C221">
            <v>0.41164869999999998</v>
          </cell>
        </row>
        <row r="222">
          <cell r="A222">
            <v>6059</v>
          </cell>
          <cell r="B222" t="str">
            <v>Orange County</v>
          </cell>
          <cell r="C222">
            <v>0.99087970000000003</v>
          </cell>
        </row>
        <row r="223">
          <cell r="A223">
            <v>6061</v>
          </cell>
          <cell r="B223" t="str">
            <v>Placer County</v>
          </cell>
          <cell r="C223">
            <v>0.50957669999999999</v>
          </cell>
        </row>
        <row r="224">
          <cell r="A224">
            <v>6063</v>
          </cell>
          <cell r="B224" t="str">
            <v>Plumas County</v>
          </cell>
          <cell r="C224">
            <v>0.19963320000000001</v>
          </cell>
        </row>
        <row r="225">
          <cell r="A225">
            <v>6065</v>
          </cell>
          <cell r="B225" t="str">
            <v>Riverside County</v>
          </cell>
          <cell r="C225">
            <v>-6.8946099999999996E-2</v>
          </cell>
        </row>
        <row r="226">
          <cell r="A226">
            <v>6067</v>
          </cell>
          <cell r="B226" t="str">
            <v>Sacramento County</v>
          </cell>
          <cell r="C226">
            <v>1.056343</v>
          </cell>
        </row>
        <row r="227">
          <cell r="A227">
            <v>6069</v>
          </cell>
          <cell r="B227" t="str">
            <v>San Benito County</v>
          </cell>
          <cell r="C227">
            <v>-2.110897</v>
          </cell>
        </row>
        <row r="228">
          <cell r="A228">
            <v>6071</v>
          </cell>
          <cell r="B228" t="str">
            <v>San Bernardino County</v>
          </cell>
          <cell r="C228">
            <v>0.20202310000000001</v>
          </cell>
        </row>
        <row r="229">
          <cell r="A229">
            <v>6073</v>
          </cell>
          <cell r="B229" t="str">
            <v>San Diego County</v>
          </cell>
          <cell r="C229">
            <v>1.1758839999999999</v>
          </cell>
        </row>
        <row r="230">
          <cell r="A230">
            <v>6075</v>
          </cell>
          <cell r="B230" t="str">
            <v>San Francisco County</v>
          </cell>
          <cell r="C230">
            <v>2.3812250000000001</v>
          </cell>
        </row>
        <row r="231">
          <cell r="A231">
            <v>6077</v>
          </cell>
          <cell r="B231" t="str">
            <v>San Joaquin County</v>
          </cell>
          <cell r="C231">
            <v>-0.33885999999999999</v>
          </cell>
        </row>
        <row r="232">
          <cell r="A232">
            <v>6079</v>
          </cell>
          <cell r="B232" t="str">
            <v>San Luis Obispo County</v>
          </cell>
          <cell r="C232">
            <v>-0.1660248</v>
          </cell>
        </row>
        <row r="233">
          <cell r="A233">
            <v>6081</v>
          </cell>
          <cell r="B233" t="str">
            <v>San Mateo County</v>
          </cell>
          <cell r="C233">
            <v>1.6469009999999999</v>
          </cell>
        </row>
        <row r="234">
          <cell r="A234">
            <v>6083</v>
          </cell>
          <cell r="B234" t="str">
            <v>Santa Barbara County</v>
          </cell>
          <cell r="C234">
            <v>0.26671220000000001</v>
          </cell>
        </row>
        <row r="235">
          <cell r="A235">
            <v>6085</v>
          </cell>
          <cell r="B235" t="str">
            <v>Santa Clara County</v>
          </cell>
          <cell r="C235">
            <v>2.2467380000000001</v>
          </cell>
        </row>
        <row r="236">
          <cell r="A236">
            <v>6087</v>
          </cell>
          <cell r="B236" t="str">
            <v>Santa Cruz County</v>
          </cell>
          <cell r="C236">
            <v>0.67079940000000005</v>
          </cell>
        </row>
        <row r="237">
          <cell r="A237">
            <v>6089</v>
          </cell>
          <cell r="B237" t="str">
            <v>Shasta County</v>
          </cell>
          <cell r="C237">
            <v>0.6254826</v>
          </cell>
        </row>
        <row r="238">
          <cell r="A238">
            <v>6091</v>
          </cell>
          <cell r="B238" t="str">
            <v>Sierra County</v>
          </cell>
          <cell r="C238">
            <v>1.7448809999999999</v>
          </cell>
        </row>
        <row r="239">
          <cell r="A239">
            <v>6093</v>
          </cell>
          <cell r="B239" t="str">
            <v>Siskiyou County</v>
          </cell>
          <cell r="C239">
            <v>-0.52241249999999995</v>
          </cell>
        </row>
        <row r="240">
          <cell r="A240">
            <v>6095</v>
          </cell>
          <cell r="B240" t="str">
            <v>Solano County</v>
          </cell>
          <cell r="C240">
            <v>0.55709350000000002</v>
          </cell>
        </row>
        <row r="241">
          <cell r="A241">
            <v>6097</v>
          </cell>
          <cell r="B241" t="str">
            <v>Sonoma County</v>
          </cell>
          <cell r="C241">
            <v>0.37345790000000001</v>
          </cell>
        </row>
        <row r="242">
          <cell r="A242">
            <v>6099</v>
          </cell>
          <cell r="B242" t="str">
            <v>Stanislaus County</v>
          </cell>
          <cell r="C242">
            <v>-3.4022999999999998E-2</v>
          </cell>
        </row>
        <row r="243">
          <cell r="A243">
            <v>6101</v>
          </cell>
          <cell r="B243" t="str">
            <v>Sutter County</v>
          </cell>
          <cell r="C243">
            <v>-0.73196369999999999</v>
          </cell>
        </row>
        <row r="244">
          <cell r="A244">
            <v>6103</v>
          </cell>
          <cell r="B244" t="str">
            <v>Tehama County</v>
          </cell>
          <cell r="C244">
            <v>-0.59695450000000005</v>
          </cell>
        </row>
        <row r="245">
          <cell r="A245">
            <v>6105</v>
          </cell>
          <cell r="B245" t="str">
            <v>Trinity County</v>
          </cell>
          <cell r="C245">
            <v>0.22055649999999999</v>
          </cell>
        </row>
        <row r="246">
          <cell r="A246">
            <v>6107</v>
          </cell>
          <cell r="B246" t="str">
            <v>Tulare County</v>
          </cell>
          <cell r="C246">
            <v>-1.032978</v>
          </cell>
        </row>
        <row r="247">
          <cell r="A247">
            <v>6109</v>
          </cell>
          <cell r="B247" t="str">
            <v>Tuolumne County</v>
          </cell>
          <cell r="C247">
            <v>-0.77630410000000005</v>
          </cell>
        </row>
        <row r="248">
          <cell r="A248">
            <v>6111</v>
          </cell>
          <cell r="B248" t="str">
            <v>Ventura County</v>
          </cell>
          <cell r="C248">
            <v>0.81920249999999994</v>
          </cell>
        </row>
        <row r="249">
          <cell r="A249">
            <v>6113</v>
          </cell>
          <cell r="B249" t="str">
            <v>Yolo County</v>
          </cell>
          <cell r="C249">
            <v>-0.151668</v>
          </cell>
        </row>
        <row r="250">
          <cell r="A250">
            <v>6115</v>
          </cell>
          <cell r="B250" t="str">
            <v>Yuba County</v>
          </cell>
          <cell r="C250">
            <v>0.99205120000000002</v>
          </cell>
        </row>
        <row r="251">
          <cell r="A251">
            <v>8000</v>
          </cell>
          <cell r="B251" t="str">
            <v>Colorado</v>
          </cell>
          <cell r="C251">
            <v>0.98095949999999998</v>
          </cell>
        </row>
        <row r="252">
          <cell r="A252">
            <v>8001</v>
          </cell>
          <cell r="B252" t="str">
            <v>Adams County</v>
          </cell>
          <cell r="C252">
            <v>-0.60849140000000002</v>
          </cell>
        </row>
        <row r="253">
          <cell r="A253">
            <v>8003</v>
          </cell>
          <cell r="B253" t="str">
            <v>Alamosa County</v>
          </cell>
          <cell r="C253">
            <v>0.1445273</v>
          </cell>
        </row>
        <row r="254">
          <cell r="A254">
            <v>8005</v>
          </cell>
          <cell r="B254" t="str">
            <v>Arapahoe County</v>
          </cell>
          <cell r="C254">
            <v>1.6129599999999999</v>
          </cell>
        </row>
        <row r="255">
          <cell r="A255">
            <v>8007</v>
          </cell>
          <cell r="B255" t="str">
            <v>Archuleta County</v>
          </cell>
          <cell r="C255">
            <v>-0.65240260000000005</v>
          </cell>
        </row>
        <row r="256">
          <cell r="A256">
            <v>8009</v>
          </cell>
          <cell r="B256" t="str">
            <v>Baca County</v>
          </cell>
          <cell r="C256">
            <v>-1.46665</v>
          </cell>
        </row>
        <row r="257">
          <cell r="A257">
            <v>8011</v>
          </cell>
          <cell r="B257" t="str">
            <v>Bent County</v>
          </cell>
          <cell r="C257">
            <v>1.322433</v>
          </cell>
        </row>
        <row r="258">
          <cell r="A258">
            <v>8013</v>
          </cell>
          <cell r="B258" t="str">
            <v>Boulder County</v>
          </cell>
          <cell r="C258">
            <v>1.936633</v>
          </cell>
        </row>
        <row r="259">
          <cell r="A259">
            <v>8014</v>
          </cell>
          <cell r="B259" t="str">
            <v>Broomfield County</v>
          </cell>
          <cell r="C259">
            <v>1.980261</v>
          </cell>
        </row>
        <row r="260">
          <cell r="A260">
            <v>8015</v>
          </cell>
          <cell r="B260" t="str">
            <v>Chaffee County</v>
          </cell>
          <cell r="C260">
            <v>-0.39695550000000002</v>
          </cell>
        </row>
        <row r="261">
          <cell r="A261">
            <v>8017</v>
          </cell>
          <cell r="B261" t="str">
            <v>Cheyenne County</v>
          </cell>
          <cell r="C261">
            <v>-0.64191319999999996</v>
          </cell>
        </row>
        <row r="262">
          <cell r="A262">
            <v>8019</v>
          </cell>
          <cell r="B262" t="str">
            <v>Clear Creek County</v>
          </cell>
          <cell r="C262">
            <v>-2.1860879999999998</v>
          </cell>
        </row>
        <row r="263">
          <cell r="A263">
            <v>8021</v>
          </cell>
          <cell r="B263" t="str">
            <v>Conejos County</v>
          </cell>
          <cell r="C263">
            <v>2.5856490000000001</v>
          </cell>
        </row>
        <row r="264">
          <cell r="A264">
            <v>8023</v>
          </cell>
          <cell r="B264" t="str">
            <v>Costilla County</v>
          </cell>
          <cell r="C264">
            <v>-1.163389</v>
          </cell>
        </row>
        <row r="265">
          <cell r="A265">
            <v>8025</v>
          </cell>
          <cell r="B265" t="str">
            <v>Crowley County</v>
          </cell>
          <cell r="C265">
            <v>-3.6170439999999999</v>
          </cell>
        </row>
        <row r="266">
          <cell r="A266">
            <v>8027</v>
          </cell>
          <cell r="B266" t="str">
            <v>Custer County</v>
          </cell>
          <cell r="C266">
            <v>-2.0889319999999998</v>
          </cell>
        </row>
        <row r="267">
          <cell r="A267">
            <v>8029</v>
          </cell>
          <cell r="B267" t="str">
            <v>Delta County</v>
          </cell>
          <cell r="C267">
            <v>-0.20720740000000001</v>
          </cell>
        </row>
        <row r="268">
          <cell r="A268">
            <v>8031</v>
          </cell>
          <cell r="B268" t="str">
            <v>Denver County</v>
          </cell>
          <cell r="C268">
            <v>1.1287739999999999</v>
          </cell>
        </row>
        <row r="269">
          <cell r="A269">
            <v>8033</v>
          </cell>
          <cell r="B269" t="str">
            <v>Dolores County</v>
          </cell>
          <cell r="C269">
            <v>-1.6114329999999999</v>
          </cell>
        </row>
        <row r="270">
          <cell r="A270">
            <v>8035</v>
          </cell>
          <cell r="B270" t="str">
            <v>Douglas County</v>
          </cell>
          <cell r="C270">
            <v>1.312082</v>
          </cell>
        </row>
        <row r="271">
          <cell r="A271">
            <v>8037</v>
          </cell>
          <cell r="B271" t="str">
            <v>Eagle County</v>
          </cell>
          <cell r="C271">
            <v>-1.386134</v>
          </cell>
        </row>
        <row r="272">
          <cell r="A272">
            <v>8039</v>
          </cell>
          <cell r="B272" t="str">
            <v>Elbert County</v>
          </cell>
          <cell r="C272">
            <v>0.25292170000000003</v>
          </cell>
        </row>
        <row r="273">
          <cell r="A273">
            <v>8041</v>
          </cell>
          <cell r="B273" t="str">
            <v>El Paso County</v>
          </cell>
          <cell r="C273">
            <v>1.155413</v>
          </cell>
        </row>
        <row r="274">
          <cell r="A274">
            <v>8043</v>
          </cell>
          <cell r="B274" t="str">
            <v>Fremont County</v>
          </cell>
          <cell r="C274">
            <v>-0.65087490000000003</v>
          </cell>
        </row>
        <row r="275">
          <cell r="A275">
            <v>8045</v>
          </cell>
          <cell r="B275" t="str">
            <v>Garfield County</v>
          </cell>
          <cell r="C275">
            <v>-4.1971899999999999E-2</v>
          </cell>
        </row>
        <row r="276">
          <cell r="A276">
            <v>8047</v>
          </cell>
          <cell r="B276" t="str">
            <v>Gilpin County</v>
          </cell>
          <cell r="C276">
            <v>-2.6398090000000001</v>
          </cell>
        </row>
        <row r="277">
          <cell r="A277">
            <v>8049</v>
          </cell>
          <cell r="B277" t="str">
            <v>Grand County</v>
          </cell>
          <cell r="C277">
            <v>-1.9774989999999999</v>
          </cell>
        </row>
        <row r="278">
          <cell r="A278">
            <v>8051</v>
          </cell>
          <cell r="B278" t="str">
            <v>Gunnison County</v>
          </cell>
          <cell r="C278">
            <v>-1.548773</v>
          </cell>
        </row>
        <row r="279">
          <cell r="A279">
            <v>8053</v>
          </cell>
          <cell r="B279" t="str">
            <v>Hinsdale County</v>
          </cell>
          <cell r="C279">
            <v>-2.2712889999999999</v>
          </cell>
        </row>
        <row r="280">
          <cell r="A280">
            <v>8055</v>
          </cell>
          <cell r="B280" t="str">
            <v>Huerfano County</v>
          </cell>
          <cell r="C280">
            <v>0.21171770000000001</v>
          </cell>
        </row>
        <row r="281">
          <cell r="A281">
            <v>8057</v>
          </cell>
          <cell r="B281" t="str">
            <v>Jackson County</v>
          </cell>
          <cell r="C281">
            <v>-2.6740810000000002</v>
          </cell>
        </row>
        <row r="282">
          <cell r="A282">
            <v>8059</v>
          </cell>
          <cell r="B282" t="str">
            <v>Jefferson County</v>
          </cell>
          <cell r="C282">
            <v>0.68567160000000005</v>
          </cell>
        </row>
        <row r="283">
          <cell r="A283">
            <v>8061</v>
          </cell>
          <cell r="B283" t="str">
            <v>Kiowa County</v>
          </cell>
          <cell r="C283">
            <v>-0.93898029999999999</v>
          </cell>
        </row>
        <row r="284">
          <cell r="A284">
            <v>8063</v>
          </cell>
          <cell r="B284" t="str">
            <v>Kit Carson County</v>
          </cell>
          <cell r="C284">
            <v>-0.81042069999999999</v>
          </cell>
        </row>
        <row r="285">
          <cell r="A285">
            <v>8065</v>
          </cell>
          <cell r="B285" t="str">
            <v>Lake County</v>
          </cell>
          <cell r="C285">
            <v>-2.598811</v>
          </cell>
        </row>
        <row r="286">
          <cell r="A286">
            <v>8067</v>
          </cell>
          <cell r="B286" t="str">
            <v>La Plata County</v>
          </cell>
          <cell r="C286">
            <v>-6.9698200000000002E-2</v>
          </cell>
        </row>
        <row r="287">
          <cell r="A287">
            <v>8069</v>
          </cell>
          <cell r="B287" t="str">
            <v>Larimer County</v>
          </cell>
          <cell r="C287">
            <v>0.48407329999999998</v>
          </cell>
        </row>
        <row r="288">
          <cell r="A288">
            <v>8071</v>
          </cell>
          <cell r="B288" t="str">
            <v>Las Animas County</v>
          </cell>
          <cell r="C288">
            <v>0.78702090000000002</v>
          </cell>
        </row>
        <row r="289">
          <cell r="A289">
            <v>8073</v>
          </cell>
          <cell r="B289" t="str">
            <v>Lincoln County</v>
          </cell>
          <cell r="C289">
            <v>-0.22922049999999999</v>
          </cell>
        </row>
        <row r="290">
          <cell r="A290">
            <v>8075</v>
          </cell>
          <cell r="B290" t="str">
            <v>Logan County</v>
          </cell>
          <cell r="C290">
            <v>0.25433689999999998</v>
          </cell>
        </row>
        <row r="291">
          <cell r="A291">
            <v>8077</v>
          </cell>
          <cell r="B291" t="str">
            <v>Mesa County</v>
          </cell>
          <cell r="C291">
            <v>-0.24393380000000001</v>
          </cell>
        </row>
        <row r="292">
          <cell r="A292">
            <v>8079</v>
          </cell>
          <cell r="B292" t="str">
            <v>Mineral County</v>
          </cell>
          <cell r="C292">
            <v>-1.674345</v>
          </cell>
        </row>
        <row r="293">
          <cell r="A293">
            <v>8081</v>
          </cell>
          <cell r="B293" t="str">
            <v>Moffat County</v>
          </cell>
          <cell r="C293">
            <v>-0.93356479999999997</v>
          </cell>
        </row>
        <row r="294">
          <cell r="A294">
            <v>8083</v>
          </cell>
          <cell r="B294" t="str">
            <v>Montezuma County</v>
          </cell>
          <cell r="C294">
            <v>0.2100108</v>
          </cell>
        </row>
        <row r="295">
          <cell r="A295">
            <v>8085</v>
          </cell>
          <cell r="B295" t="str">
            <v>Montrose County</v>
          </cell>
          <cell r="C295">
            <v>-0.29297719999999999</v>
          </cell>
        </row>
        <row r="296">
          <cell r="A296">
            <v>8087</v>
          </cell>
          <cell r="B296" t="str">
            <v>Morgan County</v>
          </cell>
          <cell r="C296">
            <v>-1.283477</v>
          </cell>
        </row>
        <row r="297">
          <cell r="A297">
            <v>8089</v>
          </cell>
          <cell r="B297" t="str">
            <v>Otero County</v>
          </cell>
          <cell r="C297">
            <v>1.194712</v>
          </cell>
        </row>
        <row r="298">
          <cell r="A298">
            <v>8091</v>
          </cell>
          <cell r="B298" t="str">
            <v>Ouray County</v>
          </cell>
          <cell r="C298">
            <v>-1.5314669999999999</v>
          </cell>
        </row>
        <row r="299">
          <cell r="A299">
            <v>8093</v>
          </cell>
          <cell r="B299" t="str">
            <v>Park County</v>
          </cell>
          <cell r="C299">
            <v>-1.1558569999999999</v>
          </cell>
        </row>
        <row r="300">
          <cell r="A300">
            <v>8095</v>
          </cell>
          <cell r="B300" t="str">
            <v>Phillips County</v>
          </cell>
          <cell r="C300">
            <v>-2.1901660000000001</v>
          </cell>
        </row>
        <row r="301">
          <cell r="A301">
            <v>8097</v>
          </cell>
          <cell r="B301" t="str">
            <v>Pitkin County</v>
          </cell>
          <cell r="C301">
            <v>-1.3466990000000001</v>
          </cell>
        </row>
        <row r="302">
          <cell r="A302">
            <v>8099</v>
          </cell>
          <cell r="B302" t="str">
            <v>Prowers County</v>
          </cell>
          <cell r="C302">
            <v>-1.2331890000000001</v>
          </cell>
        </row>
        <row r="303">
          <cell r="A303">
            <v>8101</v>
          </cell>
          <cell r="B303" t="str">
            <v>Pueblo County</v>
          </cell>
          <cell r="C303">
            <v>0.30950240000000001</v>
          </cell>
        </row>
        <row r="304">
          <cell r="A304">
            <v>8103</v>
          </cell>
          <cell r="B304" t="str">
            <v>Rio Blanco County</v>
          </cell>
          <cell r="C304">
            <v>-2.5757880000000002</v>
          </cell>
        </row>
        <row r="305">
          <cell r="A305">
            <v>8105</v>
          </cell>
          <cell r="B305" t="str">
            <v>Rio Grande County</v>
          </cell>
          <cell r="C305">
            <v>0.98200639999999995</v>
          </cell>
        </row>
        <row r="306">
          <cell r="A306">
            <v>8107</v>
          </cell>
          <cell r="B306" t="str">
            <v>Routt County</v>
          </cell>
          <cell r="C306">
            <v>-1.2028369999999999</v>
          </cell>
        </row>
        <row r="307">
          <cell r="A307">
            <v>8109</v>
          </cell>
          <cell r="B307" t="str">
            <v>Saguache County</v>
          </cell>
          <cell r="C307">
            <v>3.2461479999999998</v>
          </cell>
        </row>
        <row r="308">
          <cell r="A308">
            <v>8111</v>
          </cell>
          <cell r="B308" t="str">
            <v>San Juan County</v>
          </cell>
          <cell r="C308">
            <v>-2.3798370000000002</v>
          </cell>
        </row>
        <row r="309">
          <cell r="A309">
            <v>8113</v>
          </cell>
          <cell r="B309" t="str">
            <v>San Miguel County</v>
          </cell>
          <cell r="C309">
            <v>-1.7258150000000001</v>
          </cell>
        </row>
        <row r="310">
          <cell r="A310">
            <v>8115</v>
          </cell>
          <cell r="B310" t="str">
            <v>Sedgwick County</v>
          </cell>
          <cell r="C310">
            <v>-2.9785050000000002</v>
          </cell>
        </row>
        <row r="311">
          <cell r="A311">
            <v>8117</v>
          </cell>
          <cell r="B311" t="str">
            <v>Summit County</v>
          </cell>
          <cell r="C311">
            <v>-1.458405</v>
          </cell>
        </row>
        <row r="312">
          <cell r="A312">
            <v>8119</v>
          </cell>
          <cell r="B312" t="str">
            <v>Teller County</v>
          </cell>
          <cell r="C312">
            <v>-0.79451749999999999</v>
          </cell>
        </row>
        <row r="313">
          <cell r="A313">
            <v>8121</v>
          </cell>
          <cell r="B313" t="str">
            <v>Washington County</v>
          </cell>
          <cell r="C313">
            <v>-1.234958</v>
          </cell>
        </row>
        <row r="314">
          <cell r="A314">
            <v>8123</v>
          </cell>
          <cell r="B314" t="str">
            <v>Weld County</v>
          </cell>
          <cell r="C314">
            <v>-1.1150100000000001</v>
          </cell>
        </row>
        <row r="315">
          <cell r="A315">
            <v>8125</v>
          </cell>
          <cell r="B315" t="str">
            <v>Yuma County</v>
          </cell>
          <cell r="C315">
            <v>-1.1125290000000001</v>
          </cell>
        </row>
        <row r="316">
          <cell r="A316">
            <v>9000</v>
          </cell>
          <cell r="B316" t="str">
            <v>Connecticut</v>
          </cell>
          <cell r="C316">
            <v>1.1547289999999999</v>
          </cell>
        </row>
        <row r="317">
          <cell r="A317">
            <v>9001</v>
          </cell>
          <cell r="B317" t="str">
            <v>Fairfield County</v>
          </cell>
          <cell r="C317">
            <v>1.241433</v>
          </cell>
        </row>
        <row r="318">
          <cell r="A318">
            <v>9003</v>
          </cell>
          <cell r="B318" t="str">
            <v>Hartford County</v>
          </cell>
          <cell r="C318">
            <v>1.530014</v>
          </cell>
        </row>
        <row r="319">
          <cell r="A319">
            <v>9005</v>
          </cell>
          <cell r="B319" t="str">
            <v>Litchfield County</v>
          </cell>
          <cell r="C319">
            <v>0.57993640000000002</v>
          </cell>
        </row>
        <row r="320">
          <cell r="A320">
            <v>9007</v>
          </cell>
          <cell r="B320" t="str">
            <v>Middlesex County</v>
          </cell>
          <cell r="C320">
            <v>0.48005009999999998</v>
          </cell>
        </row>
        <row r="321">
          <cell r="A321">
            <v>9009</v>
          </cell>
          <cell r="B321" t="str">
            <v>New Haven County</v>
          </cell>
          <cell r="C321">
            <v>1.227185</v>
          </cell>
        </row>
        <row r="322">
          <cell r="A322">
            <v>9011</v>
          </cell>
          <cell r="B322" t="str">
            <v>New London County</v>
          </cell>
          <cell r="C322">
            <v>0.69939669999999998</v>
          </cell>
        </row>
        <row r="323">
          <cell r="A323">
            <v>9013</v>
          </cell>
          <cell r="B323" t="str">
            <v>Tolland County</v>
          </cell>
          <cell r="C323">
            <v>0.75022940000000005</v>
          </cell>
        </row>
        <row r="324">
          <cell r="A324">
            <v>9015</v>
          </cell>
          <cell r="B324" t="str">
            <v>Windham County</v>
          </cell>
          <cell r="C324">
            <v>0.76434329999999995</v>
          </cell>
        </row>
        <row r="325">
          <cell r="A325">
            <v>10000</v>
          </cell>
          <cell r="B325" t="str">
            <v>Delaware</v>
          </cell>
          <cell r="C325">
            <v>0.94536810000000004</v>
          </cell>
        </row>
        <row r="326">
          <cell r="A326">
            <v>10001</v>
          </cell>
          <cell r="B326" t="str">
            <v>Kent County</v>
          </cell>
          <cell r="C326">
            <v>1.7390220000000001</v>
          </cell>
        </row>
        <row r="327">
          <cell r="A327">
            <v>10003</v>
          </cell>
          <cell r="B327" t="str">
            <v>New Castle County</v>
          </cell>
          <cell r="C327">
            <v>1.5739380000000001</v>
          </cell>
        </row>
        <row r="328">
          <cell r="A328">
            <v>10005</v>
          </cell>
          <cell r="B328" t="str">
            <v>Sussex County</v>
          </cell>
          <cell r="C328">
            <v>-0.9789833</v>
          </cell>
        </row>
        <row r="329">
          <cell r="A329">
            <v>11000</v>
          </cell>
          <cell r="B329" t="str">
            <v>District of Columbia</v>
          </cell>
          <cell r="C329">
            <v>2.3394330000000001</v>
          </cell>
        </row>
        <row r="330">
          <cell r="A330">
            <v>11001</v>
          </cell>
          <cell r="B330" t="str">
            <v>District of Columbia</v>
          </cell>
          <cell r="C330">
            <v>2.3392879999999998</v>
          </cell>
        </row>
        <row r="331">
          <cell r="A331">
            <v>12000</v>
          </cell>
          <cell r="B331" t="str">
            <v>Florida</v>
          </cell>
          <cell r="C331">
            <v>0.73798330000000001</v>
          </cell>
        </row>
        <row r="332">
          <cell r="A332">
            <v>12001</v>
          </cell>
          <cell r="B332" t="str">
            <v>Alachua County</v>
          </cell>
          <cell r="C332">
            <v>0.38579940000000001</v>
          </cell>
        </row>
        <row r="333">
          <cell r="A333">
            <v>12003</v>
          </cell>
          <cell r="B333" t="str">
            <v>Baker County</v>
          </cell>
          <cell r="C333">
            <v>-1.49007</v>
          </cell>
        </row>
        <row r="334">
          <cell r="A334">
            <v>12005</v>
          </cell>
          <cell r="B334" t="str">
            <v>Bay County</v>
          </cell>
          <cell r="C334">
            <v>-0.28406290000000001</v>
          </cell>
        </row>
        <row r="335">
          <cell r="A335">
            <v>12007</v>
          </cell>
          <cell r="B335" t="str">
            <v>Bradford County</v>
          </cell>
          <cell r="C335">
            <v>-1.6819269999999999</v>
          </cell>
        </row>
        <row r="336">
          <cell r="A336">
            <v>12009</v>
          </cell>
          <cell r="B336" t="str">
            <v>Brevard County</v>
          </cell>
          <cell r="C336">
            <v>0.68409909999999996</v>
          </cell>
        </row>
        <row r="337">
          <cell r="A337">
            <v>12011</v>
          </cell>
          <cell r="B337" t="str">
            <v>Broward County</v>
          </cell>
          <cell r="C337">
            <v>0.82546120000000001</v>
          </cell>
        </row>
        <row r="338">
          <cell r="A338">
            <v>12013</v>
          </cell>
          <cell r="B338" t="str">
            <v>Calhoun County</v>
          </cell>
          <cell r="C338">
            <v>-2.1894659999999999</v>
          </cell>
        </row>
        <row r="339">
          <cell r="A339">
            <v>12015</v>
          </cell>
          <cell r="B339" t="str">
            <v>Charlotte County</v>
          </cell>
          <cell r="C339">
            <v>-0.28781649999999998</v>
          </cell>
        </row>
        <row r="340">
          <cell r="A340">
            <v>12017</v>
          </cell>
          <cell r="B340" t="str">
            <v>Citrus County</v>
          </cell>
          <cell r="C340">
            <v>-0.63301499999999999</v>
          </cell>
        </row>
        <row r="341">
          <cell r="A341">
            <v>12019</v>
          </cell>
          <cell r="B341" t="str">
            <v>Clay County</v>
          </cell>
          <cell r="C341">
            <v>-0.12824559999999999</v>
          </cell>
        </row>
        <row r="342">
          <cell r="A342">
            <v>12021</v>
          </cell>
          <cell r="B342" t="str">
            <v>Collier County</v>
          </cell>
          <cell r="C342">
            <v>-0.71579979999999999</v>
          </cell>
        </row>
        <row r="343">
          <cell r="A343">
            <v>12023</v>
          </cell>
          <cell r="B343" t="str">
            <v>Columbia County</v>
          </cell>
          <cell r="C343">
            <v>-0.45368530000000001</v>
          </cell>
        </row>
        <row r="344">
          <cell r="A344">
            <v>12027</v>
          </cell>
          <cell r="B344" t="str">
            <v>DeSoto County</v>
          </cell>
          <cell r="C344">
            <v>-2.301841</v>
          </cell>
        </row>
        <row r="345">
          <cell r="A345">
            <v>12029</v>
          </cell>
          <cell r="B345" t="str">
            <v>Dixie County</v>
          </cell>
          <cell r="C345">
            <v>-2.2530640000000002</v>
          </cell>
        </row>
        <row r="346">
          <cell r="A346">
            <v>12031</v>
          </cell>
          <cell r="B346" t="str">
            <v>Duval County</v>
          </cell>
          <cell r="C346">
            <v>0.64441170000000003</v>
          </cell>
        </row>
        <row r="347">
          <cell r="A347">
            <v>12033</v>
          </cell>
          <cell r="B347" t="str">
            <v>Escambia County</v>
          </cell>
          <cell r="C347">
            <v>9.1274099999999997E-2</v>
          </cell>
        </row>
        <row r="348">
          <cell r="A348">
            <v>12035</v>
          </cell>
          <cell r="B348" t="str">
            <v>Flagler County</v>
          </cell>
          <cell r="C348">
            <v>-1.233663</v>
          </cell>
        </row>
        <row r="349">
          <cell r="A349">
            <v>12037</v>
          </cell>
          <cell r="B349" t="str">
            <v>Franklin County</v>
          </cell>
          <cell r="C349">
            <v>-1.9257359999999999</v>
          </cell>
        </row>
        <row r="350">
          <cell r="A350">
            <v>12039</v>
          </cell>
          <cell r="B350" t="str">
            <v>Gadsden County</v>
          </cell>
          <cell r="C350">
            <v>-1.1368370000000001</v>
          </cell>
        </row>
        <row r="351">
          <cell r="A351">
            <v>12041</v>
          </cell>
          <cell r="B351" t="str">
            <v>Gilchrist County</v>
          </cell>
          <cell r="C351">
            <v>-2.738057</v>
          </cell>
        </row>
        <row r="352">
          <cell r="A352">
            <v>12043</v>
          </cell>
          <cell r="B352" t="str">
            <v>Glades County</v>
          </cell>
          <cell r="C352">
            <v>-1.7435449999999999</v>
          </cell>
        </row>
        <row r="353">
          <cell r="A353">
            <v>12045</v>
          </cell>
          <cell r="B353" t="str">
            <v>Gulf County</v>
          </cell>
          <cell r="C353">
            <v>-0.53786860000000003</v>
          </cell>
        </row>
        <row r="354">
          <cell r="A354">
            <v>12047</v>
          </cell>
          <cell r="B354" t="str">
            <v>Hamilton County</v>
          </cell>
          <cell r="C354">
            <v>-1.2418709999999999</v>
          </cell>
        </row>
        <row r="355">
          <cell r="A355">
            <v>12049</v>
          </cell>
          <cell r="B355" t="str">
            <v>Hardee County</v>
          </cell>
          <cell r="C355">
            <v>-0.99587150000000002</v>
          </cell>
        </row>
        <row r="356">
          <cell r="A356">
            <v>12051</v>
          </cell>
          <cell r="B356" t="str">
            <v>Hendry County</v>
          </cell>
          <cell r="C356">
            <v>-0.95627899999999999</v>
          </cell>
        </row>
        <row r="357">
          <cell r="A357">
            <v>12053</v>
          </cell>
          <cell r="B357" t="str">
            <v>Hernando County</v>
          </cell>
          <cell r="C357">
            <v>-0.27064700000000003</v>
          </cell>
        </row>
        <row r="358">
          <cell r="A358">
            <v>12055</v>
          </cell>
          <cell r="B358" t="str">
            <v>Highlands County</v>
          </cell>
          <cell r="C358">
            <v>-0.70211060000000003</v>
          </cell>
        </row>
        <row r="359">
          <cell r="A359">
            <v>12057</v>
          </cell>
          <cell r="B359" t="str">
            <v>Hillsborough County</v>
          </cell>
          <cell r="C359">
            <v>1.07121</v>
          </cell>
        </row>
        <row r="360">
          <cell r="A360">
            <v>12059</v>
          </cell>
          <cell r="B360" t="str">
            <v>Holmes County</v>
          </cell>
          <cell r="C360">
            <v>-1.5612170000000001</v>
          </cell>
        </row>
        <row r="361">
          <cell r="A361">
            <v>12061</v>
          </cell>
          <cell r="B361" t="str">
            <v>Indian River County</v>
          </cell>
          <cell r="C361">
            <v>-0.2971684</v>
          </cell>
        </row>
        <row r="362">
          <cell r="A362">
            <v>12063</v>
          </cell>
          <cell r="B362" t="str">
            <v>Jackson County</v>
          </cell>
          <cell r="C362">
            <v>-0.64811890000000005</v>
          </cell>
        </row>
        <row r="363">
          <cell r="A363">
            <v>12065</v>
          </cell>
          <cell r="B363" t="str">
            <v>Jefferson County</v>
          </cell>
          <cell r="C363">
            <v>-0.60570420000000003</v>
          </cell>
        </row>
        <row r="364">
          <cell r="A364">
            <v>12067</v>
          </cell>
          <cell r="B364" t="str">
            <v>Lafayette County</v>
          </cell>
          <cell r="C364">
            <v>-2.528438</v>
          </cell>
        </row>
        <row r="365">
          <cell r="A365">
            <v>12069</v>
          </cell>
          <cell r="B365" t="str">
            <v>Lake County</v>
          </cell>
          <cell r="C365">
            <v>-0.43884610000000002</v>
          </cell>
        </row>
        <row r="366">
          <cell r="A366">
            <v>12071</v>
          </cell>
          <cell r="B366" t="str">
            <v>Lee County</v>
          </cell>
          <cell r="C366">
            <v>-0.2848407</v>
          </cell>
        </row>
        <row r="367">
          <cell r="A367">
            <v>12073</v>
          </cell>
          <cell r="B367" t="str">
            <v>Leon County</v>
          </cell>
          <cell r="C367">
            <v>0.55931059999999999</v>
          </cell>
        </row>
        <row r="368">
          <cell r="A368">
            <v>12075</v>
          </cell>
          <cell r="B368" t="str">
            <v>Levy County</v>
          </cell>
          <cell r="C368">
            <v>-1.1361950000000001</v>
          </cell>
        </row>
        <row r="369">
          <cell r="A369">
            <v>12077</v>
          </cell>
          <cell r="B369" t="str">
            <v>Liberty County</v>
          </cell>
          <cell r="C369">
            <v>-1.301955</v>
          </cell>
        </row>
        <row r="370">
          <cell r="A370">
            <v>12079</v>
          </cell>
          <cell r="B370" t="str">
            <v>Madison County</v>
          </cell>
          <cell r="C370">
            <v>0.20034979999999999</v>
          </cell>
        </row>
        <row r="371">
          <cell r="A371">
            <v>12081</v>
          </cell>
          <cell r="B371" t="str">
            <v>Manatee County</v>
          </cell>
          <cell r="C371">
            <v>-0.46480690000000002</v>
          </cell>
        </row>
        <row r="372">
          <cell r="A372">
            <v>12083</v>
          </cell>
          <cell r="B372" t="str">
            <v>Marion County</v>
          </cell>
          <cell r="C372">
            <v>-0.26158480000000001</v>
          </cell>
        </row>
        <row r="373">
          <cell r="A373">
            <v>12085</v>
          </cell>
          <cell r="B373" t="str">
            <v>Martin County</v>
          </cell>
          <cell r="C373">
            <v>-0.29116219999999998</v>
          </cell>
        </row>
        <row r="374">
          <cell r="A374">
            <v>12086</v>
          </cell>
          <cell r="B374" t="str">
            <v>Miami-Dade County</v>
          </cell>
          <cell r="C374">
            <v>0.73005410000000004</v>
          </cell>
        </row>
        <row r="375">
          <cell r="A375">
            <v>12087</v>
          </cell>
          <cell r="B375" t="str">
            <v>Monroe County</v>
          </cell>
          <cell r="C375">
            <v>-1.2972729999999999</v>
          </cell>
        </row>
        <row r="376">
          <cell r="A376">
            <v>12089</v>
          </cell>
          <cell r="B376" t="str">
            <v>Nassau County</v>
          </cell>
          <cell r="C376">
            <v>-0.79488999999999999</v>
          </cell>
        </row>
        <row r="377">
          <cell r="A377">
            <v>12091</v>
          </cell>
          <cell r="B377" t="str">
            <v>Okaloosa County</v>
          </cell>
          <cell r="C377">
            <v>0.2058487</v>
          </cell>
        </row>
        <row r="378">
          <cell r="A378">
            <v>12093</v>
          </cell>
          <cell r="B378" t="str">
            <v>Okeechobee County</v>
          </cell>
          <cell r="C378">
            <v>-0.41742580000000001</v>
          </cell>
        </row>
        <row r="379">
          <cell r="A379">
            <v>12095</v>
          </cell>
          <cell r="B379" t="str">
            <v>Orange County</v>
          </cell>
          <cell r="C379">
            <v>0.29197260000000003</v>
          </cell>
        </row>
        <row r="380">
          <cell r="A380">
            <v>12097</v>
          </cell>
          <cell r="B380" t="str">
            <v>Osceola County</v>
          </cell>
          <cell r="C380">
            <v>-6.8291699999999997E-2</v>
          </cell>
        </row>
        <row r="381">
          <cell r="A381">
            <v>12099</v>
          </cell>
          <cell r="B381" t="str">
            <v>Palm Beach County</v>
          </cell>
          <cell r="C381">
            <v>0.49817210000000001</v>
          </cell>
        </row>
        <row r="382">
          <cell r="A382">
            <v>12101</v>
          </cell>
          <cell r="B382" t="str">
            <v>Pasco County</v>
          </cell>
          <cell r="C382">
            <v>1.71282E-2</v>
          </cell>
        </row>
        <row r="383">
          <cell r="A383">
            <v>12103</v>
          </cell>
          <cell r="B383" t="str">
            <v>Pinellas County</v>
          </cell>
          <cell r="C383">
            <v>0.88754049999999995</v>
          </cell>
        </row>
        <row r="384">
          <cell r="A384">
            <v>12105</v>
          </cell>
          <cell r="B384" t="str">
            <v>Polk County</v>
          </cell>
          <cell r="C384">
            <v>-2.9676399999999999E-2</v>
          </cell>
        </row>
        <row r="385">
          <cell r="A385">
            <v>12107</v>
          </cell>
          <cell r="B385" t="str">
            <v>Putnam County</v>
          </cell>
          <cell r="C385">
            <v>-0.789327</v>
          </cell>
        </row>
        <row r="386">
          <cell r="A386">
            <v>12109</v>
          </cell>
          <cell r="B386" t="str">
            <v>St. Johns County</v>
          </cell>
          <cell r="C386">
            <v>-0.43104949999999997</v>
          </cell>
        </row>
        <row r="387">
          <cell r="A387">
            <v>12111</v>
          </cell>
          <cell r="B387" t="str">
            <v>St. Lucie County</v>
          </cell>
          <cell r="C387">
            <v>-6.5260600000000002E-2</v>
          </cell>
        </row>
        <row r="388">
          <cell r="A388">
            <v>12113</v>
          </cell>
          <cell r="B388" t="str">
            <v>Santa Rosa County</v>
          </cell>
          <cell r="C388">
            <v>-0.71209160000000005</v>
          </cell>
        </row>
        <row r="389">
          <cell r="A389">
            <v>12115</v>
          </cell>
          <cell r="B389" t="str">
            <v>Sarasota County</v>
          </cell>
          <cell r="C389">
            <v>0.26343169999999999</v>
          </cell>
        </row>
        <row r="390">
          <cell r="A390">
            <v>12117</v>
          </cell>
          <cell r="B390" t="str">
            <v>Seminole County</v>
          </cell>
          <cell r="C390">
            <v>0.68109450000000005</v>
          </cell>
        </row>
        <row r="391">
          <cell r="A391">
            <v>12119</v>
          </cell>
          <cell r="B391" t="str">
            <v>Sumter County</v>
          </cell>
          <cell r="C391">
            <v>-0.89783389999999996</v>
          </cell>
        </row>
        <row r="392">
          <cell r="A392">
            <v>12121</v>
          </cell>
          <cell r="B392" t="str">
            <v>Suwannee County</v>
          </cell>
          <cell r="C392">
            <v>-1.526751</v>
          </cell>
        </row>
        <row r="393">
          <cell r="A393">
            <v>12123</v>
          </cell>
          <cell r="B393" t="str">
            <v>Taylor County</v>
          </cell>
          <cell r="C393">
            <v>-0.89406249999999998</v>
          </cell>
        </row>
        <row r="394">
          <cell r="A394">
            <v>12125</v>
          </cell>
          <cell r="B394" t="str">
            <v>Union County</v>
          </cell>
          <cell r="C394">
            <v>-1.242448</v>
          </cell>
        </row>
        <row r="395">
          <cell r="A395">
            <v>12127</v>
          </cell>
          <cell r="B395" t="str">
            <v>Volusia County</v>
          </cell>
          <cell r="C395">
            <v>4.8683799999999999E-2</v>
          </cell>
        </row>
        <row r="396">
          <cell r="A396">
            <v>12129</v>
          </cell>
          <cell r="B396" t="str">
            <v>Wakulla County</v>
          </cell>
          <cell r="C396">
            <v>-1.8819490000000001</v>
          </cell>
        </row>
        <row r="397">
          <cell r="A397">
            <v>12131</v>
          </cell>
          <cell r="B397" t="str">
            <v>Walton County</v>
          </cell>
          <cell r="C397">
            <v>-0.94329879999999999</v>
          </cell>
        </row>
        <row r="398">
          <cell r="A398">
            <v>12133</v>
          </cell>
          <cell r="B398" t="str">
            <v>Washington County</v>
          </cell>
          <cell r="C398">
            <v>-7.4884199999999998E-2</v>
          </cell>
        </row>
        <row r="399">
          <cell r="A399">
            <v>13000</v>
          </cell>
          <cell r="B399" t="str">
            <v>Georgia</v>
          </cell>
          <cell r="C399">
            <v>0.81293389999999999</v>
          </cell>
        </row>
        <row r="400">
          <cell r="A400">
            <v>13001</v>
          </cell>
          <cell r="B400" t="str">
            <v>Appling County</v>
          </cell>
          <cell r="C400">
            <v>-0.1706087</v>
          </cell>
        </row>
        <row r="401">
          <cell r="A401">
            <v>13003</v>
          </cell>
          <cell r="B401" t="str">
            <v>Atkinson County</v>
          </cell>
          <cell r="C401">
            <v>3.1213959999999998</v>
          </cell>
        </row>
        <row r="402">
          <cell r="A402">
            <v>13005</v>
          </cell>
          <cell r="B402" t="str">
            <v>Bacon County</v>
          </cell>
          <cell r="C402">
            <v>-0.45094000000000001</v>
          </cell>
        </row>
        <row r="403">
          <cell r="A403">
            <v>13007</v>
          </cell>
          <cell r="B403" t="str">
            <v>Baker County</v>
          </cell>
          <cell r="C403">
            <v>-6.1080810000000003</v>
          </cell>
        </row>
        <row r="404">
          <cell r="A404">
            <v>13009</v>
          </cell>
          <cell r="B404" t="str">
            <v>Baldwin County</v>
          </cell>
          <cell r="C404">
            <v>0.89252279999999995</v>
          </cell>
        </row>
        <row r="405">
          <cell r="A405">
            <v>13011</v>
          </cell>
          <cell r="B405" t="str">
            <v>Banks County</v>
          </cell>
          <cell r="C405">
            <v>1.861807</v>
          </cell>
        </row>
        <row r="406">
          <cell r="A406">
            <v>13013</v>
          </cell>
          <cell r="B406" t="str">
            <v>Barrow County</v>
          </cell>
          <cell r="C406">
            <v>0.279449</v>
          </cell>
        </row>
        <row r="407">
          <cell r="A407">
            <v>13015</v>
          </cell>
          <cell r="B407" t="str">
            <v>Bartow County</v>
          </cell>
          <cell r="C407">
            <v>-0.77689660000000005</v>
          </cell>
        </row>
        <row r="408">
          <cell r="A408">
            <v>13017</v>
          </cell>
          <cell r="B408" t="str">
            <v>Ben Hill County</v>
          </cell>
          <cell r="C408">
            <v>0.15365380000000001</v>
          </cell>
        </row>
        <row r="409">
          <cell r="A409">
            <v>13019</v>
          </cell>
          <cell r="B409" t="str">
            <v>Berrien County</v>
          </cell>
          <cell r="C409">
            <v>-1.9550829999999999</v>
          </cell>
        </row>
        <row r="410">
          <cell r="A410">
            <v>13021</v>
          </cell>
          <cell r="B410" t="str">
            <v>Bibb County</v>
          </cell>
          <cell r="C410">
            <v>0.47040110000000002</v>
          </cell>
        </row>
        <row r="411">
          <cell r="A411">
            <v>13023</v>
          </cell>
          <cell r="B411" t="str">
            <v>Bleckley County</v>
          </cell>
          <cell r="C411">
            <v>-2.7060629999999999</v>
          </cell>
        </row>
        <row r="412">
          <cell r="A412">
            <v>13025</v>
          </cell>
          <cell r="B412" t="str">
            <v>Brantley County</v>
          </cell>
          <cell r="C412">
            <v>2.1494719999999998</v>
          </cell>
        </row>
        <row r="413">
          <cell r="A413">
            <v>13027</v>
          </cell>
          <cell r="B413" t="str">
            <v>Brooks County</v>
          </cell>
          <cell r="C413">
            <v>1.684628</v>
          </cell>
        </row>
        <row r="414">
          <cell r="A414">
            <v>13029</v>
          </cell>
          <cell r="B414" t="str">
            <v>Bryan County</v>
          </cell>
          <cell r="C414">
            <v>0.38256820000000002</v>
          </cell>
        </row>
        <row r="415">
          <cell r="A415">
            <v>13031</v>
          </cell>
          <cell r="B415" t="str">
            <v>Bulloch County</v>
          </cell>
          <cell r="C415">
            <v>7.3327299999999998E-2</v>
          </cell>
        </row>
        <row r="416">
          <cell r="A416">
            <v>13033</v>
          </cell>
          <cell r="B416" t="str">
            <v>Burke County</v>
          </cell>
          <cell r="C416">
            <v>1.2784789999999999</v>
          </cell>
        </row>
        <row r="417">
          <cell r="A417">
            <v>13035</v>
          </cell>
          <cell r="B417" t="str">
            <v>Butts County</v>
          </cell>
          <cell r="C417">
            <v>1.4552E-3</v>
          </cell>
        </row>
        <row r="418">
          <cell r="A418">
            <v>13037</v>
          </cell>
          <cell r="B418" t="str">
            <v>Calhoun County</v>
          </cell>
          <cell r="C418">
            <v>1.9129160000000001</v>
          </cell>
        </row>
        <row r="419">
          <cell r="A419">
            <v>13039</v>
          </cell>
          <cell r="B419" t="str">
            <v>Camden County</v>
          </cell>
          <cell r="C419">
            <v>0.68132729999999997</v>
          </cell>
        </row>
        <row r="420">
          <cell r="A420">
            <v>13043</v>
          </cell>
          <cell r="B420" t="str">
            <v>Candler County</v>
          </cell>
          <cell r="C420">
            <v>0.20104630000000001</v>
          </cell>
        </row>
        <row r="421">
          <cell r="A421">
            <v>13045</v>
          </cell>
          <cell r="B421" t="str">
            <v>Carroll County</v>
          </cell>
          <cell r="C421">
            <v>-0.28635440000000001</v>
          </cell>
        </row>
        <row r="422">
          <cell r="A422">
            <v>13047</v>
          </cell>
          <cell r="B422" t="str">
            <v>Catoosa County</v>
          </cell>
          <cell r="C422">
            <v>1.749031</v>
          </cell>
        </row>
        <row r="423">
          <cell r="A423">
            <v>13049</v>
          </cell>
          <cell r="B423" t="str">
            <v>Charlton County</v>
          </cell>
          <cell r="C423">
            <v>0.46357140000000002</v>
          </cell>
        </row>
        <row r="424">
          <cell r="A424">
            <v>13051</v>
          </cell>
          <cell r="B424" t="str">
            <v>Chatham County</v>
          </cell>
          <cell r="C424">
            <v>-0.31328679999999998</v>
          </cell>
        </row>
        <row r="425">
          <cell r="A425">
            <v>13053</v>
          </cell>
          <cell r="B425" t="str">
            <v>Chattahoochee County</v>
          </cell>
          <cell r="C425">
            <v>2.600244</v>
          </cell>
        </row>
        <row r="426">
          <cell r="A426">
            <v>13055</v>
          </cell>
          <cell r="B426" t="str">
            <v>Chattooga County</v>
          </cell>
          <cell r="C426">
            <v>0.89583670000000004</v>
          </cell>
        </row>
        <row r="427">
          <cell r="A427">
            <v>13057</v>
          </cell>
          <cell r="B427" t="str">
            <v>Cherokee County</v>
          </cell>
          <cell r="C427">
            <v>5.4879200000000003E-2</v>
          </cell>
        </row>
        <row r="428">
          <cell r="A428">
            <v>13059</v>
          </cell>
          <cell r="B428" t="str">
            <v>Clarke County</v>
          </cell>
          <cell r="C428">
            <v>0.5652549</v>
          </cell>
        </row>
        <row r="429">
          <cell r="A429">
            <v>13061</v>
          </cell>
          <cell r="B429" t="str">
            <v>Clay County</v>
          </cell>
          <cell r="C429">
            <v>1.72543</v>
          </cell>
        </row>
        <row r="430">
          <cell r="A430">
            <v>13063</v>
          </cell>
          <cell r="B430" t="str">
            <v>Clayton County</v>
          </cell>
          <cell r="C430">
            <v>-4.2267600000000002E-2</v>
          </cell>
        </row>
        <row r="431">
          <cell r="A431">
            <v>13065</v>
          </cell>
          <cell r="B431" t="str">
            <v>Clinch County</v>
          </cell>
          <cell r="C431">
            <v>-1.5466880000000001</v>
          </cell>
        </row>
        <row r="432">
          <cell r="A432">
            <v>13067</v>
          </cell>
          <cell r="B432" t="str">
            <v>Cobb County</v>
          </cell>
          <cell r="C432">
            <v>0.77579160000000003</v>
          </cell>
        </row>
        <row r="433">
          <cell r="A433">
            <v>13069</v>
          </cell>
          <cell r="B433" t="str">
            <v>Coffee County</v>
          </cell>
          <cell r="C433">
            <v>0.22390389999999999</v>
          </cell>
        </row>
        <row r="434">
          <cell r="A434">
            <v>13071</v>
          </cell>
          <cell r="B434" t="str">
            <v>Colquitt County</v>
          </cell>
          <cell r="C434">
            <v>-1.5491839999999999</v>
          </cell>
        </row>
        <row r="435">
          <cell r="A435">
            <v>13073</v>
          </cell>
          <cell r="B435" t="str">
            <v>Columbia County</v>
          </cell>
          <cell r="C435">
            <v>0.27470480000000003</v>
          </cell>
        </row>
        <row r="436">
          <cell r="A436">
            <v>13075</v>
          </cell>
          <cell r="B436" t="str">
            <v>Cook County</v>
          </cell>
          <cell r="C436">
            <v>-9.3509800000000004E-2</v>
          </cell>
        </row>
        <row r="437">
          <cell r="A437">
            <v>13077</v>
          </cell>
          <cell r="B437" t="str">
            <v>Coweta County</v>
          </cell>
          <cell r="C437">
            <v>0.19348889999999999</v>
          </cell>
        </row>
        <row r="438">
          <cell r="A438">
            <v>13079</v>
          </cell>
          <cell r="B438" t="str">
            <v>Crawford County</v>
          </cell>
          <cell r="C438">
            <v>-2.822924</v>
          </cell>
        </row>
        <row r="439">
          <cell r="A439">
            <v>13081</v>
          </cell>
          <cell r="B439" t="str">
            <v>Crisp County</v>
          </cell>
          <cell r="C439">
            <v>1.8223720000000001</v>
          </cell>
        </row>
        <row r="440">
          <cell r="A440">
            <v>13083</v>
          </cell>
          <cell r="B440" t="str">
            <v>Dade County</v>
          </cell>
          <cell r="C440">
            <v>1.245827</v>
          </cell>
        </row>
        <row r="441">
          <cell r="A441">
            <v>13085</v>
          </cell>
          <cell r="B441" t="str">
            <v>Dawson County</v>
          </cell>
          <cell r="C441">
            <v>0.4800913</v>
          </cell>
        </row>
        <row r="442">
          <cell r="A442">
            <v>13087</v>
          </cell>
          <cell r="B442" t="str">
            <v>Decatur County</v>
          </cell>
          <cell r="C442">
            <v>0.62059410000000004</v>
          </cell>
        </row>
        <row r="443">
          <cell r="A443">
            <v>13089</v>
          </cell>
          <cell r="B443" t="str">
            <v>DeKalb County</v>
          </cell>
          <cell r="C443">
            <v>1.197036</v>
          </cell>
        </row>
        <row r="444">
          <cell r="A444">
            <v>13091</v>
          </cell>
          <cell r="B444" t="str">
            <v>Dodge County</v>
          </cell>
          <cell r="C444">
            <v>-0.38504529999999998</v>
          </cell>
        </row>
        <row r="445">
          <cell r="A445">
            <v>13093</v>
          </cell>
          <cell r="B445" t="str">
            <v>Dooly County</v>
          </cell>
          <cell r="C445">
            <v>8.7508900000000001E-2</v>
          </cell>
        </row>
        <row r="446">
          <cell r="A446">
            <v>13095</v>
          </cell>
          <cell r="B446" t="str">
            <v>Dougherty County</v>
          </cell>
          <cell r="C446">
            <v>7.3677099999999995E-2</v>
          </cell>
        </row>
        <row r="447">
          <cell r="A447">
            <v>13097</v>
          </cell>
          <cell r="B447" t="str">
            <v>Douglas County</v>
          </cell>
          <cell r="C447">
            <v>-0.2145996</v>
          </cell>
        </row>
        <row r="448">
          <cell r="A448">
            <v>13099</v>
          </cell>
          <cell r="B448" t="str">
            <v>Early County</v>
          </cell>
          <cell r="C448">
            <v>0.31873069999999998</v>
          </cell>
        </row>
        <row r="449">
          <cell r="A449">
            <v>13101</v>
          </cell>
          <cell r="B449" t="str">
            <v>Echols County</v>
          </cell>
          <cell r="C449">
            <v>-3.6170439999999999</v>
          </cell>
        </row>
        <row r="450">
          <cell r="A450">
            <v>13103</v>
          </cell>
          <cell r="B450" t="str">
            <v>Effingham County</v>
          </cell>
          <cell r="C450">
            <v>-1.191764</v>
          </cell>
        </row>
        <row r="451">
          <cell r="A451">
            <v>13105</v>
          </cell>
          <cell r="B451" t="str">
            <v>Elbert County</v>
          </cell>
          <cell r="C451">
            <v>-0.68822910000000004</v>
          </cell>
        </row>
        <row r="452">
          <cell r="A452">
            <v>13107</v>
          </cell>
          <cell r="B452" t="str">
            <v>Emanuel County</v>
          </cell>
          <cell r="C452">
            <v>-0.46034029999999998</v>
          </cell>
        </row>
        <row r="453">
          <cell r="A453">
            <v>13109</v>
          </cell>
          <cell r="B453" t="str">
            <v>Evans County</v>
          </cell>
          <cell r="C453">
            <v>1.3429679999999999</v>
          </cell>
        </row>
        <row r="454">
          <cell r="A454">
            <v>13111</v>
          </cell>
          <cell r="B454" t="str">
            <v>Fannin County</v>
          </cell>
          <cell r="C454">
            <v>1.1392519999999999</v>
          </cell>
        </row>
        <row r="455">
          <cell r="A455">
            <v>13113</v>
          </cell>
          <cell r="B455" t="str">
            <v>Fayette County</v>
          </cell>
          <cell r="C455">
            <v>0.53107059999999995</v>
          </cell>
        </row>
        <row r="456">
          <cell r="A456">
            <v>13115</v>
          </cell>
          <cell r="B456" t="str">
            <v>Floyd County</v>
          </cell>
          <cell r="C456">
            <v>0.26124330000000001</v>
          </cell>
        </row>
        <row r="457">
          <cell r="A457">
            <v>13117</v>
          </cell>
          <cell r="B457" t="str">
            <v>Forsyth County</v>
          </cell>
          <cell r="C457">
            <v>0.72601349999999998</v>
          </cell>
        </row>
        <row r="458">
          <cell r="A458">
            <v>13119</v>
          </cell>
          <cell r="B458" t="str">
            <v>Franklin County</v>
          </cell>
          <cell r="C458">
            <v>0.73844160000000003</v>
          </cell>
        </row>
        <row r="459">
          <cell r="A459">
            <v>13121</v>
          </cell>
          <cell r="B459" t="str">
            <v>Fulton County</v>
          </cell>
          <cell r="C459">
            <v>1.6262049999999999</v>
          </cell>
        </row>
        <row r="460">
          <cell r="A460">
            <v>13123</v>
          </cell>
          <cell r="B460" t="str">
            <v>Gilmer County</v>
          </cell>
          <cell r="C460">
            <v>1.4085829999999999</v>
          </cell>
        </row>
        <row r="461">
          <cell r="A461">
            <v>13125</v>
          </cell>
          <cell r="B461" t="str">
            <v>Glascock County</v>
          </cell>
          <cell r="C461">
            <v>-3.6170439999999999</v>
          </cell>
        </row>
        <row r="462">
          <cell r="A462">
            <v>13127</v>
          </cell>
          <cell r="B462" t="str">
            <v>Glynn County</v>
          </cell>
          <cell r="C462">
            <v>-0.60038919999999996</v>
          </cell>
        </row>
        <row r="463">
          <cell r="A463">
            <v>13129</v>
          </cell>
          <cell r="B463" t="str">
            <v>Gordon County</v>
          </cell>
          <cell r="C463">
            <v>0.23013790000000001</v>
          </cell>
        </row>
        <row r="464">
          <cell r="A464">
            <v>13131</v>
          </cell>
          <cell r="B464" t="str">
            <v>Grady County</v>
          </cell>
          <cell r="C464">
            <v>1.2074750000000001</v>
          </cell>
        </row>
        <row r="465">
          <cell r="A465">
            <v>13133</v>
          </cell>
          <cell r="B465" t="str">
            <v>Greene County</v>
          </cell>
          <cell r="C465">
            <v>-3.25335E-2</v>
          </cell>
        </row>
        <row r="466">
          <cell r="A466">
            <v>13135</v>
          </cell>
          <cell r="B466" t="str">
            <v>Gwinnett County</v>
          </cell>
          <cell r="C466">
            <v>1.0699689999999999</v>
          </cell>
        </row>
        <row r="467">
          <cell r="A467">
            <v>13137</v>
          </cell>
          <cell r="B467" t="str">
            <v>Habersham County</v>
          </cell>
          <cell r="C467">
            <v>0.28452660000000002</v>
          </cell>
        </row>
        <row r="468">
          <cell r="A468">
            <v>13139</v>
          </cell>
          <cell r="B468" t="str">
            <v>Hall County</v>
          </cell>
          <cell r="C468">
            <v>-0.2917862</v>
          </cell>
        </row>
        <row r="469">
          <cell r="A469">
            <v>13141</v>
          </cell>
          <cell r="B469" t="str">
            <v>Hancock County</v>
          </cell>
          <cell r="C469">
            <v>-1.7323170000000001</v>
          </cell>
        </row>
        <row r="470">
          <cell r="A470">
            <v>13143</v>
          </cell>
          <cell r="B470" t="str">
            <v>Haralson County</v>
          </cell>
          <cell r="C470">
            <v>0.62785919999999995</v>
          </cell>
        </row>
        <row r="471">
          <cell r="A471">
            <v>13145</v>
          </cell>
          <cell r="B471" t="str">
            <v>Harris County</v>
          </cell>
          <cell r="C471">
            <v>1.1008739999999999</v>
          </cell>
        </row>
        <row r="472">
          <cell r="A472">
            <v>13147</v>
          </cell>
          <cell r="B472" t="str">
            <v>Hart County</v>
          </cell>
          <cell r="C472">
            <v>1.6915690000000001</v>
          </cell>
        </row>
        <row r="473">
          <cell r="A473">
            <v>13149</v>
          </cell>
          <cell r="B473" t="str">
            <v>Heard County</v>
          </cell>
          <cell r="C473">
            <v>2.7899319999999999</v>
          </cell>
        </row>
        <row r="474">
          <cell r="A474">
            <v>13151</v>
          </cell>
          <cell r="B474" t="str">
            <v>Henry County</v>
          </cell>
          <cell r="C474">
            <v>-0.24248810000000001</v>
          </cell>
        </row>
        <row r="475">
          <cell r="A475">
            <v>13153</v>
          </cell>
          <cell r="B475" t="str">
            <v>Houston County</v>
          </cell>
          <cell r="C475">
            <v>0.83883790000000003</v>
          </cell>
        </row>
        <row r="476">
          <cell r="A476">
            <v>13155</v>
          </cell>
          <cell r="B476" t="str">
            <v>Irwin County</v>
          </cell>
          <cell r="C476">
            <v>-9.0455900000000006E-2</v>
          </cell>
        </row>
        <row r="477">
          <cell r="A477">
            <v>13157</v>
          </cell>
          <cell r="B477" t="str">
            <v>Jackson County</v>
          </cell>
          <cell r="C477">
            <v>-0.44091279999999999</v>
          </cell>
        </row>
        <row r="478">
          <cell r="A478">
            <v>13159</v>
          </cell>
          <cell r="B478" t="str">
            <v>Jasper County</v>
          </cell>
          <cell r="C478">
            <v>-0.33896229999999999</v>
          </cell>
        </row>
        <row r="479">
          <cell r="A479">
            <v>13161</v>
          </cell>
          <cell r="B479" t="str">
            <v>Jeff Davis County</v>
          </cell>
          <cell r="C479">
            <v>-0.768988</v>
          </cell>
        </row>
        <row r="480">
          <cell r="A480">
            <v>13163</v>
          </cell>
          <cell r="B480" t="str">
            <v>Jefferson County</v>
          </cell>
          <cell r="C480">
            <v>-1.635901</v>
          </cell>
        </row>
        <row r="481">
          <cell r="A481">
            <v>13165</v>
          </cell>
          <cell r="B481" t="str">
            <v>Jenkins County</v>
          </cell>
          <cell r="C481">
            <v>-2.3822000000000001</v>
          </cell>
        </row>
        <row r="482">
          <cell r="A482">
            <v>13167</v>
          </cell>
          <cell r="B482" t="str">
            <v>Johnson County</v>
          </cell>
          <cell r="C482">
            <v>1.3598749999999999</v>
          </cell>
        </row>
        <row r="483">
          <cell r="A483">
            <v>13169</v>
          </cell>
          <cell r="B483" t="str">
            <v>Jones County</v>
          </cell>
          <cell r="C483">
            <v>-1.3021640000000001</v>
          </cell>
        </row>
        <row r="484">
          <cell r="A484">
            <v>13171</v>
          </cell>
          <cell r="B484" t="str">
            <v>Lamar County</v>
          </cell>
          <cell r="C484">
            <v>2.2703679999999999</v>
          </cell>
        </row>
        <row r="485">
          <cell r="A485">
            <v>13173</v>
          </cell>
          <cell r="B485" t="str">
            <v>Lanier County</v>
          </cell>
          <cell r="C485">
            <v>-3.2707609999999998</v>
          </cell>
        </row>
        <row r="486">
          <cell r="A486">
            <v>13175</v>
          </cell>
          <cell r="B486" t="str">
            <v>Laurens County</v>
          </cell>
          <cell r="C486">
            <v>0.39433970000000002</v>
          </cell>
        </row>
        <row r="487">
          <cell r="A487">
            <v>13177</v>
          </cell>
          <cell r="B487" t="str">
            <v>Lee County</v>
          </cell>
          <cell r="C487">
            <v>9.9725999999999995E-2</v>
          </cell>
        </row>
        <row r="488">
          <cell r="A488">
            <v>13179</v>
          </cell>
          <cell r="B488" t="str">
            <v>Liberty County</v>
          </cell>
          <cell r="C488">
            <v>-0.6045507</v>
          </cell>
        </row>
        <row r="489">
          <cell r="A489">
            <v>13181</v>
          </cell>
          <cell r="B489" t="str">
            <v>Lincoln County</v>
          </cell>
          <cell r="C489">
            <v>-1.844252</v>
          </cell>
        </row>
        <row r="490">
          <cell r="A490">
            <v>13183</v>
          </cell>
          <cell r="B490" t="str">
            <v>Long County</v>
          </cell>
          <cell r="C490">
            <v>-2.4833500000000002</v>
          </cell>
        </row>
        <row r="491">
          <cell r="A491">
            <v>13185</v>
          </cell>
          <cell r="B491" t="str">
            <v>Lowndes County</v>
          </cell>
          <cell r="C491">
            <v>-0.28805550000000002</v>
          </cell>
        </row>
        <row r="492">
          <cell r="A492">
            <v>13187</v>
          </cell>
          <cell r="B492" t="str">
            <v>Lumpkin County</v>
          </cell>
          <cell r="C492">
            <v>-1.4471259999999999</v>
          </cell>
        </row>
        <row r="493">
          <cell r="A493">
            <v>13189</v>
          </cell>
          <cell r="B493" t="str">
            <v>McDuffie County</v>
          </cell>
          <cell r="C493">
            <v>1.6430530000000001</v>
          </cell>
        </row>
        <row r="494">
          <cell r="A494">
            <v>13191</v>
          </cell>
          <cell r="B494" t="str">
            <v>McIntosh County</v>
          </cell>
          <cell r="C494">
            <v>-2.346641</v>
          </cell>
        </row>
        <row r="495">
          <cell r="A495">
            <v>13193</v>
          </cell>
          <cell r="B495" t="str">
            <v>Macon County</v>
          </cell>
          <cell r="C495">
            <v>0.87404510000000002</v>
          </cell>
        </row>
        <row r="496">
          <cell r="A496">
            <v>13195</v>
          </cell>
          <cell r="B496" t="str">
            <v>Madison County</v>
          </cell>
          <cell r="C496">
            <v>1.0495570000000001</v>
          </cell>
        </row>
        <row r="497">
          <cell r="A497">
            <v>13197</v>
          </cell>
          <cell r="B497" t="str">
            <v>Marion County</v>
          </cell>
          <cell r="C497">
            <v>2.7962389999999999</v>
          </cell>
        </row>
        <row r="498">
          <cell r="A498">
            <v>13199</v>
          </cell>
          <cell r="B498" t="str">
            <v>Meriwether County</v>
          </cell>
          <cell r="C498">
            <v>0.57548180000000004</v>
          </cell>
        </row>
        <row r="499">
          <cell r="A499">
            <v>13201</v>
          </cell>
          <cell r="B499" t="str">
            <v>Miller County</v>
          </cell>
          <cell r="C499">
            <v>-1.4236519999999999</v>
          </cell>
        </row>
        <row r="500">
          <cell r="A500">
            <v>13205</v>
          </cell>
          <cell r="B500" t="str">
            <v>Mitchell County</v>
          </cell>
          <cell r="C500">
            <v>1.7249730000000001</v>
          </cell>
        </row>
        <row r="501">
          <cell r="A501">
            <v>13207</v>
          </cell>
          <cell r="B501" t="str">
            <v>Monroe County</v>
          </cell>
          <cell r="C501">
            <v>-0.47302240000000001</v>
          </cell>
        </row>
        <row r="502">
          <cell r="A502">
            <v>13209</v>
          </cell>
          <cell r="B502" t="str">
            <v>Montgomery County</v>
          </cell>
          <cell r="C502">
            <v>-0.1276687</v>
          </cell>
        </row>
        <row r="503">
          <cell r="A503">
            <v>13211</v>
          </cell>
          <cell r="B503" t="str">
            <v>Morgan County</v>
          </cell>
          <cell r="C503">
            <v>0.4852822</v>
          </cell>
        </row>
        <row r="504">
          <cell r="A504">
            <v>13213</v>
          </cell>
          <cell r="B504" t="str">
            <v>Murray County</v>
          </cell>
          <cell r="C504">
            <v>-0.96514250000000001</v>
          </cell>
        </row>
        <row r="505">
          <cell r="A505">
            <v>13215</v>
          </cell>
          <cell r="B505" t="str">
            <v>Muscogee County</v>
          </cell>
          <cell r="C505">
            <v>0.81894900000000004</v>
          </cell>
        </row>
        <row r="506">
          <cell r="A506">
            <v>13217</v>
          </cell>
          <cell r="B506" t="str">
            <v>Newton County</v>
          </cell>
          <cell r="C506">
            <v>6.3735299999999995E-2</v>
          </cell>
        </row>
        <row r="507">
          <cell r="A507">
            <v>13219</v>
          </cell>
          <cell r="B507" t="str">
            <v>Oconee County</v>
          </cell>
          <cell r="C507">
            <v>0.84243199999999996</v>
          </cell>
        </row>
        <row r="508">
          <cell r="A508">
            <v>13221</v>
          </cell>
          <cell r="B508" t="str">
            <v>Oglethorpe County</v>
          </cell>
          <cell r="C508">
            <v>1.4122680000000001</v>
          </cell>
        </row>
        <row r="509">
          <cell r="A509">
            <v>13223</v>
          </cell>
          <cell r="B509" t="str">
            <v>Paulding County</v>
          </cell>
          <cell r="C509">
            <v>0.13528570000000001</v>
          </cell>
        </row>
        <row r="510">
          <cell r="A510">
            <v>13225</v>
          </cell>
          <cell r="B510" t="str">
            <v>Peach County</v>
          </cell>
          <cell r="C510">
            <v>0.21115039999999999</v>
          </cell>
        </row>
        <row r="511">
          <cell r="A511">
            <v>13227</v>
          </cell>
          <cell r="B511" t="str">
            <v>Pickens County</v>
          </cell>
          <cell r="C511">
            <v>-0.74702979999999997</v>
          </cell>
        </row>
        <row r="512">
          <cell r="A512">
            <v>13229</v>
          </cell>
          <cell r="B512" t="str">
            <v>Pierce County</v>
          </cell>
          <cell r="C512">
            <v>-2.2436579999999999</v>
          </cell>
        </row>
        <row r="513">
          <cell r="A513">
            <v>13231</v>
          </cell>
          <cell r="B513" t="str">
            <v>Pike County</v>
          </cell>
          <cell r="C513">
            <v>0.2300992</v>
          </cell>
        </row>
        <row r="514">
          <cell r="A514">
            <v>13233</v>
          </cell>
          <cell r="B514" t="str">
            <v>Polk County</v>
          </cell>
          <cell r="C514">
            <v>1.14113</v>
          </cell>
        </row>
        <row r="515">
          <cell r="A515">
            <v>13235</v>
          </cell>
          <cell r="B515" t="str">
            <v>Pulaski County</v>
          </cell>
          <cell r="C515">
            <v>0.13387309999999999</v>
          </cell>
        </row>
        <row r="516">
          <cell r="A516">
            <v>13237</v>
          </cell>
          <cell r="B516" t="str">
            <v>Putnam County</v>
          </cell>
          <cell r="C516">
            <v>-2.0647980000000001</v>
          </cell>
        </row>
        <row r="517">
          <cell r="A517">
            <v>13239</v>
          </cell>
          <cell r="B517" t="str">
            <v>Quitman County</v>
          </cell>
          <cell r="C517">
            <v>-3.6170439999999999</v>
          </cell>
        </row>
        <row r="518">
          <cell r="A518">
            <v>13241</v>
          </cell>
          <cell r="B518" t="str">
            <v>Rabun County</v>
          </cell>
          <cell r="C518">
            <v>0.47088479999999999</v>
          </cell>
        </row>
        <row r="519">
          <cell r="A519">
            <v>13243</v>
          </cell>
          <cell r="B519" t="str">
            <v>Randolph County</v>
          </cell>
          <cell r="C519">
            <v>1.5645819999999999</v>
          </cell>
        </row>
        <row r="520">
          <cell r="A520">
            <v>13245</v>
          </cell>
          <cell r="B520" t="str">
            <v>Richmond County</v>
          </cell>
          <cell r="C520">
            <v>0.6453295</v>
          </cell>
        </row>
        <row r="521">
          <cell r="A521">
            <v>13247</v>
          </cell>
          <cell r="B521" t="str">
            <v>Rockdale County</v>
          </cell>
          <cell r="C521">
            <v>0.44857930000000001</v>
          </cell>
        </row>
        <row r="522">
          <cell r="A522">
            <v>13249</v>
          </cell>
          <cell r="B522" t="str">
            <v>Schley County</v>
          </cell>
          <cell r="C522">
            <v>-3.6170439999999999</v>
          </cell>
        </row>
        <row r="523">
          <cell r="A523">
            <v>13251</v>
          </cell>
          <cell r="B523" t="str">
            <v>Screven County</v>
          </cell>
          <cell r="C523">
            <v>-0.81998769999999999</v>
          </cell>
        </row>
        <row r="524">
          <cell r="A524">
            <v>13253</v>
          </cell>
          <cell r="B524" t="str">
            <v>Seminole County</v>
          </cell>
          <cell r="C524">
            <v>-0.29281439999999997</v>
          </cell>
        </row>
        <row r="525">
          <cell r="A525">
            <v>13255</v>
          </cell>
          <cell r="B525" t="str">
            <v>Spalding County</v>
          </cell>
          <cell r="C525">
            <v>0.34481410000000001</v>
          </cell>
        </row>
        <row r="526">
          <cell r="A526">
            <v>13257</v>
          </cell>
          <cell r="B526" t="str">
            <v>Stephens County</v>
          </cell>
          <cell r="C526">
            <v>1.8940269999999999</v>
          </cell>
        </row>
        <row r="527">
          <cell r="A527">
            <v>13259</v>
          </cell>
          <cell r="B527" t="str">
            <v>Stewart County</v>
          </cell>
          <cell r="C527">
            <v>3.579288</v>
          </cell>
        </row>
        <row r="528">
          <cell r="A528">
            <v>13261</v>
          </cell>
          <cell r="B528" t="str">
            <v>Sumter County</v>
          </cell>
          <cell r="C528">
            <v>0.37037750000000003</v>
          </cell>
        </row>
        <row r="529">
          <cell r="A529">
            <v>13263</v>
          </cell>
          <cell r="B529" t="str">
            <v>Talbot County</v>
          </cell>
          <cell r="C529">
            <v>-4.1209009999999999</v>
          </cell>
        </row>
        <row r="530">
          <cell r="A530">
            <v>13265</v>
          </cell>
          <cell r="B530" t="str">
            <v>Taliaferro County</v>
          </cell>
          <cell r="C530">
            <v>-3.6170439999999999</v>
          </cell>
        </row>
        <row r="531">
          <cell r="A531">
            <v>13267</v>
          </cell>
          <cell r="B531" t="str">
            <v>Tattnall County</v>
          </cell>
          <cell r="C531">
            <v>1.4055660000000001</v>
          </cell>
        </row>
        <row r="532">
          <cell r="A532">
            <v>13269</v>
          </cell>
          <cell r="B532" t="str">
            <v>Taylor County</v>
          </cell>
          <cell r="C532">
            <v>3.1286550000000002</v>
          </cell>
        </row>
        <row r="533">
          <cell r="A533">
            <v>13271</v>
          </cell>
          <cell r="B533" t="str">
            <v>Telfair County</v>
          </cell>
          <cell r="C533">
            <v>2.2122199999999999</v>
          </cell>
        </row>
        <row r="534">
          <cell r="A534">
            <v>13273</v>
          </cell>
          <cell r="B534" t="str">
            <v>Terrell County</v>
          </cell>
          <cell r="C534">
            <v>-2.065477</v>
          </cell>
        </row>
        <row r="535">
          <cell r="A535">
            <v>13275</v>
          </cell>
          <cell r="B535" t="str">
            <v>Thomas County</v>
          </cell>
          <cell r="C535">
            <v>7.9011499999999998E-2</v>
          </cell>
        </row>
        <row r="536">
          <cell r="A536">
            <v>13277</v>
          </cell>
          <cell r="B536" t="str">
            <v>Tift County</v>
          </cell>
          <cell r="C536">
            <v>-0.66612499999999997</v>
          </cell>
        </row>
        <row r="537">
          <cell r="A537">
            <v>13279</v>
          </cell>
          <cell r="B537" t="str">
            <v>Toombs County</v>
          </cell>
          <cell r="C537">
            <v>0.40509780000000001</v>
          </cell>
        </row>
        <row r="538">
          <cell r="A538">
            <v>13281</v>
          </cell>
          <cell r="B538" t="str">
            <v>Towns County</v>
          </cell>
          <cell r="C538">
            <v>-0.1254304</v>
          </cell>
        </row>
        <row r="539">
          <cell r="A539">
            <v>13283</v>
          </cell>
          <cell r="B539" t="str">
            <v>Treutlen County</v>
          </cell>
          <cell r="C539">
            <v>2.2166510000000001</v>
          </cell>
        </row>
        <row r="540">
          <cell r="A540">
            <v>13285</v>
          </cell>
          <cell r="B540" t="str">
            <v>Troup County</v>
          </cell>
          <cell r="C540">
            <v>-0.45140079999999999</v>
          </cell>
        </row>
        <row r="541">
          <cell r="A541">
            <v>13287</v>
          </cell>
          <cell r="B541" t="str">
            <v>Turner County</v>
          </cell>
          <cell r="C541">
            <v>-0.2733313</v>
          </cell>
        </row>
        <row r="542">
          <cell r="A542">
            <v>13289</v>
          </cell>
          <cell r="B542" t="str">
            <v>Twiggs County</v>
          </cell>
          <cell r="C542">
            <v>3.0706099999999998</v>
          </cell>
        </row>
        <row r="543">
          <cell r="A543">
            <v>13291</v>
          </cell>
          <cell r="B543" t="str">
            <v>Union County</v>
          </cell>
          <cell r="C543">
            <v>1.881543</v>
          </cell>
        </row>
        <row r="544">
          <cell r="A544">
            <v>13293</v>
          </cell>
          <cell r="B544" t="str">
            <v>Upson County</v>
          </cell>
          <cell r="C544">
            <v>1.7604880000000001</v>
          </cell>
        </row>
        <row r="545">
          <cell r="A545">
            <v>13295</v>
          </cell>
          <cell r="B545" t="str">
            <v>Walker County</v>
          </cell>
          <cell r="C545">
            <v>0.68793020000000005</v>
          </cell>
        </row>
        <row r="546">
          <cell r="A546">
            <v>13297</v>
          </cell>
          <cell r="B546" t="str">
            <v>Walton County</v>
          </cell>
          <cell r="C546">
            <v>0.18480840000000001</v>
          </cell>
        </row>
        <row r="547">
          <cell r="A547">
            <v>13299</v>
          </cell>
          <cell r="B547" t="str">
            <v>Ware County</v>
          </cell>
          <cell r="C547">
            <v>0.31011630000000001</v>
          </cell>
        </row>
        <row r="548">
          <cell r="A548">
            <v>13301</v>
          </cell>
          <cell r="B548" t="str">
            <v>Warren County</v>
          </cell>
          <cell r="C548">
            <v>1.217795</v>
          </cell>
        </row>
        <row r="549">
          <cell r="A549">
            <v>13303</v>
          </cell>
          <cell r="B549" t="str">
            <v>Washington County</v>
          </cell>
          <cell r="C549">
            <v>1.2929440000000001</v>
          </cell>
        </row>
        <row r="550">
          <cell r="A550">
            <v>13305</v>
          </cell>
          <cell r="B550" t="str">
            <v>Wayne County</v>
          </cell>
          <cell r="C550">
            <v>-0.25360450000000001</v>
          </cell>
        </row>
        <row r="551">
          <cell r="A551">
            <v>13307</v>
          </cell>
          <cell r="B551" t="str">
            <v>Webster County</v>
          </cell>
          <cell r="C551">
            <v>-3.6170439999999999</v>
          </cell>
        </row>
        <row r="552">
          <cell r="A552">
            <v>13309</v>
          </cell>
          <cell r="B552" t="str">
            <v>Wheeler County</v>
          </cell>
          <cell r="C552">
            <v>-1.482448</v>
          </cell>
        </row>
        <row r="553">
          <cell r="A553">
            <v>13311</v>
          </cell>
          <cell r="B553" t="str">
            <v>White County</v>
          </cell>
          <cell r="C553">
            <v>-1.0651170000000001</v>
          </cell>
        </row>
        <row r="554">
          <cell r="A554">
            <v>13313</v>
          </cell>
          <cell r="B554" t="str">
            <v>Whitfield County</v>
          </cell>
          <cell r="C554">
            <v>-0.64187629999999996</v>
          </cell>
        </row>
        <row r="555">
          <cell r="A555">
            <v>13315</v>
          </cell>
          <cell r="B555" t="str">
            <v>Wilcox County</v>
          </cell>
          <cell r="C555">
            <v>3.0051860000000001</v>
          </cell>
        </row>
        <row r="556">
          <cell r="A556">
            <v>13317</v>
          </cell>
          <cell r="B556" t="str">
            <v>Wilkes County</v>
          </cell>
          <cell r="C556">
            <v>-2.2238720000000001</v>
          </cell>
        </row>
        <row r="557">
          <cell r="A557">
            <v>13319</v>
          </cell>
          <cell r="B557" t="str">
            <v>Wilkinson County</v>
          </cell>
          <cell r="C557">
            <v>0.63095369999999995</v>
          </cell>
        </row>
        <row r="558">
          <cell r="A558">
            <v>13321</v>
          </cell>
          <cell r="B558" t="str">
            <v>Worth County</v>
          </cell>
          <cell r="C558">
            <v>1.5866</v>
          </cell>
        </row>
        <row r="559">
          <cell r="A559">
            <v>15000</v>
          </cell>
          <cell r="B559" t="str">
            <v>Hawaii</v>
          </cell>
          <cell r="C559">
            <v>0.23471429999999999</v>
          </cell>
        </row>
        <row r="560">
          <cell r="A560">
            <v>15001</v>
          </cell>
          <cell r="B560" t="str">
            <v>Hawaii County</v>
          </cell>
          <cell r="C560">
            <v>3.4351100000000002E-2</v>
          </cell>
        </row>
        <row r="561">
          <cell r="A561">
            <v>15003</v>
          </cell>
          <cell r="B561" t="str">
            <v>Honolulu County</v>
          </cell>
          <cell r="C561">
            <v>0.4758773</v>
          </cell>
        </row>
        <row r="562">
          <cell r="A562">
            <v>15007</v>
          </cell>
          <cell r="B562" t="str">
            <v>Kauai County</v>
          </cell>
          <cell r="C562">
            <v>-7.6707899999999996E-2</v>
          </cell>
        </row>
        <row r="563">
          <cell r="A563">
            <v>15009</v>
          </cell>
          <cell r="B563" t="str">
            <v>Maui County</v>
          </cell>
          <cell r="C563">
            <v>-3.1803499999999998E-2</v>
          </cell>
        </row>
        <row r="564">
          <cell r="A564">
            <v>16000</v>
          </cell>
          <cell r="B564" t="str">
            <v>Idaho</v>
          </cell>
          <cell r="C564">
            <v>0.49527189999999999</v>
          </cell>
        </row>
        <row r="565">
          <cell r="A565">
            <v>16001</v>
          </cell>
          <cell r="B565" t="str">
            <v>Ada County</v>
          </cell>
          <cell r="C565">
            <v>0.88094810000000001</v>
          </cell>
        </row>
        <row r="566">
          <cell r="A566">
            <v>16003</v>
          </cell>
          <cell r="B566" t="str">
            <v>Adams County</v>
          </cell>
          <cell r="C566">
            <v>-2.62756E-2</v>
          </cell>
        </row>
        <row r="567">
          <cell r="A567">
            <v>16005</v>
          </cell>
          <cell r="B567" t="str">
            <v>Bannock County</v>
          </cell>
          <cell r="C567">
            <v>0.85826639999999998</v>
          </cell>
        </row>
        <row r="568">
          <cell r="A568">
            <v>16007</v>
          </cell>
          <cell r="B568" t="str">
            <v>Bear Lake County</v>
          </cell>
          <cell r="C568">
            <v>-1.2161040000000001</v>
          </cell>
        </row>
        <row r="569">
          <cell r="A569">
            <v>16009</v>
          </cell>
          <cell r="B569" t="str">
            <v>Benewah County</v>
          </cell>
          <cell r="C569">
            <v>-1.3155650000000001</v>
          </cell>
        </row>
        <row r="570">
          <cell r="A570">
            <v>16011</v>
          </cell>
          <cell r="B570" t="str">
            <v>Bingham County</v>
          </cell>
          <cell r="C570">
            <v>-1.139186</v>
          </cell>
        </row>
        <row r="571">
          <cell r="A571">
            <v>16013</v>
          </cell>
          <cell r="B571" t="str">
            <v>Blaine County</v>
          </cell>
          <cell r="C571">
            <v>-0.60592500000000005</v>
          </cell>
        </row>
        <row r="572">
          <cell r="A572">
            <v>16015</v>
          </cell>
          <cell r="B572" t="str">
            <v>Boise County</v>
          </cell>
          <cell r="C572">
            <v>-1.4851380000000001</v>
          </cell>
        </row>
        <row r="573">
          <cell r="A573">
            <v>16017</v>
          </cell>
          <cell r="B573" t="str">
            <v>Bonner County</v>
          </cell>
          <cell r="C573">
            <v>-0.55989040000000001</v>
          </cell>
        </row>
        <row r="574">
          <cell r="A574">
            <v>16019</v>
          </cell>
          <cell r="B574" t="str">
            <v>Bonneville County</v>
          </cell>
          <cell r="C574">
            <v>0.3864377</v>
          </cell>
        </row>
        <row r="575">
          <cell r="A575">
            <v>16021</v>
          </cell>
          <cell r="B575" t="str">
            <v>Boundary County</v>
          </cell>
          <cell r="C575">
            <v>-0.86809340000000002</v>
          </cell>
        </row>
        <row r="576">
          <cell r="A576">
            <v>16023</v>
          </cell>
          <cell r="B576" t="str">
            <v>Butte County</v>
          </cell>
          <cell r="C576">
            <v>1.3638699999999999</v>
          </cell>
        </row>
        <row r="577">
          <cell r="A577">
            <v>16025</v>
          </cell>
          <cell r="B577" t="str">
            <v>Camas County</v>
          </cell>
          <cell r="C577">
            <v>0.53408040000000001</v>
          </cell>
        </row>
        <row r="578">
          <cell r="A578">
            <v>16027</v>
          </cell>
          <cell r="B578" t="str">
            <v>Canyon County</v>
          </cell>
          <cell r="C578">
            <v>-1.019517</v>
          </cell>
        </row>
        <row r="579">
          <cell r="A579">
            <v>16029</v>
          </cell>
          <cell r="B579" t="str">
            <v>Caribou County</v>
          </cell>
          <cell r="C579">
            <v>-1.0568850000000001</v>
          </cell>
        </row>
        <row r="580">
          <cell r="A580">
            <v>16031</v>
          </cell>
          <cell r="B580" t="str">
            <v>Cassia County</v>
          </cell>
          <cell r="C580">
            <v>0.23076640000000001</v>
          </cell>
        </row>
        <row r="581">
          <cell r="A581">
            <v>16033</v>
          </cell>
          <cell r="B581" t="str">
            <v>Clark County</v>
          </cell>
          <cell r="C581">
            <v>4.0809220000000002</v>
          </cell>
        </row>
        <row r="582">
          <cell r="A582">
            <v>16035</v>
          </cell>
          <cell r="B582" t="str">
            <v>Clearwater County</v>
          </cell>
          <cell r="C582">
            <v>0.9199214</v>
          </cell>
        </row>
        <row r="583">
          <cell r="A583">
            <v>16037</v>
          </cell>
          <cell r="B583" t="str">
            <v>Custer County</v>
          </cell>
          <cell r="C583">
            <v>-1.5643899999999999</v>
          </cell>
        </row>
        <row r="584">
          <cell r="A584">
            <v>16039</v>
          </cell>
          <cell r="B584" t="str">
            <v>Elmore County</v>
          </cell>
          <cell r="C584">
            <v>0.48225380000000001</v>
          </cell>
        </row>
        <row r="585">
          <cell r="A585">
            <v>16041</v>
          </cell>
          <cell r="B585" t="str">
            <v>Franklin County</v>
          </cell>
          <cell r="C585">
            <v>-0.41102470000000002</v>
          </cell>
        </row>
        <row r="586">
          <cell r="A586">
            <v>16043</v>
          </cell>
          <cell r="B586" t="str">
            <v>Fremont County</v>
          </cell>
          <cell r="C586">
            <v>-0.2541272</v>
          </cell>
        </row>
        <row r="587">
          <cell r="A587">
            <v>16045</v>
          </cell>
          <cell r="B587" t="str">
            <v>Gem County</v>
          </cell>
          <cell r="C587">
            <v>-1.3141099999999999</v>
          </cell>
        </row>
        <row r="588">
          <cell r="A588">
            <v>16047</v>
          </cell>
          <cell r="B588" t="str">
            <v>Gooding County</v>
          </cell>
          <cell r="C588">
            <v>0.46063270000000001</v>
          </cell>
        </row>
        <row r="589">
          <cell r="A589">
            <v>16049</v>
          </cell>
          <cell r="B589" t="str">
            <v>Idaho County</v>
          </cell>
          <cell r="C589">
            <v>-1.4516530000000001</v>
          </cell>
        </row>
        <row r="590">
          <cell r="A590">
            <v>16051</v>
          </cell>
          <cell r="B590" t="str">
            <v>Jefferson County</v>
          </cell>
          <cell r="C590">
            <v>-0.8791544</v>
          </cell>
        </row>
        <row r="591">
          <cell r="A591">
            <v>16053</v>
          </cell>
          <cell r="B591" t="str">
            <v>Jerome County</v>
          </cell>
          <cell r="C591">
            <v>-0.13145760000000001</v>
          </cell>
        </row>
        <row r="592">
          <cell r="A592">
            <v>16055</v>
          </cell>
          <cell r="B592" t="str">
            <v>Kootenai County</v>
          </cell>
          <cell r="C592">
            <v>0.2163206</v>
          </cell>
        </row>
        <row r="593">
          <cell r="A593">
            <v>16057</v>
          </cell>
          <cell r="B593" t="str">
            <v>Latah County</v>
          </cell>
          <cell r="C593">
            <v>0.55800209999999995</v>
          </cell>
        </row>
        <row r="594">
          <cell r="A594">
            <v>16059</v>
          </cell>
          <cell r="B594" t="str">
            <v>Lemhi County</v>
          </cell>
          <cell r="C594">
            <v>-0.58256030000000003</v>
          </cell>
        </row>
        <row r="595">
          <cell r="A595">
            <v>16061</v>
          </cell>
          <cell r="B595" t="str">
            <v>Lewis County</v>
          </cell>
          <cell r="C595">
            <v>0.16558410000000001</v>
          </cell>
        </row>
        <row r="596">
          <cell r="A596">
            <v>16063</v>
          </cell>
          <cell r="B596" t="str">
            <v>Lincoln County</v>
          </cell>
          <cell r="C596">
            <v>0.91920380000000002</v>
          </cell>
        </row>
        <row r="597">
          <cell r="A597">
            <v>16065</v>
          </cell>
          <cell r="B597" t="str">
            <v>Madison County</v>
          </cell>
          <cell r="C597">
            <v>0.8383602</v>
          </cell>
        </row>
        <row r="598">
          <cell r="A598">
            <v>16067</v>
          </cell>
          <cell r="B598" t="str">
            <v>Minidoka County</v>
          </cell>
          <cell r="C598">
            <v>-1.3976839999999999</v>
          </cell>
        </row>
        <row r="599">
          <cell r="A599">
            <v>16069</v>
          </cell>
          <cell r="B599" t="str">
            <v>Nez Perce County</v>
          </cell>
          <cell r="C599">
            <v>-0.58932419999999996</v>
          </cell>
        </row>
        <row r="600">
          <cell r="A600">
            <v>16071</v>
          </cell>
          <cell r="B600" t="str">
            <v>Oneida County</v>
          </cell>
          <cell r="C600">
            <v>-2.0978729999999999</v>
          </cell>
        </row>
        <row r="601">
          <cell r="A601">
            <v>16073</v>
          </cell>
          <cell r="B601" t="str">
            <v>Owyhee County</v>
          </cell>
          <cell r="C601">
            <v>0.95592639999999995</v>
          </cell>
        </row>
        <row r="602">
          <cell r="A602">
            <v>16075</v>
          </cell>
          <cell r="B602" t="str">
            <v>Payette County</v>
          </cell>
          <cell r="C602">
            <v>1.101445</v>
          </cell>
        </row>
        <row r="603">
          <cell r="A603">
            <v>16077</v>
          </cell>
          <cell r="B603" t="str">
            <v>Power County</v>
          </cell>
          <cell r="C603">
            <v>-1.2946569999999999</v>
          </cell>
        </row>
        <row r="604">
          <cell r="A604">
            <v>16079</v>
          </cell>
          <cell r="B604" t="str">
            <v>Shoshone County</v>
          </cell>
          <cell r="C604">
            <v>-1.3116540000000001</v>
          </cell>
        </row>
        <row r="605">
          <cell r="A605">
            <v>16081</v>
          </cell>
          <cell r="B605" t="str">
            <v>Teton County</v>
          </cell>
          <cell r="C605">
            <v>-1.1368469999999999</v>
          </cell>
        </row>
        <row r="606">
          <cell r="A606">
            <v>16083</v>
          </cell>
          <cell r="B606" t="str">
            <v>Twin Falls County</v>
          </cell>
          <cell r="C606">
            <v>-0.64964060000000001</v>
          </cell>
        </row>
        <row r="607">
          <cell r="A607">
            <v>16085</v>
          </cell>
          <cell r="B607" t="str">
            <v>Valley County</v>
          </cell>
          <cell r="C607">
            <v>-2.0613060000000001</v>
          </cell>
        </row>
        <row r="608">
          <cell r="A608">
            <v>16087</v>
          </cell>
          <cell r="B608" t="str">
            <v>Washington County</v>
          </cell>
          <cell r="C608">
            <v>-1.9762109999999999</v>
          </cell>
        </row>
        <row r="609">
          <cell r="A609">
            <v>17000</v>
          </cell>
          <cell r="B609" t="str">
            <v>Illinois</v>
          </cell>
          <cell r="C609">
            <v>0.98878750000000004</v>
          </cell>
        </row>
        <row r="610">
          <cell r="A610">
            <v>17001</v>
          </cell>
          <cell r="B610" t="str">
            <v>Adams County</v>
          </cell>
          <cell r="C610">
            <v>-0.15596460000000001</v>
          </cell>
        </row>
        <row r="611">
          <cell r="A611">
            <v>17003</v>
          </cell>
          <cell r="B611" t="str">
            <v>Alexander County</v>
          </cell>
          <cell r="C611">
            <v>-2.6181619999999999</v>
          </cell>
        </row>
        <row r="612">
          <cell r="A612">
            <v>17005</v>
          </cell>
          <cell r="B612" t="str">
            <v>Bond County</v>
          </cell>
          <cell r="C612">
            <v>-1.9907490000000001</v>
          </cell>
        </row>
        <row r="613">
          <cell r="A613">
            <v>17007</v>
          </cell>
          <cell r="B613" t="str">
            <v>Boone County</v>
          </cell>
          <cell r="C613">
            <v>-1.057326</v>
          </cell>
        </row>
        <row r="614">
          <cell r="A614">
            <v>17009</v>
          </cell>
          <cell r="B614" t="str">
            <v>Brown County</v>
          </cell>
          <cell r="C614">
            <v>-1.2559089999999999</v>
          </cell>
        </row>
        <row r="615">
          <cell r="A615">
            <v>17011</v>
          </cell>
          <cell r="B615" t="str">
            <v>Bureau County</v>
          </cell>
          <cell r="C615">
            <v>-0.99692250000000004</v>
          </cell>
        </row>
        <row r="616">
          <cell r="A616">
            <v>17013</v>
          </cell>
          <cell r="B616" t="str">
            <v>Calhoun County</v>
          </cell>
          <cell r="C616">
            <v>1.0950409999999999</v>
          </cell>
        </row>
        <row r="617">
          <cell r="A617">
            <v>17015</v>
          </cell>
          <cell r="B617" t="str">
            <v>Carroll County</v>
          </cell>
          <cell r="C617">
            <v>0.85556849999999995</v>
          </cell>
        </row>
        <row r="618">
          <cell r="A618">
            <v>17017</v>
          </cell>
          <cell r="B618" t="str">
            <v>Cass County</v>
          </cell>
          <cell r="C618">
            <v>1.151762</v>
          </cell>
        </row>
        <row r="619">
          <cell r="A619">
            <v>17019</v>
          </cell>
          <cell r="B619" t="str">
            <v>Champaign County</v>
          </cell>
          <cell r="C619">
            <v>0.39985999999999999</v>
          </cell>
        </row>
        <row r="620">
          <cell r="A620">
            <v>17021</v>
          </cell>
          <cell r="B620" t="str">
            <v>Christian County</v>
          </cell>
          <cell r="C620">
            <v>-1.06738</v>
          </cell>
        </row>
        <row r="621">
          <cell r="A621">
            <v>17023</v>
          </cell>
          <cell r="B621" t="str">
            <v>Clark County</v>
          </cell>
          <cell r="C621">
            <v>1.579699</v>
          </cell>
        </row>
        <row r="622">
          <cell r="A622">
            <v>17025</v>
          </cell>
          <cell r="B622" t="str">
            <v>Clay County</v>
          </cell>
          <cell r="C622">
            <v>-1.4992799999999999</v>
          </cell>
        </row>
        <row r="623">
          <cell r="A623">
            <v>17027</v>
          </cell>
          <cell r="B623" t="str">
            <v>Clinton County</v>
          </cell>
          <cell r="C623">
            <v>-0.53427119999999995</v>
          </cell>
        </row>
        <row r="624">
          <cell r="A624">
            <v>17029</v>
          </cell>
          <cell r="B624" t="str">
            <v>Coles County</v>
          </cell>
          <cell r="C624">
            <v>-0.70674559999999997</v>
          </cell>
        </row>
        <row r="625">
          <cell r="A625">
            <v>17031</v>
          </cell>
          <cell r="B625" t="str">
            <v>Cook County</v>
          </cell>
          <cell r="C625">
            <v>1.274891</v>
          </cell>
        </row>
        <row r="626">
          <cell r="A626">
            <v>17033</v>
          </cell>
          <cell r="B626" t="str">
            <v>Crawford County</v>
          </cell>
          <cell r="C626">
            <v>0.61052629999999997</v>
          </cell>
        </row>
        <row r="627">
          <cell r="A627">
            <v>17035</v>
          </cell>
          <cell r="B627" t="str">
            <v>Cumberland County</v>
          </cell>
          <cell r="C627">
            <v>-5.8428000000000001E-2</v>
          </cell>
        </row>
        <row r="628">
          <cell r="A628">
            <v>17037</v>
          </cell>
          <cell r="B628" t="str">
            <v>DeKalb County</v>
          </cell>
          <cell r="C628">
            <v>0.35616550000000002</v>
          </cell>
        </row>
        <row r="629">
          <cell r="A629">
            <v>17039</v>
          </cell>
          <cell r="B629" t="str">
            <v>De Witt County</v>
          </cell>
          <cell r="C629">
            <v>-1.199265</v>
          </cell>
        </row>
        <row r="630">
          <cell r="A630">
            <v>17041</v>
          </cell>
          <cell r="B630" t="str">
            <v>Douglas County</v>
          </cell>
          <cell r="C630">
            <v>-0.54599589999999998</v>
          </cell>
        </row>
        <row r="631">
          <cell r="A631">
            <v>17043</v>
          </cell>
          <cell r="B631" t="str">
            <v>DuPage County</v>
          </cell>
          <cell r="C631">
            <v>1.311464</v>
          </cell>
        </row>
        <row r="632">
          <cell r="A632">
            <v>17045</v>
          </cell>
          <cell r="B632" t="str">
            <v>Edgar County</v>
          </cell>
          <cell r="C632">
            <v>0.73804250000000005</v>
          </cell>
        </row>
        <row r="633">
          <cell r="A633">
            <v>17047</v>
          </cell>
          <cell r="B633" t="str">
            <v>Edwards County</v>
          </cell>
          <cell r="C633">
            <v>-2.6386539999999998</v>
          </cell>
        </row>
        <row r="634">
          <cell r="A634">
            <v>17049</v>
          </cell>
          <cell r="B634" t="str">
            <v>Effingham County</v>
          </cell>
          <cell r="C634">
            <v>-0.22167690000000001</v>
          </cell>
        </row>
        <row r="635">
          <cell r="A635">
            <v>17051</v>
          </cell>
          <cell r="B635" t="str">
            <v>Fayette County</v>
          </cell>
          <cell r="C635">
            <v>-1.3866810000000001</v>
          </cell>
        </row>
        <row r="636">
          <cell r="A636">
            <v>17053</v>
          </cell>
          <cell r="B636" t="str">
            <v>Ford County</v>
          </cell>
          <cell r="C636">
            <v>0.97146589999999999</v>
          </cell>
        </row>
        <row r="637">
          <cell r="A637">
            <v>17055</v>
          </cell>
          <cell r="B637" t="str">
            <v>Franklin County</v>
          </cell>
          <cell r="C637">
            <v>-1.3071349999999999</v>
          </cell>
        </row>
        <row r="638">
          <cell r="A638">
            <v>17057</v>
          </cell>
          <cell r="B638" t="str">
            <v>Fulton County</v>
          </cell>
          <cell r="C638">
            <v>-0.34994219999999998</v>
          </cell>
        </row>
        <row r="639">
          <cell r="A639">
            <v>17059</v>
          </cell>
          <cell r="B639" t="str">
            <v>Gallatin County</v>
          </cell>
          <cell r="C639">
            <v>-0.36808689999999999</v>
          </cell>
        </row>
        <row r="640">
          <cell r="A640">
            <v>17061</v>
          </cell>
          <cell r="B640" t="str">
            <v>Greene County</v>
          </cell>
          <cell r="C640">
            <v>1.2045129999999999</v>
          </cell>
        </row>
        <row r="641">
          <cell r="A641">
            <v>17063</v>
          </cell>
          <cell r="B641" t="str">
            <v>Grundy County</v>
          </cell>
          <cell r="C641">
            <v>-0.96402730000000003</v>
          </cell>
        </row>
        <row r="642">
          <cell r="A642">
            <v>17065</v>
          </cell>
          <cell r="B642" t="str">
            <v>Hamilton County</v>
          </cell>
          <cell r="C642">
            <v>0.1667506</v>
          </cell>
        </row>
        <row r="643">
          <cell r="A643">
            <v>17067</v>
          </cell>
          <cell r="B643" t="str">
            <v>Hancock County</v>
          </cell>
          <cell r="C643">
            <v>-1.747204</v>
          </cell>
        </row>
        <row r="644">
          <cell r="A644">
            <v>17069</v>
          </cell>
          <cell r="B644" t="str">
            <v>Hardin County</v>
          </cell>
          <cell r="C644">
            <v>-1.341909</v>
          </cell>
        </row>
        <row r="645">
          <cell r="A645">
            <v>17071</v>
          </cell>
          <cell r="B645" t="str">
            <v>Henderson County</v>
          </cell>
          <cell r="C645">
            <v>1.00973</v>
          </cell>
        </row>
        <row r="646">
          <cell r="A646">
            <v>17073</v>
          </cell>
          <cell r="B646" t="str">
            <v>Henry County</v>
          </cell>
          <cell r="C646">
            <v>0.37841419999999998</v>
          </cell>
        </row>
        <row r="647">
          <cell r="A647">
            <v>17075</v>
          </cell>
          <cell r="B647" t="str">
            <v>Iroquois County</v>
          </cell>
          <cell r="C647">
            <v>-0.54113880000000003</v>
          </cell>
        </row>
        <row r="648">
          <cell r="A648">
            <v>17077</v>
          </cell>
          <cell r="B648" t="str">
            <v>Jackson County</v>
          </cell>
          <cell r="C648">
            <v>0.48688799999999999</v>
          </cell>
        </row>
        <row r="649">
          <cell r="A649">
            <v>17079</v>
          </cell>
          <cell r="B649" t="str">
            <v>Jasper County</v>
          </cell>
          <cell r="C649">
            <v>-2.066967</v>
          </cell>
        </row>
        <row r="650">
          <cell r="A650">
            <v>17081</v>
          </cell>
          <cell r="B650" t="str">
            <v>Jefferson County</v>
          </cell>
          <cell r="C650">
            <v>-8.2323999999999994E-2</v>
          </cell>
        </row>
        <row r="651">
          <cell r="A651">
            <v>17083</v>
          </cell>
          <cell r="B651" t="str">
            <v>Jersey County</v>
          </cell>
          <cell r="C651">
            <v>-1.5869409999999999</v>
          </cell>
        </row>
        <row r="652">
          <cell r="A652">
            <v>17085</v>
          </cell>
          <cell r="B652" t="str">
            <v>Jo Daviess County</v>
          </cell>
          <cell r="C652">
            <v>-1.007965</v>
          </cell>
        </row>
        <row r="653">
          <cell r="A653">
            <v>17087</v>
          </cell>
          <cell r="B653" t="str">
            <v>Johnson County</v>
          </cell>
          <cell r="C653">
            <v>1.9262859999999999</v>
          </cell>
        </row>
        <row r="654">
          <cell r="A654">
            <v>17089</v>
          </cell>
          <cell r="B654" t="str">
            <v>Kane County</v>
          </cell>
          <cell r="C654">
            <v>0.28001229999999999</v>
          </cell>
        </row>
        <row r="655">
          <cell r="A655">
            <v>17091</v>
          </cell>
          <cell r="B655" t="str">
            <v>Kankakee County</v>
          </cell>
          <cell r="C655">
            <v>0.1349765</v>
          </cell>
        </row>
        <row r="656">
          <cell r="A656">
            <v>17093</v>
          </cell>
          <cell r="B656" t="str">
            <v>Kendall County</v>
          </cell>
          <cell r="C656">
            <v>-0.92047449999999997</v>
          </cell>
        </row>
        <row r="657">
          <cell r="A657">
            <v>17095</v>
          </cell>
          <cell r="B657" t="str">
            <v>Knox County</v>
          </cell>
          <cell r="C657">
            <v>-0.17241570000000001</v>
          </cell>
        </row>
        <row r="658">
          <cell r="A658">
            <v>17097</v>
          </cell>
          <cell r="B658" t="str">
            <v>Lake County</v>
          </cell>
          <cell r="C658">
            <v>0.99459299999999995</v>
          </cell>
        </row>
        <row r="659">
          <cell r="A659">
            <v>17099</v>
          </cell>
          <cell r="B659" t="str">
            <v>LaSalle County</v>
          </cell>
          <cell r="C659">
            <v>6.3039899999999996E-2</v>
          </cell>
        </row>
        <row r="660">
          <cell r="A660">
            <v>17101</v>
          </cell>
          <cell r="B660" t="str">
            <v>Lawrence County</v>
          </cell>
          <cell r="C660">
            <v>1.825739</v>
          </cell>
        </row>
        <row r="661">
          <cell r="A661">
            <v>17103</v>
          </cell>
          <cell r="B661" t="str">
            <v>Lee County</v>
          </cell>
          <cell r="C661">
            <v>0.57443979999999994</v>
          </cell>
        </row>
        <row r="662">
          <cell r="A662">
            <v>17105</v>
          </cell>
          <cell r="B662" t="str">
            <v>Livingston County</v>
          </cell>
          <cell r="C662">
            <v>-1.0021230000000001</v>
          </cell>
        </row>
        <row r="663">
          <cell r="A663">
            <v>17107</v>
          </cell>
          <cell r="B663" t="str">
            <v>Logan County</v>
          </cell>
          <cell r="C663">
            <v>0.13695109999999999</v>
          </cell>
        </row>
        <row r="664">
          <cell r="A664">
            <v>17109</v>
          </cell>
          <cell r="B664" t="str">
            <v>McDonough County</v>
          </cell>
          <cell r="C664">
            <v>-0.86999939999999998</v>
          </cell>
        </row>
        <row r="665">
          <cell r="A665">
            <v>17111</v>
          </cell>
          <cell r="B665" t="str">
            <v>McHenry County</v>
          </cell>
          <cell r="C665">
            <v>2.2573800000000002E-2</v>
          </cell>
        </row>
        <row r="666">
          <cell r="A666">
            <v>17113</v>
          </cell>
          <cell r="B666" t="str">
            <v>McLean County</v>
          </cell>
          <cell r="C666">
            <v>0.16861490000000001</v>
          </cell>
        </row>
        <row r="667">
          <cell r="A667">
            <v>17115</v>
          </cell>
          <cell r="B667" t="str">
            <v>Macon County</v>
          </cell>
          <cell r="C667">
            <v>-0.74645930000000005</v>
          </cell>
        </row>
        <row r="668">
          <cell r="A668">
            <v>17117</v>
          </cell>
          <cell r="B668" t="str">
            <v>Macoupin County</v>
          </cell>
          <cell r="C668">
            <v>-1.2133389999999999</v>
          </cell>
        </row>
        <row r="669">
          <cell r="A669">
            <v>17119</v>
          </cell>
          <cell r="B669" t="str">
            <v>Madison County</v>
          </cell>
          <cell r="C669">
            <v>-0.20176949999999999</v>
          </cell>
        </row>
        <row r="670">
          <cell r="A670">
            <v>17121</v>
          </cell>
          <cell r="B670" t="str">
            <v>Marion County</v>
          </cell>
          <cell r="C670">
            <v>1.8509999999999999E-2</v>
          </cell>
        </row>
        <row r="671">
          <cell r="A671">
            <v>17123</v>
          </cell>
          <cell r="B671" t="str">
            <v>Marshall County</v>
          </cell>
          <cell r="C671">
            <v>0.3033382</v>
          </cell>
        </row>
        <row r="672">
          <cell r="A672">
            <v>17125</v>
          </cell>
          <cell r="B672" t="str">
            <v>Mason County</v>
          </cell>
          <cell r="C672">
            <v>-0.95132260000000002</v>
          </cell>
        </row>
        <row r="673">
          <cell r="A673">
            <v>17127</v>
          </cell>
          <cell r="B673" t="str">
            <v>Massac County</v>
          </cell>
          <cell r="C673">
            <v>-1.353207</v>
          </cell>
        </row>
        <row r="674">
          <cell r="A674">
            <v>17129</v>
          </cell>
          <cell r="B674" t="str">
            <v>Menard County</v>
          </cell>
          <cell r="C674">
            <v>-1.445713</v>
          </cell>
        </row>
        <row r="675">
          <cell r="A675">
            <v>17131</v>
          </cell>
          <cell r="B675" t="str">
            <v>Mercer County</v>
          </cell>
          <cell r="C675">
            <v>-1.8926099999999999</v>
          </cell>
        </row>
        <row r="676">
          <cell r="A676">
            <v>17133</v>
          </cell>
          <cell r="B676" t="str">
            <v>Monroe County</v>
          </cell>
          <cell r="C676">
            <v>-0.95297299999999996</v>
          </cell>
        </row>
        <row r="677">
          <cell r="A677">
            <v>17135</v>
          </cell>
          <cell r="B677" t="str">
            <v>Montgomery County</v>
          </cell>
          <cell r="C677">
            <v>-0.87713640000000004</v>
          </cell>
        </row>
        <row r="678">
          <cell r="A678">
            <v>17137</v>
          </cell>
          <cell r="B678" t="str">
            <v>Morgan County</v>
          </cell>
          <cell r="C678">
            <v>7.2529399999999994E-2</v>
          </cell>
        </row>
        <row r="679">
          <cell r="A679">
            <v>17139</v>
          </cell>
          <cell r="B679" t="str">
            <v>Moultrie County</v>
          </cell>
          <cell r="C679">
            <v>-0.79145739999999998</v>
          </cell>
        </row>
        <row r="680">
          <cell r="A680">
            <v>17141</v>
          </cell>
          <cell r="B680" t="str">
            <v>Ogle County</v>
          </cell>
          <cell r="C680">
            <v>-0.3369472</v>
          </cell>
        </row>
        <row r="681">
          <cell r="A681">
            <v>17143</v>
          </cell>
          <cell r="B681" t="str">
            <v>Peoria County</v>
          </cell>
          <cell r="C681">
            <v>1.213428</v>
          </cell>
        </row>
        <row r="682">
          <cell r="A682">
            <v>17145</v>
          </cell>
          <cell r="B682" t="str">
            <v>Perry County</v>
          </cell>
          <cell r="C682">
            <v>-0.71741460000000001</v>
          </cell>
        </row>
        <row r="683">
          <cell r="A683">
            <v>17147</v>
          </cell>
          <cell r="B683" t="str">
            <v>Piatt County</v>
          </cell>
          <cell r="C683">
            <v>-0.24543570000000001</v>
          </cell>
        </row>
        <row r="684">
          <cell r="A684">
            <v>17149</v>
          </cell>
          <cell r="B684" t="str">
            <v>Pike County</v>
          </cell>
          <cell r="C684">
            <v>-1.3430839999999999</v>
          </cell>
        </row>
        <row r="685">
          <cell r="A685">
            <v>17151</v>
          </cell>
          <cell r="B685" t="str">
            <v>Pope County</v>
          </cell>
          <cell r="C685">
            <v>1.1413359999999999</v>
          </cell>
        </row>
        <row r="686">
          <cell r="A686">
            <v>17153</v>
          </cell>
          <cell r="B686" t="str">
            <v>Pulaski County</v>
          </cell>
          <cell r="C686">
            <v>-0.5032759</v>
          </cell>
        </row>
        <row r="687">
          <cell r="A687">
            <v>17155</v>
          </cell>
          <cell r="B687" t="str">
            <v>Putnam County</v>
          </cell>
          <cell r="C687">
            <v>-2.470907</v>
          </cell>
        </row>
        <row r="688">
          <cell r="A688">
            <v>17157</v>
          </cell>
          <cell r="B688" t="str">
            <v>Randolph County</v>
          </cell>
          <cell r="C688">
            <v>-0.29348550000000001</v>
          </cell>
        </row>
        <row r="689">
          <cell r="A689">
            <v>17159</v>
          </cell>
          <cell r="B689" t="str">
            <v>Richland County</v>
          </cell>
          <cell r="C689">
            <v>-1.100862</v>
          </cell>
        </row>
        <row r="690">
          <cell r="A690">
            <v>17161</v>
          </cell>
          <cell r="B690" t="str">
            <v>Rock Island County</v>
          </cell>
          <cell r="C690">
            <v>1.227239</v>
          </cell>
        </row>
        <row r="691">
          <cell r="A691">
            <v>17163</v>
          </cell>
          <cell r="B691" t="str">
            <v>St. Clair County</v>
          </cell>
          <cell r="C691">
            <v>0.64645580000000002</v>
          </cell>
        </row>
        <row r="692">
          <cell r="A692">
            <v>17165</v>
          </cell>
          <cell r="B692" t="str">
            <v>Saline County</v>
          </cell>
          <cell r="C692">
            <v>-1.1034889999999999</v>
          </cell>
        </row>
        <row r="693">
          <cell r="A693">
            <v>17167</v>
          </cell>
          <cell r="B693" t="str">
            <v>Sangamon County</v>
          </cell>
          <cell r="C693">
            <v>1.0858669999999999</v>
          </cell>
        </row>
        <row r="694">
          <cell r="A694">
            <v>17169</v>
          </cell>
          <cell r="B694" t="str">
            <v>Schuyler County</v>
          </cell>
          <cell r="C694">
            <v>-1.9246840000000001</v>
          </cell>
        </row>
        <row r="695">
          <cell r="A695">
            <v>17171</v>
          </cell>
          <cell r="B695" t="str">
            <v>Scott County</v>
          </cell>
          <cell r="C695">
            <v>-1.48366</v>
          </cell>
        </row>
        <row r="696">
          <cell r="A696">
            <v>17173</v>
          </cell>
          <cell r="B696" t="str">
            <v>Shelby County</v>
          </cell>
          <cell r="C696">
            <v>9.6884899999999996E-2</v>
          </cell>
        </row>
        <row r="697">
          <cell r="A697">
            <v>17175</v>
          </cell>
          <cell r="B697" t="str">
            <v>Stark County</v>
          </cell>
          <cell r="C697">
            <v>-2.863686</v>
          </cell>
        </row>
        <row r="698">
          <cell r="A698">
            <v>17177</v>
          </cell>
          <cell r="B698" t="str">
            <v>Stephenson County</v>
          </cell>
          <cell r="C698">
            <v>0.18462190000000001</v>
          </cell>
        </row>
        <row r="699">
          <cell r="A699">
            <v>17179</v>
          </cell>
          <cell r="B699" t="str">
            <v>Tazewell County</v>
          </cell>
          <cell r="C699">
            <v>-0.33125250000000001</v>
          </cell>
        </row>
        <row r="700">
          <cell r="A700">
            <v>17181</v>
          </cell>
          <cell r="B700" t="str">
            <v>Union County</v>
          </cell>
          <cell r="C700">
            <v>-0.2660111</v>
          </cell>
        </row>
        <row r="701">
          <cell r="A701">
            <v>17183</v>
          </cell>
          <cell r="B701" t="str">
            <v>Vermilion County</v>
          </cell>
          <cell r="C701">
            <v>0.64144219999999996</v>
          </cell>
        </row>
        <row r="702">
          <cell r="A702">
            <v>17185</v>
          </cell>
          <cell r="B702" t="str">
            <v>Wabash County</v>
          </cell>
          <cell r="C702">
            <v>2.0464769999999999</v>
          </cell>
        </row>
        <row r="703">
          <cell r="A703">
            <v>17187</v>
          </cell>
          <cell r="B703" t="str">
            <v>Warren County</v>
          </cell>
          <cell r="C703">
            <v>-1.283258</v>
          </cell>
        </row>
        <row r="704">
          <cell r="A704">
            <v>17189</v>
          </cell>
          <cell r="B704" t="str">
            <v>Washington County</v>
          </cell>
          <cell r="C704">
            <v>-0.88957149999999996</v>
          </cell>
        </row>
        <row r="705">
          <cell r="A705">
            <v>17191</v>
          </cell>
          <cell r="B705" t="str">
            <v>Wayne County</v>
          </cell>
          <cell r="C705">
            <v>-1.3817649999999999</v>
          </cell>
        </row>
        <row r="706">
          <cell r="A706">
            <v>17193</v>
          </cell>
          <cell r="B706" t="str">
            <v>White County</v>
          </cell>
          <cell r="C706">
            <v>0.127555</v>
          </cell>
        </row>
        <row r="707">
          <cell r="A707">
            <v>17195</v>
          </cell>
          <cell r="B707" t="str">
            <v>Whiteside County</v>
          </cell>
          <cell r="C707">
            <v>-0.65012210000000004</v>
          </cell>
        </row>
        <row r="708">
          <cell r="A708">
            <v>17197</v>
          </cell>
          <cell r="B708" t="str">
            <v>Will County</v>
          </cell>
          <cell r="C708">
            <v>-0.15466269999999999</v>
          </cell>
        </row>
        <row r="709">
          <cell r="A709">
            <v>17199</v>
          </cell>
          <cell r="B709" t="str">
            <v>Williamson County</v>
          </cell>
          <cell r="C709">
            <v>0.2719895</v>
          </cell>
        </row>
        <row r="710">
          <cell r="A710">
            <v>17201</v>
          </cell>
          <cell r="B710" t="str">
            <v>Winnebago County</v>
          </cell>
          <cell r="C710">
            <v>0.40616029999999997</v>
          </cell>
        </row>
        <row r="711">
          <cell r="A711">
            <v>17203</v>
          </cell>
          <cell r="B711" t="str">
            <v>Woodford County</v>
          </cell>
          <cell r="C711">
            <v>-1.686742</v>
          </cell>
        </row>
        <row r="712">
          <cell r="A712">
            <v>18000</v>
          </cell>
          <cell r="B712" t="str">
            <v>Indiana</v>
          </cell>
          <cell r="C712">
            <v>0.4297744</v>
          </cell>
        </row>
        <row r="713">
          <cell r="A713">
            <v>18001</v>
          </cell>
          <cell r="B713" t="str">
            <v>Adams County</v>
          </cell>
          <cell r="C713">
            <v>-0.92835179999999995</v>
          </cell>
        </row>
        <row r="714">
          <cell r="A714">
            <v>18003</v>
          </cell>
          <cell r="B714" t="str">
            <v>Allen County</v>
          </cell>
          <cell r="C714">
            <v>0.47772019999999998</v>
          </cell>
        </row>
        <row r="715">
          <cell r="A715">
            <v>18005</v>
          </cell>
          <cell r="B715" t="str">
            <v>Bartholomew County</v>
          </cell>
          <cell r="C715">
            <v>0.18181040000000001</v>
          </cell>
        </row>
        <row r="716">
          <cell r="A716">
            <v>18007</v>
          </cell>
          <cell r="B716" t="str">
            <v>Benton County</v>
          </cell>
          <cell r="C716">
            <v>1.6692979999999999</v>
          </cell>
        </row>
        <row r="717">
          <cell r="A717">
            <v>18009</v>
          </cell>
          <cell r="B717" t="str">
            <v>Blackford County</v>
          </cell>
          <cell r="C717">
            <v>-1.6840630000000001</v>
          </cell>
        </row>
        <row r="718">
          <cell r="A718">
            <v>18011</v>
          </cell>
          <cell r="B718" t="str">
            <v>Boone County</v>
          </cell>
          <cell r="C718">
            <v>-0.79756859999999996</v>
          </cell>
        </row>
        <row r="719">
          <cell r="A719">
            <v>18013</v>
          </cell>
          <cell r="B719" t="str">
            <v>Brown County</v>
          </cell>
          <cell r="C719">
            <v>-1.529037</v>
          </cell>
        </row>
        <row r="720">
          <cell r="A720">
            <v>18015</v>
          </cell>
          <cell r="B720" t="str">
            <v>Carroll County</v>
          </cell>
          <cell r="C720">
            <v>-2.2023109999999999</v>
          </cell>
        </row>
        <row r="721">
          <cell r="A721">
            <v>18017</v>
          </cell>
          <cell r="B721" t="str">
            <v>Cass County</v>
          </cell>
          <cell r="C721">
            <v>-1.0680449999999999</v>
          </cell>
        </row>
        <row r="722">
          <cell r="A722">
            <v>18019</v>
          </cell>
          <cell r="B722" t="str">
            <v>Clark County</v>
          </cell>
          <cell r="C722">
            <v>-0.15729000000000001</v>
          </cell>
        </row>
        <row r="723">
          <cell r="A723">
            <v>18021</v>
          </cell>
          <cell r="B723" t="str">
            <v>Clay County</v>
          </cell>
          <cell r="C723">
            <v>-1.6928449999999999</v>
          </cell>
        </row>
        <row r="724">
          <cell r="A724">
            <v>18023</v>
          </cell>
          <cell r="B724" t="str">
            <v>Clinton County</v>
          </cell>
          <cell r="C724">
            <v>-1.3323510000000001</v>
          </cell>
        </row>
        <row r="725">
          <cell r="A725">
            <v>18025</v>
          </cell>
          <cell r="B725" t="str">
            <v>Crawford County</v>
          </cell>
          <cell r="C725">
            <v>-1.1592249999999999</v>
          </cell>
        </row>
        <row r="726">
          <cell r="A726">
            <v>18027</v>
          </cell>
          <cell r="B726" t="str">
            <v>Daviess County</v>
          </cell>
          <cell r="C726">
            <v>-1.028953</v>
          </cell>
        </row>
        <row r="727">
          <cell r="A727">
            <v>18029</v>
          </cell>
          <cell r="B727" t="str">
            <v>Dearborn County</v>
          </cell>
          <cell r="C727">
            <v>5.49674E-2</v>
          </cell>
        </row>
        <row r="728">
          <cell r="A728">
            <v>18031</v>
          </cell>
          <cell r="B728" t="str">
            <v>Decatur County</v>
          </cell>
          <cell r="C728">
            <v>-1.0653760000000001</v>
          </cell>
        </row>
        <row r="729">
          <cell r="A729">
            <v>18033</v>
          </cell>
          <cell r="B729" t="str">
            <v>DeKalb County</v>
          </cell>
          <cell r="C729">
            <v>-1.012462</v>
          </cell>
        </row>
        <row r="730">
          <cell r="A730">
            <v>18035</v>
          </cell>
          <cell r="B730" t="str">
            <v>Delaware County</v>
          </cell>
          <cell r="C730">
            <v>0.2849005</v>
          </cell>
        </row>
        <row r="731">
          <cell r="A731">
            <v>18037</v>
          </cell>
          <cell r="B731" t="str">
            <v>Dubois County</v>
          </cell>
          <cell r="C731">
            <v>0.4456388</v>
          </cell>
        </row>
        <row r="732">
          <cell r="A732">
            <v>18039</v>
          </cell>
          <cell r="B732" t="str">
            <v>Elkhart County</v>
          </cell>
          <cell r="C732">
            <v>-0.79394399999999998</v>
          </cell>
        </row>
        <row r="733">
          <cell r="A733">
            <v>18041</v>
          </cell>
          <cell r="B733" t="str">
            <v>Fayette County</v>
          </cell>
          <cell r="C733">
            <v>0.54100349999999997</v>
          </cell>
        </row>
        <row r="734">
          <cell r="A734">
            <v>18043</v>
          </cell>
          <cell r="B734" t="str">
            <v>Floyd County</v>
          </cell>
          <cell r="C734">
            <v>-0.1902771</v>
          </cell>
        </row>
        <row r="735">
          <cell r="A735">
            <v>18045</v>
          </cell>
          <cell r="B735" t="str">
            <v>Fountain County</v>
          </cell>
          <cell r="C735">
            <v>0.50721870000000002</v>
          </cell>
        </row>
        <row r="736">
          <cell r="A736">
            <v>18047</v>
          </cell>
          <cell r="B736" t="str">
            <v>Franklin County</v>
          </cell>
          <cell r="C736">
            <v>0.46944540000000001</v>
          </cell>
        </row>
        <row r="737">
          <cell r="A737">
            <v>18049</v>
          </cell>
          <cell r="B737" t="str">
            <v>Fulton County</v>
          </cell>
          <cell r="C737">
            <v>-1.2907679999999999</v>
          </cell>
        </row>
        <row r="738">
          <cell r="A738">
            <v>18051</v>
          </cell>
          <cell r="B738" t="str">
            <v>Gibson County</v>
          </cell>
          <cell r="C738">
            <v>-0.89982130000000005</v>
          </cell>
        </row>
        <row r="739">
          <cell r="A739">
            <v>18053</v>
          </cell>
          <cell r="B739" t="str">
            <v>Grant County</v>
          </cell>
          <cell r="C739">
            <v>-0.74859900000000001</v>
          </cell>
        </row>
        <row r="740">
          <cell r="A740">
            <v>18055</v>
          </cell>
          <cell r="B740" t="str">
            <v>Greene County</v>
          </cell>
          <cell r="C740">
            <v>-0.65056219999999998</v>
          </cell>
        </row>
        <row r="741">
          <cell r="A741">
            <v>18057</v>
          </cell>
          <cell r="B741" t="str">
            <v>Hamilton County</v>
          </cell>
          <cell r="C741">
            <v>1.0698240000000001</v>
          </cell>
        </row>
        <row r="742">
          <cell r="A742">
            <v>18059</v>
          </cell>
          <cell r="B742" t="str">
            <v>Hancock County</v>
          </cell>
          <cell r="C742">
            <v>-1.4362079999999999</v>
          </cell>
        </row>
        <row r="743">
          <cell r="A743">
            <v>18061</v>
          </cell>
          <cell r="B743" t="str">
            <v>Harrison County</v>
          </cell>
          <cell r="C743">
            <v>-1.1026849999999999</v>
          </cell>
        </row>
        <row r="744">
          <cell r="A744">
            <v>18063</v>
          </cell>
          <cell r="B744" t="str">
            <v>Hendricks County</v>
          </cell>
          <cell r="C744">
            <v>-1.533061</v>
          </cell>
        </row>
        <row r="745">
          <cell r="A745">
            <v>18065</v>
          </cell>
          <cell r="B745" t="str">
            <v>Henry County</v>
          </cell>
          <cell r="C745">
            <v>-0.61942739999999996</v>
          </cell>
        </row>
        <row r="746">
          <cell r="A746">
            <v>18067</v>
          </cell>
          <cell r="B746" t="str">
            <v>Howard County</v>
          </cell>
          <cell r="C746">
            <v>-0.41800140000000002</v>
          </cell>
        </row>
        <row r="747">
          <cell r="A747">
            <v>18069</v>
          </cell>
          <cell r="B747" t="str">
            <v>Huntington County</v>
          </cell>
          <cell r="C747">
            <v>-1.3254790000000001</v>
          </cell>
        </row>
        <row r="748">
          <cell r="A748">
            <v>18071</v>
          </cell>
          <cell r="B748" t="str">
            <v>Jackson County</v>
          </cell>
          <cell r="C748">
            <v>-0.8915862</v>
          </cell>
        </row>
        <row r="749">
          <cell r="A749">
            <v>18073</v>
          </cell>
          <cell r="B749" t="str">
            <v>Jasper County</v>
          </cell>
          <cell r="C749">
            <v>-1.069394</v>
          </cell>
        </row>
        <row r="750">
          <cell r="A750">
            <v>18075</v>
          </cell>
          <cell r="B750" t="str">
            <v>Jay County</v>
          </cell>
          <cell r="C750">
            <v>1.6822520000000001</v>
          </cell>
        </row>
        <row r="751">
          <cell r="A751">
            <v>18077</v>
          </cell>
          <cell r="B751" t="str">
            <v>Jefferson County</v>
          </cell>
          <cell r="C751">
            <v>-1.182455</v>
          </cell>
        </row>
        <row r="752">
          <cell r="A752">
            <v>18079</v>
          </cell>
          <cell r="B752" t="str">
            <v>Jennings County</v>
          </cell>
          <cell r="C752">
            <v>8.8799299999999998E-2</v>
          </cell>
        </row>
        <row r="753">
          <cell r="A753">
            <v>18081</v>
          </cell>
          <cell r="B753" t="str">
            <v>Johnson County</v>
          </cell>
          <cell r="C753">
            <v>-0.19519880000000001</v>
          </cell>
        </row>
        <row r="754">
          <cell r="A754">
            <v>18083</v>
          </cell>
          <cell r="B754" t="str">
            <v>Knox County</v>
          </cell>
          <cell r="C754">
            <v>4.9830800000000001E-2</v>
          </cell>
        </row>
        <row r="755">
          <cell r="A755">
            <v>18085</v>
          </cell>
          <cell r="B755" t="str">
            <v>Kosciusko County</v>
          </cell>
          <cell r="C755">
            <v>-0.32943549999999999</v>
          </cell>
        </row>
        <row r="756">
          <cell r="A756">
            <v>18087</v>
          </cell>
          <cell r="B756" t="str">
            <v>LaGrange County</v>
          </cell>
          <cell r="C756">
            <v>-1.189047</v>
          </cell>
        </row>
        <row r="757">
          <cell r="A757">
            <v>18089</v>
          </cell>
          <cell r="B757" t="str">
            <v>Lake County</v>
          </cell>
          <cell r="C757">
            <v>3.7979699999999998E-2</v>
          </cell>
        </row>
        <row r="758">
          <cell r="A758">
            <v>18091</v>
          </cell>
          <cell r="B758" t="str">
            <v>LaPorte County</v>
          </cell>
          <cell r="C758">
            <v>-0.11021889999999999</v>
          </cell>
        </row>
        <row r="759">
          <cell r="A759">
            <v>18093</v>
          </cell>
          <cell r="B759" t="str">
            <v>Lawrence County</v>
          </cell>
          <cell r="C759">
            <v>0.73541939999999995</v>
          </cell>
        </row>
        <row r="760">
          <cell r="A760">
            <v>18095</v>
          </cell>
          <cell r="B760" t="str">
            <v>Madison County</v>
          </cell>
          <cell r="C760">
            <v>-0.32280540000000002</v>
          </cell>
        </row>
        <row r="761">
          <cell r="A761">
            <v>18097</v>
          </cell>
          <cell r="B761" t="str">
            <v>Marion County</v>
          </cell>
          <cell r="C761">
            <v>0.97474269999999996</v>
          </cell>
        </row>
        <row r="762">
          <cell r="A762">
            <v>18099</v>
          </cell>
          <cell r="B762" t="str">
            <v>Marshall County</v>
          </cell>
          <cell r="C762">
            <v>-0.1161874</v>
          </cell>
        </row>
        <row r="763">
          <cell r="A763">
            <v>18101</v>
          </cell>
          <cell r="B763" t="str">
            <v>Martin County</v>
          </cell>
          <cell r="C763">
            <v>2.7469220000000001</v>
          </cell>
        </row>
        <row r="764">
          <cell r="A764">
            <v>18103</v>
          </cell>
          <cell r="B764" t="str">
            <v>Miami County</v>
          </cell>
          <cell r="C764">
            <v>0.15547520000000001</v>
          </cell>
        </row>
        <row r="765">
          <cell r="A765">
            <v>18105</v>
          </cell>
          <cell r="B765" t="str">
            <v>Monroe County</v>
          </cell>
          <cell r="C765">
            <v>0.30997340000000001</v>
          </cell>
        </row>
        <row r="766">
          <cell r="A766">
            <v>18107</v>
          </cell>
          <cell r="B766" t="str">
            <v>Montgomery County</v>
          </cell>
          <cell r="C766">
            <v>-0.78020069999999997</v>
          </cell>
        </row>
        <row r="767">
          <cell r="A767">
            <v>18109</v>
          </cell>
          <cell r="B767" t="str">
            <v>Morgan County</v>
          </cell>
          <cell r="C767">
            <v>-0.26392189999999999</v>
          </cell>
        </row>
        <row r="768">
          <cell r="A768">
            <v>18111</v>
          </cell>
          <cell r="B768" t="str">
            <v>Newton County</v>
          </cell>
          <cell r="C768">
            <v>-1.6507829999999999</v>
          </cell>
        </row>
        <row r="769">
          <cell r="A769">
            <v>18113</v>
          </cell>
          <cell r="B769" t="str">
            <v>Noble County</v>
          </cell>
          <cell r="C769">
            <v>-0.58300189999999996</v>
          </cell>
        </row>
        <row r="770">
          <cell r="A770">
            <v>18115</v>
          </cell>
          <cell r="B770" t="str">
            <v>Ohio County</v>
          </cell>
          <cell r="C770">
            <v>-3.6170439999999999</v>
          </cell>
        </row>
        <row r="771">
          <cell r="A771">
            <v>18117</v>
          </cell>
          <cell r="B771" t="str">
            <v>Orange County</v>
          </cell>
          <cell r="C771">
            <v>0.1927767</v>
          </cell>
        </row>
        <row r="772">
          <cell r="A772">
            <v>18119</v>
          </cell>
          <cell r="B772" t="str">
            <v>Owen County</v>
          </cell>
          <cell r="C772">
            <v>1.906576</v>
          </cell>
        </row>
        <row r="773">
          <cell r="A773">
            <v>18121</v>
          </cell>
          <cell r="B773" t="str">
            <v>Parke County</v>
          </cell>
          <cell r="C773">
            <v>0.86531709999999995</v>
          </cell>
        </row>
        <row r="774">
          <cell r="A774">
            <v>18123</v>
          </cell>
          <cell r="B774" t="str">
            <v>Perry County</v>
          </cell>
          <cell r="C774">
            <v>-1.4749380000000001</v>
          </cell>
        </row>
        <row r="775">
          <cell r="A775">
            <v>18125</v>
          </cell>
          <cell r="B775" t="str">
            <v>Pike County</v>
          </cell>
          <cell r="C775">
            <v>-2.4933770000000002</v>
          </cell>
        </row>
        <row r="776">
          <cell r="A776">
            <v>18127</v>
          </cell>
          <cell r="B776" t="str">
            <v>Porter County</v>
          </cell>
          <cell r="C776">
            <v>-0.24101790000000001</v>
          </cell>
        </row>
        <row r="777">
          <cell r="A777">
            <v>18129</v>
          </cell>
          <cell r="B777" t="str">
            <v>Posey County</v>
          </cell>
          <cell r="C777">
            <v>-1.4317580000000001</v>
          </cell>
        </row>
        <row r="778">
          <cell r="A778">
            <v>18131</v>
          </cell>
          <cell r="B778" t="str">
            <v>Pulaski County</v>
          </cell>
          <cell r="C778">
            <v>-0.82487520000000003</v>
          </cell>
        </row>
        <row r="779">
          <cell r="A779">
            <v>18133</v>
          </cell>
          <cell r="B779" t="str">
            <v>Putnam County</v>
          </cell>
          <cell r="C779">
            <v>-1.4360820000000001</v>
          </cell>
        </row>
        <row r="780">
          <cell r="A780">
            <v>18135</v>
          </cell>
          <cell r="B780" t="str">
            <v>Randolph County</v>
          </cell>
          <cell r="C780">
            <v>0.40310240000000003</v>
          </cell>
        </row>
        <row r="781">
          <cell r="A781">
            <v>18137</v>
          </cell>
          <cell r="B781" t="str">
            <v>Ripley County</v>
          </cell>
          <cell r="C781">
            <v>0.82238540000000004</v>
          </cell>
        </row>
        <row r="782">
          <cell r="A782">
            <v>18139</v>
          </cell>
          <cell r="B782" t="str">
            <v>Rush County</v>
          </cell>
          <cell r="C782">
            <v>-0.95707019999999998</v>
          </cell>
        </row>
        <row r="783">
          <cell r="A783">
            <v>18141</v>
          </cell>
          <cell r="B783" t="str">
            <v>St. Joseph County</v>
          </cell>
          <cell r="C783">
            <v>0.72898779999999996</v>
          </cell>
        </row>
        <row r="784">
          <cell r="A784">
            <v>18143</v>
          </cell>
          <cell r="B784" t="str">
            <v>Scott County</v>
          </cell>
          <cell r="C784">
            <v>0.53860319999999995</v>
          </cell>
        </row>
        <row r="785">
          <cell r="A785">
            <v>18145</v>
          </cell>
          <cell r="B785" t="str">
            <v>Shelby County</v>
          </cell>
          <cell r="C785">
            <v>-1.3648769999999999</v>
          </cell>
        </row>
        <row r="786">
          <cell r="A786">
            <v>18147</v>
          </cell>
          <cell r="B786" t="str">
            <v>Spencer County</v>
          </cell>
          <cell r="C786">
            <v>0.1625316</v>
          </cell>
        </row>
        <row r="787">
          <cell r="A787">
            <v>18149</v>
          </cell>
          <cell r="B787" t="str">
            <v>Starke County</v>
          </cell>
          <cell r="C787">
            <v>1.3422989999999999</v>
          </cell>
        </row>
        <row r="788">
          <cell r="A788">
            <v>18151</v>
          </cell>
          <cell r="B788" t="str">
            <v>Steuben County</v>
          </cell>
          <cell r="C788">
            <v>-0.45862999999999998</v>
          </cell>
        </row>
        <row r="789">
          <cell r="A789">
            <v>18153</v>
          </cell>
          <cell r="B789" t="str">
            <v>Sullivan County</v>
          </cell>
          <cell r="C789">
            <v>-0.77093500000000004</v>
          </cell>
        </row>
        <row r="790">
          <cell r="A790">
            <v>18155</v>
          </cell>
          <cell r="B790" t="str">
            <v>Switzerland County</v>
          </cell>
          <cell r="C790">
            <v>-1.177851</v>
          </cell>
        </row>
        <row r="791">
          <cell r="A791">
            <v>18157</v>
          </cell>
          <cell r="B791" t="str">
            <v>Tippecanoe County</v>
          </cell>
          <cell r="C791">
            <v>-0.34675129999999998</v>
          </cell>
        </row>
        <row r="792">
          <cell r="A792">
            <v>18159</v>
          </cell>
          <cell r="B792" t="str">
            <v>Tipton County</v>
          </cell>
          <cell r="C792">
            <v>0.16476299999999999</v>
          </cell>
        </row>
        <row r="793">
          <cell r="A793">
            <v>18161</v>
          </cell>
          <cell r="B793" t="str">
            <v>Union County</v>
          </cell>
          <cell r="C793">
            <v>-2.0112459999999999</v>
          </cell>
        </row>
        <row r="794">
          <cell r="A794">
            <v>18163</v>
          </cell>
          <cell r="B794" t="str">
            <v>Vanderburgh County</v>
          </cell>
          <cell r="C794">
            <v>0.49272759999999999</v>
          </cell>
        </row>
        <row r="795">
          <cell r="A795">
            <v>18165</v>
          </cell>
          <cell r="B795" t="str">
            <v>Vermillion County</v>
          </cell>
          <cell r="C795">
            <v>-1.85402</v>
          </cell>
        </row>
        <row r="796">
          <cell r="A796">
            <v>18167</v>
          </cell>
          <cell r="B796" t="str">
            <v>Vigo County</v>
          </cell>
          <cell r="C796">
            <v>-0.1049085</v>
          </cell>
        </row>
        <row r="797">
          <cell r="A797">
            <v>18169</v>
          </cell>
          <cell r="B797" t="str">
            <v>Wabash County</v>
          </cell>
          <cell r="C797">
            <v>0.34556759999999997</v>
          </cell>
        </row>
        <row r="798">
          <cell r="A798">
            <v>18171</v>
          </cell>
          <cell r="B798" t="str">
            <v>Warren County</v>
          </cell>
          <cell r="C798">
            <v>2.1712340000000001</v>
          </cell>
        </row>
        <row r="799">
          <cell r="A799">
            <v>18173</v>
          </cell>
          <cell r="B799" t="str">
            <v>Warrick County</v>
          </cell>
          <cell r="C799">
            <v>-0.14829780000000001</v>
          </cell>
        </row>
        <row r="800">
          <cell r="A800">
            <v>18175</v>
          </cell>
          <cell r="B800" t="str">
            <v>Washington County</v>
          </cell>
          <cell r="C800">
            <v>0.41340589999999999</v>
          </cell>
        </row>
        <row r="801">
          <cell r="A801">
            <v>18177</v>
          </cell>
          <cell r="B801" t="str">
            <v>Wayne County</v>
          </cell>
          <cell r="C801">
            <v>-0.24050160000000001</v>
          </cell>
        </row>
        <row r="802">
          <cell r="A802">
            <v>18179</v>
          </cell>
          <cell r="B802" t="str">
            <v>Wells County</v>
          </cell>
          <cell r="C802">
            <v>-2.19396E-2</v>
          </cell>
        </row>
        <row r="803">
          <cell r="A803">
            <v>18181</v>
          </cell>
          <cell r="B803" t="str">
            <v>White County</v>
          </cell>
          <cell r="C803">
            <v>0.25702160000000002</v>
          </cell>
        </row>
        <row r="804">
          <cell r="A804">
            <v>18183</v>
          </cell>
          <cell r="B804" t="str">
            <v>Whitley County</v>
          </cell>
          <cell r="C804">
            <v>-0.1158681</v>
          </cell>
        </row>
        <row r="805">
          <cell r="A805">
            <v>19000</v>
          </cell>
          <cell r="B805" t="str">
            <v>Iowa</v>
          </cell>
          <cell r="C805">
            <v>0.6960925</v>
          </cell>
        </row>
        <row r="806">
          <cell r="A806">
            <v>19001</v>
          </cell>
          <cell r="B806" t="str">
            <v>Adair County</v>
          </cell>
          <cell r="C806">
            <v>-1.1332899999999999</v>
          </cell>
        </row>
        <row r="807">
          <cell r="A807">
            <v>19003</v>
          </cell>
          <cell r="B807" t="str">
            <v>Adams County</v>
          </cell>
          <cell r="C807">
            <v>-2.082265</v>
          </cell>
        </row>
        <row r="808">
          <cell r="A808">
            <v>19005</v>
          </cell>
          <cell r="B808" t="str">
            <v>Allamakee County</v>
          </cell>
          <cell r="C808">
            <v>-0.40259430000000002</v>
          </cell>
        </row>
        <row r="809">
          <cell r="A809">
            <v>19007</v>
          </cell>
          <cell r="B809" t="str">
            <v>Appanoose County</v>
          </cell>
          <cell r="C809">
            <v>-0.36009999999999998</v>
          </cell>
        </row>
        <row r="810">
          <cell r="A810">
            <v>19009</v>
          </cell>
          <cell r="B810" t="str">
            <v>Audubon County</v>
          </cell>
          <cell r="C810">
            <v>0.21148120000000001</v>
          </cell>
        </row>
        <row r="811">
          <cell r="A811">
            <v>19011</v>
          </cell>
          <cell r="B811" t="str">
            <v>Benton County</v>
          </cell>
          <cell r="C811">
            <v>-0.58078600000000002</v>
          </cell>
        </row>
        <row r="812">
          <cell r="A812">
            <v>19013</v>
          </cell>
          <cell r="B812" t="str">
            <v>Black Hawk County</v>
          </cell>
          <cell r="C812">
            <v>0.262382</v>
          </cell>
        </row>
        <row r="813">
          <cell r="A813">
            <v>19015</v>
          </cell>
          <cell r="B813" t="str">
            <v>Boone County</v>
          </cell>
          <cell r="C813">
            <v>0.40703450000000002</v>
          </cell>
        </row>
        <row r="814">
          <cell r="A814">
            <v>19017</v>
          </cell>
          <cell r="B814" t="str">
            <v>Bremer County</v>
          </cell>
          <cell r="C814">
            <v>-0.5351281</v>
          </cell>
        </row>
        <row r="815">
          <cell r="A815">
            <v>19019</v>
          </cell>
          <cell r="B815" t="str">
            <v>Buchanan County</v>
          </cell>
          <cell r="C815">
            <v>0.28773310000000002</v>
          </cell>
        </row>
        <row r="816">
          <cell r="A816">
            <v>19021</v>
          </cell>
          <cell r="B816" t="str">
            <v>Buena Vista County</v>
          </cell>
          <cell r="C816">
            <v>0.4855719</v>
          </cell>
        </row>
        <row r="817">
          <cell r="A817">
            <v>19023</v>
          </cell>
          <cell r="B817" t="str">
            <v>Butler County</v>
          </cell>
          <cell r="C817">
            <v>-0.29606650000000001</v>
          </cell>
        </row>
        <row r="818">
          <cell r="A818">
            <v>19025</v>
          </cell>
          <cell r="B818" t="str">
            <v>Calhoun County</v>
          </cell>
          <cell r="C818">
            <v>0.72489199999999998</v>
          </cell>
        </row>
        <row r="819">
          <cell r="A819">
            <v>19027</v>
          </cell>
          <cell r="B819" t="str">
            <v>Carroll County</v>
          </cell>
          <cell r="C819">
            <v>0.1220531</v>
          </cell>
        </row>
        <row r="820">
          <cell r="A820">
            <v>19029</v>
          </cell>
          <cell r="B820" t="str">
            <v>Cass County</v>
          </cell>
          <cell r="C820">
            <v>0.71091530000000003</v>
          </cell>
        </row>
        <row r="821">
          <cell r="A821">
            <v>19031</v>
          </cell>
          <cell r="B821" t="str">
            <v>Cedar County</v>
          </cell>
          <cell r="C821">
            <v>-0.50970020000000005</v>
          </cell>
        </row>
        <row r="822">
          <cell r="A822">
            <v>19033</v>
          </cell>
          <cell r="B822" t="str">
            <v>Cerro Gordo County</v>
          </cell>
          <cell r="C822">
            <v>0.43938739999999998</v>
          </cell>
        </row>
        <row r="823">
          <cell r="A823">
            <v>19035</v>
          </cell>
          <cell r="B823" t="str">
            <v>Cherokee County</v>
          </cell>
          <cell r="C823">
            <v>0.48497760000000001</v>
          </cell>
        </row>
        <row r="824">
          <cell r="A824">
            <v>19037</v>
          </cell>
          <cell r="B824" t="str">
            <v>Chickasaw County</v>
          </cell>
          <cell r="C824">
            <v>-0.66682609999999998</v>
          </cell>
        </row>
        <row r="825">
          <cell r="A825">
            <v>19039</v>
          </cell>
          <cell r="B825" t="str">
            <v>Clarke County</v>
          </cell>
          <cell r="C825">
            <v>0.1025678</v>
          </cell>
        </row>
        <row r="826">
          <cell r="A826">
            <v>19041</v>
          </cell>
          <cell r="B826" t="str">
            <v>Clay County</v>
          </cell>
          <cell r="C826">
            <v>0.4064856</v>
          </cell>
        </row>
        <row r="827">
          <cell r="A827">
            <v>19043</v>
          </cell>
          <cell r="B827" t="str">
            <v>Clayton County</v>
          </cell>
          <cell r="C827">
            <v>-0.19969390000000001</v>
          </cell>
        </row>
        <row r="828">
          <cell r="A828">
            <v>19045</v>
          </cell>
          <cell r="B828" t="str">
            <v>Clinton County</v>
          </cell>
          <cell r="C828">
            <v>-0.30818279999999998</v>
          </cell>
        </row>
        <row r="829">
          <cell r="A829">
            <v>19047</v>
          </cell>
          <cell r="B829" t="str">
            <v>Crawford County</v>
          </cell>
          <cell r="C829">
            <v>0.2463861</v>
          </cell>
        </row>
        <row r="830">
          <cell r="A830">
            <v>19049</v>
          </cell>
          <cell r="B830" t="str">
            <v>Dallas County</v>
          </cell>
          <cell r="C830">
            <v>1.4668639999999999</v>
          </cell>
        </row>
        <row r="831">
          <cell r="A831">
            <v>19051</v>
          </cell>
          <cell r="B831" t="str">
            <v>Davis County</v>
          </cell>
          <cell r="C831">
            <v>-1.2448680000000001</v>
          </cell>
        </row>
        <row r="832">
          <cell r="A832">
            <v>19053</v>
          </cell>
          <cell r="B832" t="str">
            <v>Decatur County</v>
          </cell>
          <cell r="C832">
            <v>-2.2573660000000002</v>
          </cell>
        </row>
        <row r="833">
          <cell r="A833">
            <v>19055</v>
          </cell>
          <cell r="B833" t="str">
            <v>Delaware County</v>
          </cell>
          <cell r="C833">
            <v>-0.98163210000000001</v>
          </cell>
        </row>
        <row r="834">
          <cell r="A834">
            <v>19057</v>
          </cell>
          <cell r="B834" t="str">
            <v>Des Moines County</v>
          </cell>
          <cell r="C834">
            <v>0.17444109999999999</v>
          </cell>
        </row>
        <row r="835">
          <cell r="A835">
            <v>19059</v>
          </cell>
          <cell r="B835" t="str">
            <v>Dickinson County</v>
          </cell>
          <cell r="C835">
            <v>-3.8427999999999999E-3</v>
          </cell>
        </row>
        <row r="836">
          <cell r="A836">
            <v>19061</v>
          </cell>
          <cell r="B836" t="str">
            <v>Dubuque County</v>
          </cell>
          <cell r="C836">
            <v>0.72718419999999995</v>
          </cell>
        </row>
        <row r="837">
          <cell r="A837">
            <v>19063</v>
          </cell>
          <cell r="B837" t="str">
            <v>Emmet County</v>
          </cell>
          <cell r="C837">
            <v>-1.2002060000000001</v>
          </cell>
        </row>
        <row r="838">
          <cell r="A838">
            <v>19065</v>
          </cell>
          <cell r="B838" t="str">
            <v>Fayette County</v>
          </cell>
          <cell r="C838">
            <v>-0.40130660000000001</v>
          </cell>
        </row>
        <row r="839">
          <cell r="A839">
            <v>19067</v>
          </cell>
          <cell r="B839" t="str">
            <v>Floyd County</v>
          </cell>
          <cell r="C839">
            <v>0.89292000000000005</v>
          </cell>
        </row>
        <row r="840">
          <cell r="A840">
            <v>19069</v>
          </cell>
          <cell r="B840" t="str">
            <v>Franklin County</v>
          </cell>
          <cell r="C840">
            <v>0.65810809999999997</v>
          </cell>
        </row>
        <row r="841">
          <cell r="A841">
            <v>19071</v>
          </cell>
          <cell r="B841" t="str">
            <v>Fremont County</v>
          </cell>
          <cell r="C841">
            <v>1.683751</v>
          </cell>
        </row>
        <row r="842">
          <cell r="A842">
            <v>19073</v>
          </cell>
          <cell r="B842" t="str">
            <v>Greene County</v>
          </cell>
          <cell r="C842">
            <v>0.76682220000000001</v>
          </cell>
        </row>
        <row r="843">
          <cell r="A843">
            <v>19075</v>
          </cell>
          <cell r="B843" t="str">
            <v>Grundy County</v>
          </cell>
          <cell r="C843">
            <v>-1.199471</v>
          </cell>
        </row>
        <row r="844">
          <cell r="A844">
            <v>19077</v>
          </cell>
          <cell r="B844" t="str">
            <v>Guthrie County</v>
          </cell>
          <cell r="C844">
            <v>1.34277</v>
          </cell>
        </row>
        <row r="845">
          <cell r="A845">
            <v>19079</v>
          </cell>
          <cell r="B845" t="str">
            <v>Hamilton County</v>
          </cell>
          <cell r="C845">
            <v>-0.237868</v>
          </cell>
        </row>
        <row r="846">
          <cell r="A846">
            <v>19081</v>
          </cell>
          <cell r="B846" t="str">
            <v>Hancock County</v>
          </cell>
          <cell r="C846">
            <v>0.26199139999999999</v>
          </cell>
        </row>
        <row r="847">
          <cell r="A847">
            <v>19083</v>
          </cell>
          <cell r="B847" t="str">
            <v>Hardin County</v>
          </cell>
          <cell r="C847">
            <v>0.52106600000000003</v>
          </cell>
        </row>
        <row r="848">
          <cell r="A848">
            <v>19085</v>
          </cell>
          <cell r="B848" t="str">
            <v>Harrison County</v>
          </cell>
          <cell r="C848">
            <v>-0.57599080000000002</v>
          </cell>
        </row>
        <row r="849">
          <cell r="A849">
            <v>19087</v>
          </cell>
          <cell r="B849" t="str">
            <v>Henry County</v>
          </cell>
          <cell r="C849">
            <v>0.3173666</v>
          </cell>
        </row>
        <row r="850">
          <cell r="A850">
            <v>19089</v>
          </cell>
          <cell r="B850" t="str">
            <v>Howard County</v>
          </cell>
          <cell r="C850">
            <v>0.7536794</v>
          </cell>
        </row>
        <row r="851">
          <cell r="A851">
            <v>19091</v>
          </cell>
          <cell r="B851" t="str">
            <v>Humboldt County</v>
          </cell>
          <cell r="C851">
            <v>0.37828699999999998</v>
          </cell>
        </row>
        <row r="852">
          <cell r="A852">
            <v>19093</v>
          </cell>
          <cell r="B852" t="str">
            <v>Ida County</v>
          </cell>
          <cell r="C852">
            <v>1.263131</v>
          </cell>
        </row>
        <row r="853">
          <cell r="A853">
            <v>19095</v>
          </cell>
          <cell r="B853" t="str">
            <v>Iowa County</v>
          </cell>
          <cell r="C853">
            <v>0.20533360000000001</v>
          </cell>
        </row>
        <row r="854">
          <cell r="A854">
            <v>19097</v>
          </cell>
          <cell r="B854" t="str">
            <v>Jackson County</v>
          </cell>
          <cell r="C854">
            <v>0.32492130000000002</v>
          </cell>
        </row>
        <row r="855">
          <cell r="A855">
            <v>19099</v>
          </cell>
          <cell r="B855" t="str">
            <v>Jasper County</v>
          </cell>
          <cell r="C855">
            <v>0.40692450000000002</v>
          </cell>
        </row>
        <row r="856">
          <cell r="A856">
            <v>19101</v>
          </cell>
          <cell r="B856" t="str">
            <v>Jefferson County</v>
          </cell>
          <cell r="C856">
            <v>0.67598499999999995</v>
          </cell>
        </row>
        <row r="857">
          <cell r="A857">
            <v>19103</v>
          </cell>
          <cell r="B857" t="str">
            <v>Johnson County</v>
          </cell>
          <cell r="C857">
            <v>0.92978839999999996</v>
          </cell>
        </row>
        <row r="858">
          <cell r="A858">
            <v>19105</v>
          </cell>
          <cell r="B858" t="str">
            <v>Jones County</v>
          </cell>
          <cell r="C858">
            <v>-0.90970770000000001</v>
          </cell>
        </row>
        <row r="859">
          <cell r="A859">
            <v>19107</v>
          </cell>
          <cell r="B859" t="str">
            <v>Keokuk County</v>
          </cell>
          <cell r="C859">
            <v>-0.75460170000000004</v>
          </cell>
        </row>
        <row r="860">
          <cell r="A860">
            <v>19109</v>
          </cell>
          <cell r="B860" t="str">
            <v>Kossuth County</v>
          </cell>
          <cell r="C860">
            <v>0.77496980000000004</v>
          </cell>
        </row>
        <row r="861">
          <cell r="A861">
            <v>19111</v>
          </cell>
          <cell r="B861" t="str">
            <v>Lee County</v>
          </cell>
          <cell r="C861">
            <v>-1.0785769999999999</v>
          </cell>
        </row>
        <row r="862">
          <cell r="A862">
            <v>19113</v>
          </cell>
          <cell r="B862" t="str">
            <v>Linn County</v>
          </cell>
          <cell r="C862">
            <v>0.96329319999999996</v>
          </cell>
        </row>
        <row r="863">
          <cell r="A863">
            <v>19115</v>
          </cell>
          <cell r="B863" t="str">
            <v>Louisa County</v>
          </cell>
          <cell r="C863">
            <v>0.88963800000000004</v>
          </cell>
        </row>
        <row r="864">
          <cell r="A864">
            <v>19117</v>
          </cell>
          <cell r="B864" t="str">
            <v>Lucas County</v>
          </cell>
          <cell r="C864">
            <v>-0.17139660000000001</v>
          </cell>
        </row>
        <row r="865">
          <cell r="A865">
            <v>19119</v>
          </cell>
          <cell r="B865" t="str">
            <v>Lyon County</v>
          </cell>
          <cell r="C865">
            <v>0.62057209999999996</v>
          </cell>
        </row>
        <row r="866">
          <cell r="A866">
            <v>19121</v>
          </cell>
          <cell r="B866" t="str">
            <v>Madison County</v>
          </cell>
          <cell r="C866">
            <v>-0.95212980000000003</v>
          </cell>
        </row>
        <row r="867">
          <cell r="A867">
            <v>19123</v>
          </cell>
          <cell r="B867" t="str">
            <v>Mahaska County</v>
          </cell>
          <cell r="C867">
            <v>-0.98131729999999995</v>
          </cell>
        </row>
        <row r="868">
          <cell r="A868">
            <v>19125</v>
          </cell>
          <cell r="B868" t="str">
            <v>Marion County</v>
          </cell>
          <cell r="C868">
            <v>0.64833189999999996</v>
          </cell>
        </row>
        <row r="869">
          <cell r="A869">
            <v>19127</v>
          </cell>
          <cell r="B869" t="str">
            <v>Marshall County</v>
          </cell>
          <cell r="C869">
            <v>0.40194010000000002</v>
          </cell>
        </row>
        <row r="870">
          <cell r="A870">
            <v>19129</v>
          </cell>
          <cell r="B870" t="str">
            <v>Mills County</v>
          </cell>
          <cell r="C870">
            <v>-0.71163909999999997</v>
          </cell>
        </row>
        <row r="871">
          <cell r="A871">
            <v>19131</v>
          </cell>
          <cell r="B871" t="str">
            <v>Mitchell County</v>
          </cell>
          <cell r="C871">
            <v>-1.0912170000000001</v>
          </cell>
        </row>
        <row r="872">
          <cell r="A872">
            <v>19133</v>
          </cell>
          <cell r="B872" t="str">
            <v>Monona County</v>
          </cell>
          <cell r="C872">
            <v>0.60229560000000004</v>
          </cell>
        </row>
        <row r="873">
          <cell r="A873">
            <v>19135</v>
          </cell>
          <cell r="B873" t="str">
            <v>Monroe County</v>
          </cell>
          <cell r="C873">
            <v>1.2140960000000001</v>
          </cell>
        </row>
        <row r="874">
          <cell r="A874">
            <v>19137</v>
          </cell>
          <cell r="B874" t="str">
            <v>Montgomery County</v>
          </cell>
          <cell r="C874">
            <v>0.36324889999999999</v>
          </cell>
        </row>
        <row r="875">
          <cell r="A875">
            <v>19139</v>
          </cell>
          <cell r="B875" t="str">
            <v>Muscatine County</v>
          </cell>
          <cell r="C875">
            <v>0.6798052</v>
          </cell>
        </row>
        <row r="876">
          <cell r="A876">
            <v>19141</v>
          </cell>
          <cell r="B876" t="str">
            <v>O'Brien County</v>
          </cell>
          <cell r="C876">
            <v>0.63750569999999995</v>
          </cell>
        </row>
        <row r="877">
          <cell r="A877">
            <v>19143</v>
          </cell>
          <cell r="B877" t="str">
            <v>Osceola County</v>
          </cell>
          <cell r="C877">
            <v>0.58511939999999996</v>
          </cell>
        </row>
        <row r="878">
          <cell r="A878">
            <v>19145</v>
          </cell>
          <cell r="B878" t="str">
            <v>Page County</v>
          </cell>
          <cell r="C878">
            <v>0.37080249999999998</v>
          </cell>
        </row>
        <row r="879">
          <cell r="A879">
            <v>19147</v>
          </cell>
          <cell r="B879" t="str">
            <v>Palo Alto County</v>
          </cell>
          <cell r="C879">
            <v>0.76983950000000001</v>
          </cell>
        </row>
        <row r="880">
          <cell r="A880">
            <v>19149</v>
          </cell>
          <cell r="B880" t="str">
            <v>Plymouth County</v>
          </cell>
          <cell r="C880">
            <v>-0.75222829999999996</v>
          </cell>
        </row>
        <row r="881">
          <cell r="A881">
            <v>19151</v>
          </cell>
          <cell r="B881" t="str">
            <v>Pocahontas County</v>
          </cell>
          <cell r="C881">
            <v>1.110471</v>
          </cell>
        </row>
        <row r="882">
          <cell r="A882">
            <v>19153</v>
          </cell>
          <cell r="B882" t="str">
            <v>Polk County</v>
          </cell>
          <cell r="C882">
            <v>1.4141269999999999</v>
          </cell>
        </row>
        <row r="883">
          <cell r="A883">
            <v>19155</v>
          </cell>
          <cell r="B883" t="str">
            <v>Pottawattamie County</v>
          </cell>
          <cell r="C883">
            <v>-0.37595840000000003</v>
          </cell>
        </row>
        <row r="884">
          <cell r="A884">
            <v>19157</v>
          </cell>
          <cell r="B884" t="str">
            <v>Poweshiek County</v>
          </cell>
          <cell r="C884">
            <v>-1.060602</v>
          </cell>
        </row>
        <row r="885">
          <cell r="A885">
            <v>19159</v>
          </cell>
          <cell r="B885" t="str">
            <v>Ringgold County</v>
          </cell>
          <cell r="C885">
            <v>-1.782726</v>
          </cell>
        </row>
        <row r="886">
          <cell r="A886">
            <v>19161</v>
          </cell>
          <cell r="B886" t="str">
            <v>Sac County</v>
          </cell>
          <cell r="C886">
            <v>1.114957</v>
          </cell>
        </row>
        <row r="887">
          <cell r="A887">
            <v>19163</v>
          </cell>
          <cell r="B887" t="str">
            <v>Scott County</v>
          </cell>
          <cell r="C887">
            <v>0.49610330000000002</v>
          </cell>
        </row>
        <row r="888">
          <cell r="A888">
            <v>19165</v>
          </cell>
          <cell r="B888" t="str">
            <v>Shelby County</v>
          </cell>
          <cell r="C888">
            <v>1.0907370000000001</v>
          </cell>
        </row>
        <row r="889">
          <cell r="A889">
            <v>19167</v>
          </cell>
          <cell r="B889" t="str">
            <v>Sioux County</v>
          </cell>
          <cell r="C889">
            <v>-1.0812470000000001</v>
          </cell>
        </row>
        <row r="890">
          <cell r="A890">
            <v>19169</v>
          </cell>
          <cell r="B890" t="str">
            <v>Story County</v>
          </cell>
          <cell r="C890">
            <v>0.51997260000000001</v>
          </cell>
        </row>
        <row r="891">
          <cell r="A891">
            <v>19171</v>
          </cell>
          <cell r="B891" t="str">
            <v>Tama County</v>
          </cell>
          <cell r="C891">
            <v>0.75085999999999997</v>
          </cell>
        </row>
        <row r="892">
          <cell r="A892">
            <v>19173</v>
          </cell>
          <cell r="B892" t="str">
            <v>Taylor County</v>
          </cell>
          <cell r="C892">
            <v>0.2585711</v>
          </cell>
        </row>
        <row r="893">
          <cell r="A893">
            <v>19175</v>
          </cell>
          <cell r="B893" t="str">
            <v>Union County</v>
          </cell>
          <cell r="C893">
            <v>0.35337249999999998</v>
          </cell>
        </row>
        <row r="894">
          <cell r="A894">
            <v>19177</v>
          </cell>
          <cell r="B894" t="str">
            <v>Van Buren County</v>
          </cell>
          <cell r="C894">
            <v>1.874841</v>
          </cell>
        </row>
        <row r="895">
          <cell r="A895">
            <v>19179</v>
          </cell>
          <cell r="B895" t="str">
            <v>Wapello County</v>
          </cell>
          <cell r="C895">
            <v>0.31081520000000001</v>
          </cell>
        </row>
        <row r="896">
          <cell r="A896">
            <v>19181</v>
          </cell>
          <cell r="B896" t="str">
            <v>Warren County</v>
          </cell>
          <cell r="C896">
            <v>0.2331221</v>
          </cell>
        </row>
        <row r="897">
          <cell r="A897">
            <v>19183</v>
          </cell>
          <cell r="B897" t="str">
            <v>Washington County</v>
          </cell>
          <cell r="C897">
            <v>0.37481110000000001</v>
          </cell>
        </row>
        <row r="898">
          <cell r="A898">
            <v>19185</v>
          </cell>
          <cell r="B898" t="str">
            <v>Wayne County</v>
          </cell>
          <cell r="C898">
            <v>-1.2122630000000001</v>
          </cell>
        </row>
        <row r="899">
          <cell r="A899">
            <v>19187</v>
          </cell>
          <cell r="B899" t="str">
            <v>Webster County</v>
          </cell>
          <cell r="C899">
            <v>0.22661780000000001</v>
          </cell>
        </row>
        <row r="900">
          <cell r="A900">
            <v>19189</v>
          </cell>
          <cell r="B900" t="str">
            <v>Winnebago County</v>
          </cell>
          <cell r="C900">
            <v>0.70395189999999996</v>
          </cell>
        </row>
        <row r="901">
          <cell r="A901">
            <v>19191</v>
          </cell>
          <cell r="B901" t="str">
            <v>Winneshiek County</v>
          </cell>
          <cell r="C901">
            <v>0.1382747</v>
          </cell>
        </row>
        <row r="902">
          <cell r="A902">
            <v>19193</v>
          </cell>
          <cell r="B902" t="str">
            <v>Woodbury County</v>
          </cell>
          <cell r="C902">
            <v>-0.38860650000000002</v>
          </cell>
        </row>
        <row r="903">
          <cell r="A903">
            <v>19195</v>
          </cell>
          <cell r="B903" t="str">
            <v>Worth County</v>
          </cell>
          <cell r="C903">
            <v>0.86754969999999998</v>
          </cell>
        </row>
        <row r="904">
          <cell r="A904">
            <v>19197</v>
          </cell>
          <cell r="B904" t="str">
            <v>Wright County</v>
          </cell>
          <cell r="C904">
            <v>1.1576150000000001</v>
          </cell>
        </row>
        <row r="905">
          <cell r="A905">
            <v>20000</v>
          </cell>
          <cell r="B905" t="str">
            <v>Kansas</v>
          </cell>
          <cell r="C905">
            <v>0.94773149999999995</v>
          </cell>
        </row>
        <row r="906">
          <cell r="A906">
            <v>20001</v>
          </cell>
          <cell r="B906" t="str">
            <v>Allen County</v>
          </cell>
          <cell r="C906">
            <v>-0.82437090000000002</v>
          </cell>
        </row>
        <row r="907">
          <cell r="A907">
            <v>20003</v>
          </cell>
          <cell r="B907" t="str">
            <v>Anderson County</v>
          </cell>
          <cell r="C907">
            <v>-2.7573270000000001</v>
          </cell>
        </row>
        <row r="908">
          <cell r="A908">
            <v>20005</v>
          </cell>
          <cell r="B908" t="str">
            <v>Atchison County</v>
          </cell>
          <cell r="C908">
            <v>-0.53587439999999997</v>
          </cell>
        </row>
        <row r="909">
          <cell r="A909">
            <v>20007</v>
          </cell>
          <cell r="B909" t="str">
            <v>Barber County</v>
          </cell>
          <cell r="C909">
            <v>-0.8424374</v>
          </cell>
        </row>
        <row r="910">
          <cell r="A910">
            <v>20009</v>
          </cell>
          <cell r="B910" t="str">
            <v>Barton County</v>
          </cell>
          <cell r="C910">
            <v>0.16247149999999999</v>
          </cell>
        </row>
        <row r="911">
          <cell r="A911">
            <v>20011</v>
          </cell>
          <cell r="B911" t="str">
            <v>Bourbon County</v>
          </cell>
          <cell r="C911">
            <v>-1.4678099999999999E-2</v>
          </cell>
        </row>
        <row r="912">
          <cell r="A912">
            <v>20013</v>
          </cell>
          <cell r="B912" t="str">
            <v>Brown County</v>
          </cell>
          <cell r="C912">
            <v>1.174796</v>
          </cell>
        </row>
        <row r="913">
          <cell r="A913">
            <v>20015</v>
          </cell>
          <cell r="B913" t="str">
            <v>Butler County</v>
          </cell>
          <cell r="C913">
            <v>-0.50666339999999999</v>
          </cell>
        </row>
        <row r="914">
          <cell r="A914">
            <v>20017</v>
          </cell>
          <cell r="B914" t="str">
            <v>Chase County</v>
          </cell>
          <cell r="C914">
            <v>-3.6038500000000001E-2</v>
          </cell>
        </row>
        <row r="915">
          <cell r="A915">
            <v>20019</v>
          </cell>
          <cell r="B915" t="str">
            <v>Chautauqua County</v>
          </cell>
          <cell r="C915">
            <v>-0.82389100000000004</v>
          </cell>
        </row>
        <row r="916">
          <cell r="A916">
            <v>20021</v>
          </cell>
          <cell r="B916" t="str">
            <v>Cherokee County</v>
          </cell>
          <cell r="C916">
            <v>1.103248</v>
          </cell>
        </row>
        <row r="917">
          <cell r="A917">
            <v>20023</v>
          </cell>
          <cell r="B917" t="str">
            <v>Cheyenne County</v>
          </cell>
          <cell r="C917">
            <v>-1.2462340000000001</v>
          </cell>
        </row>
        <row r="918">
          <cell r="A918">
            <v>20025</v>
          </cell>
          <cell r="B918" t="str">
            <v>Clark County</v>
          </cell>
          <cell r="C918">
            <v>2.933891</v>
          </cell>
        </row>
        <row r="919">
          <cell r="A919">
            <v>20027</v>
          </cell>
          <cell r="B919" t="str">
            <v>Clay County</v>
          </cell>
          <cell r="C919">
            <v>-0.10874730000000001</v>
          </cell>
        </row>
        <row r="920">
          <cell r="A920">
            <v>20029</v>
          </cell>
          <cell r="B920" t="str">
            <v>Cloud County</v>
          </cell>
          <cell r="C920">
            <v>0.1103615</v>
          </cell>
        </row>
        <row r="921">
          <cell r="A921">
            <v>20031</v>
          </cell>
          <cell r="B921" t="str">
            <v>Coffey County</v>
          </cell>
          <cell r="C921">
            <v>-1.0137480000000001</v>
          </cell>
        </row>
        <row r="922">
          <cell r="A922">
            <v>20033</v>
          </cell>
          <cell r="B922" t="str">
            <v>Comanche County</v>
          </cell>
          <cell r="C922">
            <v>-3.6170439999999999</v>
          </cell>
        </row>
        <row r="923">
          <cell r="A923">
            <v>20035</v>
          </cell>
          <cell r="B923" t="str">
            <v>Cowley County</v>
          </cell>
          <cell r="C923">
            <v>0.55900249999999996</v>
          </cell>
        </row>
        <row r="924">
          <cell r="A924">
            <v>20037</v>
          </cell>
          <cell r="B924" t="str">
            <v>Crawford County</v>
          </cell>
          <cell r="C924">
            <v>-0.3143784</v>
          </cell>
        </row>
        <row r="925">
          <cell r="A925">
            <v>20039</v>
          </cell>
          <cell r="B925" t="str">
            <v>Decatur County</v>
          </cell>
          <cell r="C925">
            <v>-1.5085919999999999</v>
          </cell>
        </row>
        <row r="926">
          <cell r="A926">
            <v>20041</v>
          </cell>
          <cell r="B926" t="str">
            <v>Dickinson County</v>
          </cell>
          <cell r="C926">
            <v>0.82489250000000003</v>
          </cell>
        </row>
        <row r="927">
          <cell r="A927">
            <v>20043</v>
          </cell>
          <cell r="B927" t="str">
            <v>Doniphan County</v>
          </cell>
          <cell r="C927">
            <v>2.5240879999999999</v>
          </cell>
        </row>
        <row r="928">
          <cell r="A928">
            <v>20045</v>
          </cell>
          <cell r="B928" t="str">
            <v>Douglas County</v>
          </cell>
          <cell r="C928">
            <v>0.52991239999999995</v>
          </cell>
        </row>
        <row r="929">
          <cell r="A929">
            <v>20047</v>
          </cell>
          <cell r="B929" t="str">
            <v>Edwards County</v>
          </cell>
          <cell r="C929">
            <v>1.4969840000000001</v>
          </cell>
        </row>
        <row r="930">
          <cell r="A930">
            <v>20049</v>
          </cell>
          <cell r="B930" t="str">
            <v>Elk County</v>
          </cell>
          <cell r="C930">
            <v>-1.743449</v>
          </cell>
        </row>
        <row r="931">
          <cell r="A931">
            <v>20051</v>
          </cell>
          <cell r="B931" t="str">
            <v>Ellis County</v>
          </cell>
          <cell r="C931">
            <v>2.0988000000000001E-3</v>
          </cell>
        </row>
        <row r="932">
          <cell r="A932">
            <v>20053</v>
          </cell>
          <cell r="B932" t="str">
            <v>Ellsworth County</v>
          </cell>
          <cell r="C932">
            <v>-1.372795</v>
          </cell>
        </row>
        <row r="933">
          <cell r="A933">
            <v>20055</v>
          </cell>
          <cell r="B933" t="str">
            <v>Finney County</v>
          </cell>
          <cell r="C933">
            <v>-0.70976309999999998</v>
          </cell>
        </row>
        <row r="934">
          <cell r="A934">
            <v>20057</v>
          </cell>
          <cell r="B934" t="str">
            <v>Ford County</v>
          </cell>
          <cell r="C934">
            <v>-1.2248680000000001</v>
          </cell>
        </row>
        <row r="935">
          <cell r="A935">
            <v>20059</v>
          </cell>
          <cell r="B935" t="str">
            <v>Franklin County</v>
          </cell>
          <cell r="C935">
            <v>0.64719950000000004</v>
          </cell>
        </row>
        <row r="936">
          <cell r="A936">
            <v>20061</v>
          </cell>
          <cell r="B936" t="str">
            <v>Geary County</v>
          </cell>
          <cell r="C936">
            <v>-0.28648000000000001</v>
          </cell>
        </row>
        <row r="937">
          <cell r="A937">
            <v>20063</v>
          </cell>
          <cell r="B937" t="str">
            <v>Gove County</v>
          </cell>
          <cell r="C937">
            <v>-2.5444640000000001</v>
          </cell>
        </row>
        <row r="938">
          <cell r="A938">
            <v>20065</v>
          </cell>
          <cell r="B938" t="str">
            <v>Graham County</v>
          </cell>
          <cell r="C938">
            <v>-1.347642</v>
          </cell>
        </row>
        <row r="939">
          <cell r="A939">
            <v>20067</v>
          </cell>
          <cell r="B939" t="str">
            <v>Grant County</v>
          </cell>
          <cell r="C939">
            <v>-0.83391340000000003</v>
          </cell>
        </row>
        <row r="940">
          <cell r="A940">
            <v>20069</v>
          </cell>
          <cell r="B940" t="str">
            <v>Gray County</v>
          </cell>
          <cell r="C940">
            <v>-0.73308289999999998</v>
          </cell>
        </row>
        <row r="941">
          <cell r="A941">
            <v>20071</v>
          </cell>
          <cell r="B941" t="str">
            <v>Greeley County</v>
          </cell>
          <cell r="C941">
            <v>-3.0997170000000001</v>
          </cell>
        </row>
        <row r="942">
          <cell r="A942">
            <v>20073</v>
          </cell>
          <cell r="B942" t="str">
            <v>Greenwood County</v>
          </cell>
          <cell r="C942">
            <v>0.86266580000000004</v>
          </cell>
        </row>
        <row r="943">
          <cell r="A943">
            <v>20075</v>
          </cell>
          <cell r="B943" t="str">
            <v>Hamilton County</v>
          </cell>
          <cell r="C943">
            <v>-3.2265860000000002</v>
          </cell>
        </row>
        <row r="944">
          <cell r="A944">
            <v>20077</v>
          </cell>
          <cell r="B944" t="str">
            <v>Harper County</v>
          </cell>
          <cell r="C944">
            <v>0.33658300000000002</v>
          </cell>
        </row>
        <row r="945">
          <cell r="A945">
            <v>20079</v>
          </cell>
          <cell r="B945" t="str">
            <v>Harvey County</v>
          </cell>
          <cell r="C945">
            <v>1.0006010000000001</v>
          </cell>
        </row>
        <row r="946">
          <cell r="A946">
            <v>20081</v>
          </cell>
          <cell r="B946" t="str">
            <v>Haskell County</v>
          </cell>
          <cell r="C946">
            <v>2.838854</v>
          </cell>
        </row>
        <row r="947">
          <cell r="A947">
            <v>20083</v>
          </cell>
          <cell r="B947" t="str">
            <v>Hodgeman County</v>
          </cell>
          <cell r="C947">
            <v>2.1477789999999999</v>
          </cell>
        </row>
        <row r="948">
          <cell r="A948">
            <v>20085</v>
          </cell>
          <cell r="B948" t="str">
            <v>Jackson County</v>
          </cell>
          <cell r="C948">
            <v>2.0246520000000001</v>
          </cell>
        </row>
        <row r="949">
          <cell r="A949">
            <v>20087</v>
          </cell>
          <cell r="B949" t="str">
            <v>Jefferson County</v>
          </cell>
          <cell r="C949">
            <v>1.0749610000000001</v>
          </cell>
        </row>
        <row r="950">
          <cell r="A950">
            <v>20089</v>
          </cell>
          <cell r="B950" t="str">
            <v>Jewell County</v>
          </cell>
          <cell r="C950">
            <v>-1.802476</v>
          </cell>
        </row>
        <row r="951">
          <cell r="A951">
            <v>20091</v>
          </cell>
          <cell r="B951" t="str">
            <v>Johnson County</v>
          </cell>
          <cell r="C951">
            <v>1.4955590000000001</v>
          </cell>
        </row>
        <row r="952">
          <cell r="A952">
            <v>20093</v>
          </cell>
          <cell r="B952" t="str">
            <v>Kearny County</v>
          </cell>
          <cell r="C952">
            <v>-0.63614289999999996</v>
          </cell>
        </row>
        <row r="953">
          <cell r="A953">
            <v>20095</v>
          </cell>
          <cell r="B953" t="str">
            <v>Kingman County</v>
          </cell>
          <cell r="C953">
            <v>0.78299540000000001</v>
          </cell>
        </row>
        <row r="954">
          <cell r="A954">
            <v>20097</v>
          </cell>
          <cell r="B954" t="str">
            <v>Kiowa County</v>
          </cell>
          <cell r="C954">
            <v>-3.6170439999999999</v>
          </cell>
        </row>
        <row r="955">
          <cell r="A955">
            <v>20099</v>
          </cell>
          <cell r="B955" t="str">
            <v>Labette County</v>
          </cell>
          <cell r="C955">
            <v>1.4107540000000001</v>
          </cell>
        </row>
        <row r="956">
          <cell r="A956">
            <v>20101</v>
          </cell>
          <cell r="B956" t="str">
            <v>Lane County</v>
          </cell>
          <cell r="C956">
            <v>-2.6976119999999999</v>
          </cell>
        </row>
        <row r="957">
          <cell r="A957">
            <v>20103</v>
          </cell>
          <cell r="B957" t="str">
            <v>Leavenworth County</v>
          </cell>
          <cell r="C957">
            <v>0.13819989999999999</v>
          </cell>
        </row>
        <row r="958">
          <cell r="A958">
            <v>20105</v>
          </cell>
          <cell r="B958" t="str">
            <v>Lincoln County</v>
          </cell>
          <cell r="C958">
            <v>2.7307250000000001</v>
          </cell>
        </row>
        <row r="959">
          <cell r="A959">
            <v>20107</v>
          </cell>
          <cell r="B959" t="str">
            <v>Linn County</v>
          </cell>
          <cell r="C959">
            <v>1.7240690000000001</v>
          </cell>
        </row>
        <row r="960">
          <cell r="A960">
            <v>20109</v>
          </cell>
          <cell r="B960" t="str">
            <v>Logan County</v>
          </cell>
          <cell r="C960">
            <v>-1.3559019999999999</v>
          </cell>
        </row>
        <row r="961">
          <cell r="A961">
            <v>20111</v>
          </cell>
          <cell r="B961" t="str">
            <v>Lyon County</v>
          </cell>
          <cell r="C961">
            <v>0.42757479999999998</v>
          </cell>
        </row>
        <row r="962">
          <cell r="A962">
            <v>20113</v>
          </cell>
          <cell r="B962" t="str">
            <v>McPherson County</v>
          </cell>
          <cell r="C962">
            <v>3.2777899999999999E-2</v>
          </cell>
        </row>
        <row r="963">
          <cell r="A963">
            <v>20115</v>
          </cell>
          <cell r="B963" t="str">
            <v>Marion County</v>
          </cell>
          <cell r="C963">
            <v>0.68401990000000001</v>
          </cell>
        </row>
        <row r="964">
          <cell r="A964">
            <v>20117</v>
          </cell>
          <cell r="B964" t="str">
            <v>Marshall County</v>
          </cell>
          <cell r="C964">
            <v>-0.37665280000000001</v>
          </cell>
        </row>
        <row r="965">
          <cell r="A965">
            <v>20119</v>
          </cell>
          <cell r="B965" t="str">
            <v>Meade County</v>
          </cell>
          <cell r="C965">
            <v>-1.1616310000000001</v>
          </cell>
        </row>
        <row r="966">
          <cell r="A966">
            <v>20121</v>
          </cell>
          <cell r="B966" t="str">
            <v>Miami County</v>
          </cell>
          <cell r="C966">
            <v>0.87442160000000002</v>
          </cell>
        </row>
        <row r="967">
          <cell r="A967">
            <v>20123</v>
          </cell>
          <cell r="B967" t="str">
            <v>Mitchell County</v>
          </cell>
          <cell r="C967">
            <v>-1.547884</v>
          </cell>
        </row>
        <row r="968">
          <cell r="A968">
            <v>20125</v>
          </cell>
          <cell r="B968" t="str">
            <v>Montgomery County</v>
          </cell>
          <cell r="C968">
            <v>0.92803530000000001</v>
          </cell>
        </row>
        <row r="969">
          <cell r="A969">
            <v>20127</v>
          </cell>
          <cell r="B969" t="str">
            <v>Morris County</v>
          </cell>
          <cell r="C969">
            <v>0.56690169999999995</v>
          </cell>
        </row>
        <row r="970">
          <cell r="A970">
            <v>20129</v>
          </cell>
          <cell r="B970" t="str">
            <v>Morton County</v>
          </cell>
          <cell r="C970">
            <v>1.623704</v>
          </cell>
        </row>
        <row r="971">
          <cell r="A971">
            <v>20131</v>
          </cell>
          <cell r="B971" t="str">
            <v>Nemaha County</v>
          </cell>
          <cell r="C971">
            <v>0.30795119999999998</v>
          </cell>
        </row>
        <row r="972">
          <cell r="A972">
            <v>20133</v>
          </cell>
          <cell r="B972" t="str">
            <v>Neosho County</v>
          </cell>
          <cell r="C972">
            <v>-0.48632029999999998</v>
          </cell>
        </row>
        <row r="973">
          <cell r="A973">
            <v>20135</v>
          </cell>
          <cell r="B973" t="str">
            <v>Ness County</v>
          </cell>
          <cell r="C973">
            <v>-2.1302759999999998</v>
          </cell>
        </row>
        <row r="974">
          <cell r="A974">
            <v>20137</v>
          </cell>
          <cell r="B974" t="str">
            <v>Norton County</v>
          </cell>
          <cell r="C974">
            <v>-1.9799929999999999</v>
          </cell>
        </row>
        <row r="975">
          <cell r="A975">
            <v>20139</v>
          </cell>
          <cell r="B975" t="str">
            <v>Osage County</v>
          </cell>
          <cell r="C975">
            <v>-0.52606430000000004</v>
          </cell>
        </row>
        <row r="976">
          <cell r="A976">
            <v>20141</v>
          </cell>
          <cell r="B976" t="str">
            <v>Osborne County</v>
          </cell>
          <cell r="C976">
            <v>-8.7269600000000003E-2</v>
          </cell>
        </row>
        <row r="977">
          <cell r="A977">
            <v>20143</v>
          </cell>
          <cell r="B977" t="str">
            <v>Ottawa County</v>
          </cell>
          <cell r="C977">
            <v>-0.61803520000000001</v>
          </cell>
        </row>
        <row r="978">
          <cell r="A978">
            <v>20145</v>
          </cell>
          <cell r="B978" t="str">
            <v>Pawnee County</v>
          </cell>
          <cell r="C978">
            <v>-1.9110670000000001</v>
          </cell>
        </row>
        <row r="979">
          <cell r="A979">
            <v>20147</v>
          </cell>
          <cell r="B979" t="str">
            <v>Phillips County</v>
          </cell>
          <cell r="C979">
            <v>7.1555800000000003E-2</v>
          </cell>
        </row>
        <row r="980">
          <cell r="A980">
            <v>20149</v>
          </cell>
          <cell r="B980" t="str">
            <v>Pottawatomie County</v>
          </cell>
          <cell r="C980">
            <v>-0.39392890000000003</v>
          </cell>
        </row>
        <row r="981">
          <cell r="A981">
            <v>20151</v>
          </cell>
          <cell r="B981" t="str">
            <v>Pratt County</v>
          </cell>
          <cell r="C981">
            <v>-1.7242010000000001</v>
          </cell>
        </row>
        <row r="982">
          <cell r="A982">
            <v>20153</v>
          </cell>
          <cell r="B982" t="str">
            <v>Rawlins County</v>
          </cell>
          <cell r="C982">
            <v>-0.65106399999999998</v>
          </cell>
        </row>
        <row r="983">
          <cell r="A983">
            <v>20155</v>
          </cell>
          <cell r="B983" t="str">
            <v>Reno County</v>
          </cell>
          <cell r="C983">
            <v>0.72611650000000005</v>
          </cell>
        </row>
        <row r="984">
          <cell r="A984">
            <v>20157</v>
          </cell>
          <cell r="B984" t="str">
            <v>Republic County</v>
          </cell>
          <cell r="C984">
            <v>0.60300450000000005</v>
          </cell>
        </row>
        <row r="985">
          <cell r="A985">
            <v>20159</v>
          </cell>
          <cell r="B985" t="str">
            <v>Rice County</v>
          </cell>
          <cell r="C985">
            <v>-0.66099580000000002</v>
          </cell>
        </row>
        <row r="986">
          <cell r="A986">
            <v>20161</v>
          </cell>
          <cell r="B986" t="str">
            <v>Riley County</v>
          </cell>
          <cell r="C986">
            <v>-9.7904500000000005E-2</v>
          </cell>
        </row>
        <row r="987">
          <cell r="A987">
            <v>20163</v>
          </cell>
          <cell r="B987" t="str">
            <v>Rooks County</v>
          </cell>
          <cell r="C987">
            <v>-1.0650360000000001</v>
          </cell>
        </row>
        <row r="988">
          <cell r="A988">
            <v>20165</v>
          </cell>
          <cell r="B988" t="str">
            <v>Rush County</v>
          </cell>
          <cell r="C988">
            <v>-1.8774500000000001</v>
          </cell>
        </row>
        <row r="989">
          <cell r="A989">
            <v>20167</v>
          </cell>
          <cell r="B989" t="str">
            <v>Russell County</v>
          </cell>
          <cell r="C989">
            <v>-0.63945059999999998</v>
          </cell>
        </row>
        <row r="990">
          <cell r="A990">
            <v>20169</v>
          </cell>
          <cell r="B990" t="str">
            <v>Saline County</v>
          </cell>
          <cell r="C990">
            <v>0.77371840000000003</v>
          </cell>
        </row>
        <row r="991">
          <cell r="A991">
            <v>20171</v>
          </cell>
          <cell r="B991" t="str">
            <v>Scott County</v>
          </cell>
          <cell r="C991">
            <v>-1.6544570000000001</v>
          </cell>
        </row>
        <row r="992">
          <cell r="A992">
            <v>20173</v>
          </cell>
          <cell r="B992" t="str">
            <v>Sedgwick County</v>
          </cell>
          <cell r="C992">
            <v>0.86849889999999996</v>
          </cell>
        </row>
        <row r="993">
          <cell r="A993">
            <v>20175</v>
          </cell>
          <cell r="B993" t="str">
            <v>Seward County</v>
          </cell>
          <cell r="C993">
            <v>0.30085980000000001</v>
          </cell>
        </row>
        <row r="994">
          <cell r="A994">
            <v>20177</v>
          </cell>
          <cell r="B994" t="str">
            <v>Shawnee County</v>
          </cell>
          <cell r="C994">
            <v>1.190725</v>
          </cell>
        </row>
        <row r="995">
          <cell r="A995">
            <v>20179</v>
          </cell>
          <cell r="B995" t="str">
            <v>Sheridan County</v>
          </cell>
          <cell r="C995">
            <v>-0.97622969999999998</v>
          </cell>
        </row>
        <row r="996">
          <cell r="A996">
            <v>20181</v>
          </cell>
          <cell r="B996" t="str">
            <v>Sherman County</v>
          </cell>
          <cell r="C996">
            <v>0.74934789999999996</v>
          </cell>
        </row>
        <row r="997">
          <cell r="A997">
            <v>20183</v>
          </cell>
          <cell r="B997" t="str">
            <v>Smith County</v>
          </cell>
          <cell r="C997">
            <v>7.6512000000000004E-3</v>
          </cell>
        </row>
        <row r="998">
          <cell r="A998">
            <v>20185</v>
          </cell>
          <cell r="B998" t="str">
            <v>Stafford County</v>
          </cell>
          <cell r="C998">
            <v>-0.88584419999999997</v>
          </cell>
        </row>
        <row r="999">
          <cell r="A999">
            <v>20187</v>
          </cell>
          <cell r="B999" t="str">
            <v>Stanton County</v>
          </cell>
          <cell r="C999">
            <v>-1.628897</v>
          </cell>
        </row>
        <row r="1000">
          <cell r="A1000">
            <v>20189</v>
          </cell>
          <cell r="B1000" t="str">
            <v>Stevens County</v>
          </cell>
          <cell r="C1000">
            <v>-0.95261689999999999</v>
          </cell>
        </row>
        <row r="1001">
          <cell r="A1001">
            <v>20191</v>
          </cell>
          <cell r="B1001" t="str">
            <v>Sumner County</v>
          </cell>
          <cell r="C1001">
            <v>1.3565499999999999</v>
          </cell>
        </row>
        <row r="1002">
          <cell r="A1002">
            <v>20193</v>
          </cell>
          <cell r="B1002" t="str">
            <v>Thomas County</v>
          </cell>
          <cell r="C1002">
            <v>-0.1697177</v>
          </cell>
        </row>
        <row r="1003">
          <cell r="A1003">
            <v>20195</v>
          </cell>
          <cell r="B1003" t="str">
            <v>Trego County</v>
          </cell>
          <cell r="C1003">
            <v>0.83702489999999996</v>
          </cell>
        </row>
        <row r="1004">
          <cell r="A1004">
            <v>20197</v>
          </cell>
          <cell r="B1004" t="str">
            <v>Wabaunsee County</v>
          </cell>
          <cell r="C1004">
            <v>-3.1077119999999998</v>
          </cell>
        </row>
        <row r="1005">
          <cell r="A1005">
            <v>20199</v>
          </cell>
          <cell r="B1005" t="str">
            <v>Wallace County</v>
          </cell>
          <cell r="C1005">
            <v>2.833107</v>
          </cell>
        </row>
        <row r="1006">
          <cell r="A1006">
            <v>20201</v>
          </cell>
          <cell r="B1006" t="str">
            <v>Washington County</v>
          </cell>
          <cell r="C1006">
            <v>1.0215160000000001</v>
          </cell>
        </row>
        <row r="1007">
          <cell r="A1007">
            <v>20203</v>
          </cell>
          <cell r="B1007" t="str">
            <v>Wichita County</v>
          </cell>
          <cell r="C1007">
            <v>-4.3058050000000003</v>
          </cell>
        </row>
        <row r="1008">
          <cell r="A1008">
            <v>20205</v>
          </cell>
          <cell r="B1008" t="str">
            <v>Wilson County</v>
          </cell>
          <cell r="C1008">
            <v>8.9072999999999999E-2</v>
          </cell>
        </row>
        <row r="1009">
          <cell r="A1009">
            <v>20207</v>
          </cell>
          <cell r="B1009" t="str">
            <v>Woodson County</v>
          </cell>
          <cell r="C1009">
            <v>-0.73824710000000004</v>
          </cell>
        </row>
        <row r="1010">
          <cell r="A1010">
            <v>20209</v>
          </cell>
          <cell r="B1010" t="str">
            <v>Wyandotte County</v>
          </cell>
          <cell r="C1010">
            <v>-0.64427889999999999</v>
          </cell>
        </row>
        <row r="1011">
          <cell r="A1011">
            <v>21000</v>
          </cell>
          <cell r="B1011" t="str">
            <v>Kentucky</v>
          </cell>
          <cell r="C1011">
            <v>0.4900968</v>
          </cell>
        </row>
        <row r="1012">
          <cell r="A1012">
            <v>21001</v>
          </cell>
          <cell r="B1012" t="str">
            <v>Adair County</v>
          </cell>
          <cell r="C1012">
            <v>-0.22358140000000001</v>
          </cell>
        </row>
        <row r="1013">
          <cell r="A1013">
            <v>21003</v>
          </cell>
          <cell r="B1013" t="str">
            <v>Allen County</v>
          </cell>
          <cell r="C1013">
            <v>-1.300562</v>
          </cell>
        </row>
        <row r="1014">
          <cell r="A1014">
            <v>21005</v>
          </cell>
          <cell r="B1014" t="str">
            <v>Anderson County</v>
          </cell>
          <cell r="C1014">
            <v>-1.4975339999999999</v>
          </cell>
        </row>
        <row r="1015">
          <cell r="A1015">
            <v>21007</v>
          </cell>
          <cell r="B1015" t="str">
            <v>Ballard County</v>
          </cell>
          <cell r="C1015">
            <v>-0.71806910000000002</v>
          </cell>
        </row>
        <row r="1016">
          <cell r="A1016">
            <v>21009</v>
          </cell>
          <cell r="B1016" t="str">
            <v>Barren County</v>
          </cell>
          <cell r="C1016">
            <v>-0.43650349999999999</v>
          </cell>
        </row>
        <row r="1017">
          <cell r="A1017">
            <v>21011</v>
          </cell>
          <cell r="B1017" t="str">
            <v>Bath County</v>
          </cell>
          <cell r="C1017">
            <v>-2.6048680000000002</v>
          </cell>
        </row>
        <row r="1018">
          <cell r="A1018">
            <v>21013</v>
          </cell>
          <cell r="B1018" t="str">
            <v>Bell County</v>
          </cell>
          <cell r="C1018">
            <v>-1.1232629999999999</v>
          </cell>
        </row>
        <row r="1019">
          <cell r="A1019">
            <v>21015</v>
          </cell>
          <cell r="B1019" t="str">
            <v>Boone County</v>
          </cell>
          <cell r="C1019">
            <v>-0.81701559999999995</v>
          </cell>
        </row>
        <row r="1020">
          <cell r="A1020">
            <v>21017</v>
          </cell>
          <cell r="B1020" t="str">
            <v>Bourbon County</v>
          </cell>
          <cell r="C1020">
            <v>-1.088125</v>
          </cell>
        </row>
        <row r="1021">
          <cell r="A1021">
            <v>21019</v>
          </cell>
          <cell r="B1021" t="str">
            <v>Boyd County</v>
          </cell>
          <cell r="C1021">
            <v>0.73751750000000005</v>
          </cell>
        </row>
        <row r="1022">
          <cell r="A1022">
            <v>21021</v>
          </cell>
          <cell r="B1022" t="str">
            <v>Boyle County</v>
          </cell>
          <cell r="C1022">
            <v>-0.2060806</v>
          </cell>
        </row>
        <row r="1023">
          <cell r="A1023">
            <v>21023</v>
          </cell>
          <cell r="B1023" t="str">
            <v>Bracken County</v>
          </cell>
          <cell r="C1023">
            <v>-1.5754729999999999</v>
          </cell>
        </row>
        <row r="1024">
          <cell r="A1024">
            <v>21025</v>
          </cell>
          <cell r="B1024" t="str">
            <v>Breathitt County</v>
          </cell>
          <cell r="C1024">
            <v>0.53942920000000005</v>
          </cell>
        </row>
        <row r="1025">
          <cell r="A1025">
            <v>21027</v>
          </cell>
          <cell r="B1025" t="str">
            <v>Breckinridge County</v>
          </cell>
          <cell r="C1025">
            <v>4.8339699999999999E-2</v>
          </cell>
        </row>
        <row r="1026">
          <cell r="A1026">
            <v>21029</v>
          </cell>
          <cell r="B1026" t="str">
            <v>Bullitt County</v>
          </cell>
          <cell r="C1026">
            <v>-2.7996620000000001</v>
          </cell>
        </row>
        <row r="1027">
          <cell r="A1027">
            <v>21031</v>
          </cell>
          <cell r="B1027" t="str">
            <v>Butler County</v>
          </cell>
          <cell r="C1027">
            <v>-1.371915</v>
          </cell>
        </row>
        <row r="1028">
          <cell r="A1028">
            <v>21033</v>
          </cell>
          <cell r="B1028" t="str">
            <v>Caldwell County</v>
          </cell>
          <cell r="C1028">
            <v>-1.3704449999999999</v>
          </cell>
        </row>
        <row r="1029">
          <cell r="A1029">
            <v>21035</v>
          </cell>
          <cell r="B1029" t="str">
            <v>Calloway County</v>
          </cell>
          <cell r="C1029">
            <v>0.2360631</v>
          </cell>
        </row>
        <row r="1030">
          <cell r="A1030">
            <v>21037</v>
          </cell>
          <cell r="B1030" t="str">
            <v>Campbell County</v>
          </cell>
          <cell r="C1030">
            <v>-0.27528010000000003</v>
          </cell>
        </row>
        <row r="1031">
          <cell r="A1031">
            <v>21039</v>
          </cell>
          <cell r="B1031" t="str">
            <v>Carlisle County</v>
          </cell>
          <cell r="C1031">
            <v>-1.4646060000000001</v>
          </cell>
        </row>
        <row r="1032">
          <cell r="A1032">
            <v>21041</v>
          </cell>
          <cell r="B1032" t="str">
            <v>Carroll County</v>
          </cell>
          <cell r="C1032">
            <v>-0.36795460000000002</v>
          </cell>
        </row>
        <row r="1033">
          <cell r="A1033">
            <v>21043</v>
          </cell>
          <cell r="B1033" t="str">
            <v>Carter County</v>
          </cell>
          <cell r="C1033">
            <v>0.27061010000000002</v>
          </cell>
        </row>
        <row r="1034">
          <cell r="A1034">
            <v>21045</v>
          </cell>
          <cell r="B1034" t="str">
            <v>Casey County</v>
          </cell>
          <cell r="C1034">
            <v>0.82132830000000001</v>
          </cell>
        </row>
        <row r="1035">
          <cell r="A1035">
            <v>21047</v>
          </cell>
          <cell r="B1035" t="str">
            <v>Christian County</v>
          </cell>
          <cell r="C1035">
            <v>0.1142992</v>
          </cell>
        </row>
        <row r="1036">
          <cell r="A1036">
            <v>21049</v>
          </cell>
          <cell r="B1036" t="str">
            <v>Clark County</v>
          </cell>
          <cell r="C1036">
            <v>1.297334</v>
          </cell>
        </row>
        <row r="1037">
          <cell r="A1037">
            <v>21051</v>
          </cell>
          <cell r="B1037" t="str">
            <v>Clay County</v>
          </cell>
          <cell r="C1037">
            <v>1.3525100000000001</v>
          </cell>
        </row>
        <row r="1038">
          <cell r="A1038">
            <v>21053</v>
          </cell>
          <cell r="B1038" t="str">
            <v>Clinton County</v>
          </cell>
          <cell r="C1038">
            <v>0.8425897</v>
          </cell>
        </row>
        <row r="1039">
          <cell r="A1039">
            <v>21055</v>
          </cell>
          <cell r="B1039" t="str">
            <v>Crittenden County</v>
          </cell>
          <cell r="C1039">
            <v>0.77697769999999999</v>
          </cell>
        </row>
        <row r="1040">
          <cell r="A1040">
            <v>21057</v>
          </cell>
          <cell r="B1040" t="str">
            <v>Cumberland County</v>
          </cell>
          <cell r="C1040">
            <v>-1.8686769999999999</v>
          </cell>
        </row>
        <row r="1041">
          <cell r="A1041">
            <v>21059</v>
          </cell>
          <cell r="B1041" t="str">
            <v>Daviess County</v>
          </cell>
          <cell r="C1041">
            <v>-0.30014780000000002</v>
          </cell>
        </row>
        <row r="1042">
          <cell r="A1042">
            <v>21061</v>
          </cell>
          <cell r="B1042" t="str">
            <v>Edmonson County</v>
          </cell>
          <cell r="C1042">
            <v>0.34231479999999997</v>
          </cell>
        </row>
        <row r="1043">
          <cell r="A1043">
            <v>21063</v>
          </cell>
          <cell r="B1043" t="str">
            <v>Elliott County</v>
          </cell>
          <cell r="C1043">
            <v>-3.2369620000000001</v>
          </cell>
        </row>
        <row r="1044">
          <cell r="A1044">
            <v>21065</v>
          </cell>
          <cell r="B1044" t="str">
            <v>Estill County</v>
          </cell>
          <cell r="C1044">
            <v>-0.86099289999999995</v>
          </cell>
        </row>
        <row r="1045">
          <cell r="A1045">
            <v>21067</v>
          </cell>
          <cell r="B1045" t="str">
            <v>Fayette County</v>
          </cell>
          <cell r="C1045">
            <v>0.37011440000000001</v>
          </cell>
        </row>
        <row r="1046">
          <cell r="A1046">
            <v>21069</v>
          </cell>
          <cell r="B1046" t="str">
            <v>Fleming County</v>
          </cell>
          <cell r="C1046">
            <v>0.74024900000000005</v>
          </cell>
        </row>
        <row r="1047">
          <cell r="A1047">
            <v>21071</v>
          </cell>
          <cell r="B1047" t="str">
            <v>Floyd County</v>
          </cell>
          <cell r="C1047">
            <v>0.66929309999999997</v>
          </cell>
        </row>
        <row r="1048">
          <cell r="A1048">
            <v>21073</v>
          </cell>
          <cell r="B1048" t="str">
            <v>Franklin County</v>
          </cell>
          <cell r="C1048">
            <v>-8.2901600000000006E-2</v>
          </cell>
        </row>
        <row r="1049">
          <cell r="A1049">
            <v>21075</v>
          </cell>
          <cell r="B1049" t="str">
            <v>Fulton County</v>
          </cell>
          <cell r="C1049">
            <v>-1.148093</v>
          </cell>
        </row>
        <row r="1050">
          <cell r="A1050">
            <v>21077</v>
          </cell>
          <cell r="B1050" t="str">
            <v>Gallatin County</v>
          </cell>
          <cell r="C1050">
            <v>-1.345607</v>
          </cell>
        </row>
        <row r="1051">
          <cell r="A1051">
            <v>21079</v>
          </cell>
          <cell r="B1051" t="str">
            <v>Garrard County</v>
          </cell>
          <cell r="C1051">
            <v>-1.026667</v>
          </cell>
        </row>
        <row r="1052">
          <cell r="A1052">
            <v>21081</v>
          </cell>
          <cell r="B1052" t="str">
            <v>Grant County</v>
          </cell>
          <cell r="C1052">
            <v>0.64054069999999996</v>
          </cell>
        </row>
        <row r="1053">
          <cell r="A1053">
            <v>21083</v>
          </cell>
          <cell r="B1053" t="str">
            <v>Graves County</v>
          </cell>
          <cell r="C1053">
            <v>-0.48603570000000001</v>
          </cell>
        </row>
        <row r="1054">
          <cell r="A1054">
            <v>21085</v>
          </cell>
          <cell r="B1054" t="str">
            <v>Grayson County</v>
          </cell>
          <cell r="C1054">
            <v>-0.24161920000000001</v>
          </cell>
        </row>
        <row r="1055">
          <cell r="A1055">
            <v>21087</v>
          </cell>
          <cell r="B1055" t="str">
            <v>Green County</v>
          </cell>
          <cell r="C1055">
            <v>-0.55988970000000005</v>
          </cell>
        </row>
        <row r="1056">
          <cell r="A1056">
            <v>21089</v>
          </cell>
          <cell r="B1056" t="str">
            <v>Greenup County</v>
          </cell>
          <cell r="C1056">
            <v>0.43939889999999998</v>
          </cell>
        </row>
        <row r="1057">
          <cell r="A1057">
            <v>21091</v>
          </cell>
          <cell r="B1057" t="str">
            <v>Hancock County</v>
          </cell>
          <cell r="C1057">
            <v>-0.58895949999999997</v>
          </cell>
        </row>
        <row r="1058">
          <cell r="A1058">
            <v>21093</v>
          </cell>
          <cell r="B1058" t="str">
            <v>Hardin County</v>
          </cell>
          <cell r="C1058">
            <v>0.26709339999999998</v>
          </cell>
        </row>
        <row r="1059">
          <cell r="A1059">
            <v>21095</v>
          </cell>
          <cell r="B1059" t="str">
            <v>Harlan County</v>
          </cell>
          <cell r="C1059">
            <v>0.80566610000000005</v>
          </cell>
        </row>
        <row r="1060">
          <cell r="A1060">
            <v>21097</v>
          </cell>
          <cell r="B1060" t="str">
            <v>Harrison County</v>
          </cell>
          <cell r="C1060">
            <v>-0.82202229999999998</v>
          </cell>
        </row>
        <row r="1061">
          <cell r="A1061">
            <v>21099</v>
          </cell>
          <cell r="B1061" t="str">
            <v>Hart County</v>
          </cell>
          <cell r="C1061">
            <v>-1.8084039999999999</v>
          </cell>
        </row>
        <row r="1062">
          <cell r="A1062">
            <v>21101</v>
          </cell>
          <cell r="B1062" t="str">
            <v>Henderson County</v>
          </cell>
          <cell r="C1062">
            <v>-0.90644690000000006</v>
          </cell>
        </row>
        <row r="1063">
          <cell r="A1063">
            <v>21103</v>
          </cell>
          <cell r="B1063" t="str">
            <v>Henry County</v>
          </cell>
          <cell r="C1063">
            <v>-0.14632629999999999</v>
          </cell>
        </row>
        <row r="1064">
          <cell r="A1064">
            <v>21105</v>
          </cell>
          <cell r="B1064" t="str">
            <v>Hickman County</v>
          </cell>
          <cell r="C1064">
            <v>-3.6170439999999999</v>
          </cell>
        </row>
        <row r="1065">
          <cell r="A1065">
            <v>21107</v>
          </cell>
          <cell r="B1065" t="str">
            <v>Hopkins County</v>
          </cell>
          <cell r="C1065">
            <v>-0.18530869999999999</v>
          </cell>
        </row>
        <row r="1066">
          <cell r="A1066">
            <v>21109</v>
          </cell>
          <cell r="B1066" t="str">
            <v>Jackson County</v>
          </cell>
          <cell r="C1066">
            <v>0.67018500000000003</v>
          </cell>
        </row>
        <row r="1067">
          <cell r="A1067">
            <v>21111</v>
          </cell>
          <cell r="B1067" t="str">
            <v>Jefferson County</v>
          </cell>
          <cell r="C1067">
            <v>0.59608110000000003</v>
          </cell>
        </row>
        <row r="1068">
          <cell r="A1068">
            <v>21113</v>
          </cell>
          <cell r="B1068" t="str">
            <v>Jessamine County</v>
          </cell>
          <cell r="C1068">
            <v>-1.043831</v>
          </cell>
        </row>
        <row r="1069">
          <cell r="A1069">
            <v>21115</v>
          </cell>
          <cell r="B1069" t="str">
            <v>Johnson County</v>
          </cell>
          <cell r="C1069">
            <v>1.3263819999999999</v>
          </cell>
        </row>
        <row r="1070">
          <cell r="A1070">
            <v>21117</v>
          </cell>
          <cell r="B1070" t="str">
            <v>Kenton County</v>
          </cell>
          <cell r="C1070">
            <v>0.2008151</v>
          </cell>
        </row>
        <row r="1071">
          <cell r="A1071">
            <v>21119</v>
          </cell>
          <cell r="B1071" t="str">
            <v>Knott County</v>
          </cell>
          <cell r="C1071">
            <v>-0.15016840000000001</v>
          </cell>
        </row>
        <row r="1072">
          <cell r="A1072">
            <v>21121</v>
          </cell>
          <cell r="B1072" t="str">
            <v>Knox County</v>
          </cell>
          <cell r="C1072">
            <v>1.0627180000000001</v>
          </cell>
        </row>
        <row r="1073">
          <cell r="A1073">
            <v>21123</v>
          </cell>
          <cell r="B1073" t="str">
            <v>Larue County</v>
          </cell>
          <cell r="C1073">
            <v>-1.1296409999999999</v>
          </cell>
        </row>
        <row r="1074">
          <cell r="A1074">
            <v>21125</v>
          </cell>
          <cell r="B1074" t="str">
            <v>Laurel County</v>
          </cell>
          <cell r="C1074">
            <v>0.66556740000000003</v>
          </cell>
        </row>
        <row r="1075">
          <cell r="A1075">
            <v>21127</v>
          </cell>
          <cell r="B1075" t="str">
            <v>Lawrence County</v>
          </cell>
          <cell r="C1075">
            <v>-1.296184</v>
          </cell>
        </row>
        <row r="1076">
          <cell r="A1076">
            <v>21129</v>
          </cell>
          <cell r="B1076" t="str">
            <v>Lee County</v>
          </cell>
          <cell r="C1076">
            <v>1.4700120000000001</v>
          </cell>
        </row>
        <row r="1077">
          <cell r="A1077">
            <v>21131</v>
          </cell>
          <cell r="B1077" t="str">
            <v>Leslie County</v>
          </cell>
          <cell r="C1077">
            <v>-1.22444</v>
          </cell>
        </row>
        <row r="1078">
          <cell r="A1078">
            <v>21133</v>
          </cell>
          <cell r="B1078" t="str">
            <v>Letcher County</v>
          </cell>
          <cell r="C1078">
            <v>0.32522790000000001</v>
          </cell>
        </row>
        <row r="1079">
          <cell r="A1079">
            <v>21135</v>
          </cell>
          <cell r="B1079" t="str">
            <v>Lewis County</v>
          </cell>
          <cell r="C1079">
            <v>-0.22951150000000001</v>
          </cell>
        </row>
        <row r="1080">
          <cell r="A1080">
            <v>21137</v>
          </cell>
          <cell r="B1080" t="str">
            <v>Lincoln County</v>
          </cell>
          <cell r="C1080">
            <v>-1.43452</v>
          </cell>
        </row>
        <row r="1081">
          <cell r="A1081">
            <v>21139</v>
          </cell>
          <cell r="B1081" t="str">
            <v>Livingston County</v>
          </cell>
          <cell r="C1081">
            <v>-1.6608560000000001</v>
          </cell>
        </row>
        <row r="1082">
          <cell r="A1082">
            <v>21141</v>
          </cell>
          <cell r="B1082" t="str">
            <v>Logan County</v>
          </cell>
          <cell r="C1082">
            <v>-0.45133869999999998</v>
          </cell>
        </row>
        <row r="1083">
          <cell r="A1083">
            <v>21143</v>
          </cell>
          <cell r="B1083" t="str">
            <v>Lyon County</v>
          </cell>
          <cell r="C1083">
            <v>0.34170620000000002</v>
          </cell>
        </row>
        <row r="1084">
          <cell r="A1084">
            <v>21145</v>
          </cell>
          <cell r="B1084" t="str">
            <v>McCracken County</v>
          </cell>
          <cell r="C1084">
            <v>0.106503</v>
          </cell>
        </row>
        <row r="1085">
          <cell r="A1085">
            <v>21147</v>
          </cell>
          <cell r="B1085" t="str">
            <v>McCreary County</v>
          </cell>
          <cell r="C1085">
            <v>-7.1287E-3</v>
          </cell>
        </row>
        <row r="1086">
          <cell r="A1086">
            <v>21149</v>
          </cell>
          <cell r="B1086" t="str">
            <v>McLean County</v>
          </cell>
          <cell r="C1086">
            <v>-1.7102219999999999</v>
          </cell>
        </row>
        <row r="1087">
          <cell r="A1087">
            <v>21151</v>
          </cell>
          <cell r="B1087" t="str">
            <v>Madison County</v>
          </cell>
          <cell r="C1087">
            <v>-0.1108488</v>
          </cell>
        </row>
        <row r="1088">
          <cell r="A1088">
            <v>21153</v>
          </cell>
          <cell r="B1088" t="str">
            <v>Magoffin County</v>
          </cell>
          <cell r="C1088">
            <v>0.36037960000000002</v>
          </cell>
        </row>
        <row r="1089">
          <cell r="A1089">
            <v>21155</v>
          </cell>
          <cell r="B1089" t="str">
            <v>Marion County</v>
          </cell>
          <cell r="C1089">
            <v>-1.120738</v>
          </cell>
        </row>
        <row r="1090">
          <cell r="A1090">
            <v>21157</v>
          </cell>
          <cell r="B1090" t="str">
            <v>Marshall County</v>
          </cell>
          <cell r="C1090">
            <v>-0.78210500000000005</v>
          </cell>
        </row>
        <row r="1091">
          <cell r="A1091">
            <v>21159</v>
          </cell>
          <cell r="B1091" t="str">
            <v>Martin County</v>
          </cell>
          <cell r="C1091">
            <v>-0.15316070000000001</v>
          </cell>
        </row>
        <row r="1092">
          <cell r="A1092">
            <v>21161</v>
          </cell>
          <cell r="B1092" t="str">
            <v>Mason County</v>
          </cell>
          <cell r="C1092">
            <v>-0.70848920000000004</v>
          </cell>
        </row>
        <row r="1093">
          <cell r="A1093">
            <v>21163</v>
          </cell>
          <cell r="B1093" t="str">
            <v>Meade County</v>
          </cell>
          <cell r="C1093">
            <v>-1.4395659999999999</v>
          </cell>
        </row>
        <row r="1094">
          <cell r="A1094">
            <v>21165</v>
          </cell>
          <cell r="B1094" t="str">
            <v>Menifee County</v>
          </cell>
          <cell r="C1094">
            <v>-0.90774860000000002</v>
          </cell>
        </row>
        <row r="1095">
          <cell r="A1095">
            <v>21167</v>
          </cell>
          <cell r="B1095" t="str">
            <v>Mercer County</v>
          </cell>
          <cell r="C1095">
            <v>-1.4246099999999999</v>
          </cell>
        </row>
        <row r="1096">
          <cell r="A1096">
            <v>21169</v>
          </cell>
          <cell r="B1096" t="str">
            <v>Metcalfe County</v>
          </cell>
          <cell r="C1096">
            <v>2.3093680000000001</v>
          </cell>
        </row>
        <row r="1097">
          <cell r="A1097">
            <v>21171</v>
          </cell>
          <cell r="B1097" t="str">
            <v>Monroe County</v>
          </cell>
          <cell r="C1097">
            <v>-1.6320269999999999</v>
          </cell>
        </row>
        <row r="1098">
          <cell r="A1098">
            <v>21173</v>
          </cell>
          <cell r="B1098" t="str">
            <v>Montgomery County</v>
          </cell>
          <cell r="C1098">
            <v>-0.82788899999999999</v>
          </cell>
        </row>
        <row r="1099">
          <cell r="A1099">
            <v>21175</v>
          </cell>
          <cell r="B1099" t="str">
            <v>Morgan County</v>
          </cell>
          <cell r="C1099">
            <v>-0.67451179999999999</v>
          </cell>
        </row>
        <row r="1100">
          <cell r="A1100">
            <v>21177</v>
          </cell>
          <cell r="B1100" t="str">
            <v>Muhlenberg County</v>
          </cell>
          <cell r="C1100">
            <v>-0.72300989999999998</v>
          </cell>
        </row>
        <row r="1101">
          <cell r="A1101">
            <v>21179</v>
          </cell>
          <cell r="B1101" t="str">
            <v>Nelson County</v>
          </cell>
          <cell r="C1101">
            <v>-1.0821449999999999</v>
          </cell>
        </row>
        <row r="1102">
          <cell r="A1102">
            <v>21181</v>
          </cell>
          <cell r="B1102" t="str">
            <v>Nicholas County</v>
          </cell>
          <cell r="C1102">
            <v>-0.83005899999999999</v>
          </cell>
        </row>
        <row r="1103">
          <cell r="A1103">
            <v>21183</v>
          </cell>
          <cell r="B1103" t="str">
            <v>Ohio County</v>
          </cell>
          <cell r="C1103">
            <v>-0.1137687</v>
          </cell>
        </row>
        <row r="1104">
          <cell r="A1104">
            <v>21185</v>
          </cell>
          <cell r="B1104" t="str">
            <v>Oldham County</v>
          </cell>
          <cell r="C1104">
            <v>0.89939029999999998</v>
          </cell>
        </row>
        <row r="1105">
          <cell r="A1105">
            <v>21187</v>
          </cell>
          <cell r="B1105" t="str">
            <v>Owen County</v>
          </cell>
          <cell r="C1105">
            <v>-0.96558889999999997</v>
          </cell>
        </row>
        <row r="1106">
          <cell r="A1106">
            <v>21189</v>
          </cell>
          <cell r="B1106" t="str">
            <v>Owsley County</v>
          </cell>
          <cell r="C1106">
            <v>1.2020219999999999</v>
          </cell>
        </row>
        <row r="1107">
          <cell r="A1107">
            <v>21191</v>
          </cell>
          <cell r="B1107" t="str">
            <v>Pendleton County</v>
          </cell>
          <cell r="C1107">
            <v>-1.313178</v>
          </cell>
        </row>
        <row r="1108">
          <cell r="A1108">
            <v>21193</v>
          </cell>
          <cell r="B1108" t="str">
            <v>Perry County</v>
          </cell>
          <cell r="C1108">
            <v>0.49887169999999997</v>
          </cell>
        </row>
        <row r="1109">
          <cell r="A1109">
            <v>21195</v>
          </cell>
          <cell r="B1109" t="str">
            <v>Pike County</v>
          </cell>
          <cell r="C1109">
            <v>0.79565629999999998</v>
          </cell>
        </row>
        <row r="1110">
          <cell r="A1110">
            <v>21197</v>
          </cell>
          <cell r="B1110" t="str">
            <v>Powell County</v>
          </cell>
          <cell r="C1110">
            <v>-1.2461139999999999</v>
          </cell>
        </row>
        <row r="1111">
          <cell r="A1111">
            <v>21199</v>
          </cell>
          <cell r="B1111" t="str">
            <v>Pulaski County</v>
          </cell>
          <cell r="C1111">
            <v>-3.25188E-2</v>
          </cell>
        </row>
        <row r="1112">
          <cell r="A1112">
            <v>21201</v>
          </cell>
          <cell r="B1112" t="str">
            <v>Robertson County</v>
          </cell>
          <cell r="C1112">
            <v>-3.6170439999999999</v>
          </cell>
        </row>
        <row r="1113">
          <cell r="A1113">
            <v>21203</v>
          </cell>
          <cell r="B1113" t="str">
            <v>Rockcastle County</v>
          </cell>
          <cell r="C1113">
            <v>-0.21083379999999999</v>
          </cell>
        </row>
        <row r="1114">
          <cell r="A1114">
            <v>21205</v>
          </cell>
          <cell r="B1114" t="str">
            <v>Rowan County</v>
          </cell>
          <cell r="C1114">
            <v>-0.44067020000000001</v>
          </cell>
        </row>
        <row r="1115">
          <cell r="A1115">
            <v>21207</v>
          </cell>
          <cell r="B1115" t="str">
            <v>Russell County</v>
          </cell>
          <cell r="C1115">
            <v>-0.98372459999999995</v>
          </cell>
        </row>
        <row r="1116">
          <cell r="A1116">
            <v>21209</v>
          </cell>
          <cell r="B1116" t="str">
            <v>Scott County</v>
          </cell>
          <cell r="C1116">
            <v>-1.2748269999999999</v>
          </cell>
        </row>
        <row r="1117">
          <cell r="A1117">
            <v>21211</v>
          </cell>
          <cell r="B1117" t="str">
            <v>Shelby County</v>
          </cell>
          <cell r="C1117">
            <v>-1.093817</v>
          </cell>
        </row>
        <row r="1118">
          <cell r="A1118">
            <v>21213</v>
          </cell>
          <cell r="B1118" t="str">
            <v>Simpson County</v>
          </cell>
          <cell r="C1118">
            <v>-1.3843399999999999</v>
          </cell>
        </row>
        <row r="1119">
          <cell r="A1119">
            <v>21215</v>
          </cell>
          <cell r="B1119" t="str">
            <v>Spencer County</v>
          </cell>
          <cell r="C1119">
            <v>-1.73614</v>
          </cell>
        </row>
        <row r="1120">
          <cell r="A1120">
            <v>21217</v>
          </cell>
          <cell r="B1120" t="str">
            <v>Taylor County</v>
          </cell>
          <cell r="C1120">
            <v>-0.38360240000000001</v>
          </cell>
        </row>
        <row r="1121">
          <cell r="A1121">
            <v>21219</v>
          </cell>
          <cell r="B1121" t="str">
            <v>Todd County</v>
          </cell>
          <cell r="C1121">
            <v>-0.4019547</v>
          </cell>
        </row>
        <row r="1122">
          <cell r="A1122">
            <v>21221</v>
          </cell>
          <cell r="B1122" t="str">
            <v>Trigg County</v>
          </cell>
          <cell r="C1122">
            <v>-0.27868169999999998</v>
          </cell>
        </row>
        <row r="1123">
          <cell r="A1123">
            <v>21223</v>
          </cell>
          <cell r="B1123" t="str">
            <v>Trimble County</v>
          </cell>
          <cell r="C1123">
            <v>-2.9844279999999999</v>
          </cell>
        </row>
        <row r="1124">
          <cell r="A1124">
            <v>21225</v>
          </cell>
          <cell r="B1124" t="str">
            <v>Union County</v>
          </cell>
          <cell r="C1124">
            <v>0.1315162</v>
          </cell>
        </row>
        <row r="1125">
          <cell r="A1125">
            <v>21227</v>
          </cell>
          <cell r="B1125" t="str">
            <v>Warren County</v>
          </cell>
          <cell r="C1125">
            <v>-1.1418299999999999E-2</v>
          </cell>
        </row>
        <row r="1126">
          <cell r="A1126">
            <v>21229</v>
          </cell>
          <cell r="B1126" t="str">
            <v>Washington County</v>
          </cell>
          <cell r="C1126">
            <v>-1.2169939999999999</v>
          </cell>
        </row>
        <row r="1127">
          <cell r="A1127">
            <v>21231</v>
          </cell>
          <cell r="B1127" t="str">
            <v>Wayne County</v>
          </cell>
          <cell r="C1127">
            <v>-1.2293860000000001</v>
          </cell>
        </row>
        <row r="1128">
          <cell r="A1128">
            <v>21233</v>
          </cell>
          <cell r="B1128" t="str">
            <v>Webster County</v>
          </cell>
          <cell r="C1128">
            <v>-1.615397</v>
          </cell>
        </row>
        <row r="1129">
          <cell r="A1129">
            <v>21235</v>
          </cell>
          <cell r="B1129" t="str">
            <v>Whitley County</v>
          </cell>
          <cell r="C1129">
            <v>-0.3463309</v>
          </cell>
        </row>
        <row r="1130">
          <cell r="A1130">
            <v>21237</v>
          </cell>
          <cell r="B1130" t="str">
            <v>Wolfe County</v>
          </cell>
          <cell r="C1130">
            <v>-2.001744</v>
          </cell>
        </row>
        <row r="1131">
          <cell r="A1131">
            <v>21239</v>
          </cell>
          <cell r="B1131" t="str">
            <v>Woodford County</v>
          </cell>
          <cell r="C1131">
            <v>-1.0421039999999999</v>
          </cell>
        </row>
        <row r="1132">
          <cell r="A1132">
            <v>22000</v>
          </cell>
          <cell r="B1132" t="str">
            <v>Louisiana</v>
          </cell>
          <cell r="C1132">
            <v>0.51436130000000002</v>
          </cell>
        </row>
        <row r="1133">
          <cell r="A1133">
            <v>22001</v>
          </cell>
          <cell r="B1133" t="str">
            <v>Acadia Parish</v>
          </cell>
          <cell r="C1133">
            <v>-0.25536999999999999</v>
          </cell>
        </row>
        <row r="1134">
          <cell r="A1134">
            <v>22003</v>
          </cell>
          <cell r="B1134" t="str">
            <v>Allen Parish</v>
          </cell>
          <cell r="C1134">
            <v>-0.31164989999999998</v>
          </cell>
        </row>
        <row r="1135">
          <cell r="A1135">
            <v>22005</v>
          </cell>
          <cell r="B1135" t="str">
            <v>Ascension Parish</v>
          </cell>
          <cell r="C1135">
            <v>-1.498731</v>
          </cell>
        </row>
        <row r="1136">
          <cell r="A1136">
            <v>22007</v>
          </cell>
          <cell r="B1136" t="str">
            <v>Assumption Parish</v>
          </cell>
          <cell r="C1136">
            <v>0.55809169999999997</v>
          </cell>
        </row>
        <row r="1137">
          <cell r="A1137">
            <v>22009</v>
          </cell>
          <cell r="B1137" t="str">
            <v>Avoyelles Parish</v>
          </cell>
          <cell r="C1137">
            <v>-8.8135099999999994E-2</v>
          </cell>
        </row>
        <row r="1138">
          <cell r="A1138">
            <v>22011</v>
          </cell>
          <cell r="B1138" t="str">
            <v>Beauregard Parish</v>
          </cell>
          <cell r="C1138">
            <v>-0.3452537</v>
          </cell>
        </row>
        <row r="1139">
          <cell r="A1139">
            <v>22013</v>
          </cell>
          <cell r="B1139" t="str">
            <v>Bienville Parish</v>
          </cell>
          <cell r="C1139">
            <v>-0.50264940000000002</v>
          </cell>
        </row>
        <row r="1140">
          <cell r="A1140">
            <v>22015</v>
          </cell>
          <cell r="B1140" t="str">
            <v>Bossier Parish</v>
          </cell>
          <cell r="C1140">
            <v>-0.30842760000000002</v>
          </cell>
        </row>
        <row r="1141">
          <cell r="A1141">
            <v>22017</v>
          </cell>
          <cell r="B1141" t="str">
            <v>Caddo Parish</v>
          </cell>
          <cell r="C1141">
            <v>0.33326860000000003</v>
          </cell>
        </row>
        <row r="1142">
          <cell r="A1142">
            <v>22019</v>
          </cell>
          <cell r="B1142" t="str">
            <v>Calcasieu Parish</v>
          </cell>
          <cell r="C1142">
            <v>-0.3206907</v>
          </cell>
        </row>
        <row r="1143">
          <cell r="A1143">
            <v>22021</v>
          </cell>
          <cell r="B1143" t="str">
            <v>Caldwell Parish</v>
          </cell>
          <cell r="C1143">
            <v>-0.23833289999999999</v>
          </cell>
        </row>
        <row r="1144">
          <cell r="A1144">
            <v>22023</v>
          </cell>
          <cell r="B1144" t="str">
            <v>Cameron Parish</v>
          </cell>
          <cell r="C1144">
            <v>-1.528832</v>
          </cell>
        </row>
        <row r="1145">
          <cell r="A1145">
            <v>22025</v>
          </cell>
          <cell r="B1145" t="str">
            <v>Catahoula Parish</v>
          </cell>
          <cell r="C1145">
            <v>-0.78846609999999995</v>
          </cell>
        </row>
        <row r="1146">
          <cell r="A1146">
            <v>22027</v>
          </cell>
          <cell r="B1146" t="str">
            <v>Claiborne Parish</v>
          </cell>
          <cell r="C1146">
            <v>-0.98257559999999999</v>
          </cell>
        </row>
        <row r="1147">
          <cell r="A1147">
            <v>22029</v>
          </cell>
          <cell r="B1147" t="str">
            <v>Concordia Parish</v>
          </cell>
          <cell r="C1147">
            <v>0.51000279999999998</v>
          </cell>
        </row>
        <row r="1148">
          <cell r="A1148">
            <v>22031</v>
          </cell>
          <cell r="B1148" t="str">
            <v>De Soto Parish</v>
          </cell>
          <cell r="C1148">
            <v>-1.3971960000000001</v>
          </cell>
        </row>
        <row r="1149">
          <cell r="A1149">
            <v>22033</v>
          </cell>
          <cell r="B1149" t="str">
            <v>East Baton Rouge Parish</v>
          </cell>
          <cell r="C1149">
            <v>0.81612770000000001</v>
          </cell>
        </row>
        <row r="1150">
          <cell r="A1150">
            <v>22035</v>
          </cell>
          <cell r="B1150" t="str">
            <v>East Carroll Parish</v>
          </cell>
          <cell r="C1150">
            <v>0.2008644</v>
          </cell>
        </row>
        <row r="1151">
          <cell r="A1151">
            <v>22037</v>
          </cell>
          <cell r="B1151" t="str">
            <v>East Feliciana Parish</v>
          </cell>
          <cell r="C1151">
            <v>4.4565800000000003E-2</v>
          </cell>
        </row>
        <row r="1152">
          <cell r="A1152">
            <v>22039</v>
          </cell>
          <cell r="B1152" t="str">
            <v>Evangeline Parish</v>
          </cell>
          <cell r="C1152">
            <v>1.521231</v>
          </cell>
        </row>
        <row r="1153">
          <cell r="A1153">
            <v>22041</v>
          </cell>
          <cell r="B1153" t="str">
            <v>Franklin Parish</v>
          </cell>
          <cell r="C1153">
            <v>6.1991400000000002E-2</v>
          </cell>
        </row>
        <row r="1154">
          <cell r="A1154">
            <v>22043</v>
          </cell>
          <cell r="B1154" t="str">
            <v>Grant Parish</v>
          </cell>
          <cell r="C1154">
            <v>-0.90237670000000003</v>
          </cell>
        </row>
        <row r="1155">
          <cell r="A1155">
            <v>22045</v>
          </cell>
          <cell r="B1155" t="str">
            <v>Iberia Parish</v>
          </cell>
          <cell r="C1155">
            <v>-0.74609829999999999</v>
          </cell>
        </row>
        <row r="1156">
          <cell r="A1156">
            <v>22047</v>
          </cell>
          <cell r="B1156" t="str">
            <v>Iberville Parish</v>
          </cell>
          <cell r="C1156">
            <v>-1.5607070000000001</v>
          </cell>
        </row>
        <row r="1157">
          <cell r="A1157">
            <v>22049</v>
          </cell>
          <cell r="B1157" t="str">
            <v>Jackson Parish</v>
          </cell>
          <cell r="C1157">
            <v>0.1034414</v>
          </cell>
        </row>
        <row r="1158">
          <cell r="A1158">
            <v>22051</v>
          </cell>
          <cell r="B1158" t="str">
            <v>Jefferson Parish</v>
          </cell>
          <cell r="C1158">
            <v>0.31937209999999999</v>
          </cell>
        </row>
        <row r="1159">
          <cell r="A1159">
            <v>22053</v>
          </cell>
          <cell r="B1159" t="str">
            <v>Jefferson Davis Parish</v>
          </cell>
          <cell r="C1159">
            <v>0.90633680000000005</v>
          </cell>
        </row>
        <row r="1160">
          <cell r="A1160">
            <v>22055</v>
          </cell>
          <cell r="B1160" t="str">
            <v>Lafayette Parish</v>
          </cell>
          <cell r="C1160">
            <v>0.44426549999999998</v>
          </cell>
        </row>
        <row r="1161">
          <cell r="A1161">
            <v>22057</v>
          </cell>
          <cell r="B1161" t="str">
            <v>Lafourche Parish</v>
          </cell>
          <cell r="C1161">
            <v>-0.77940160000000003</v>
          </cell>
        </row>
        <row r="1162">
          <cell r="A1162">
            <v>22059</v>
          </cell>
          <cell r="B1162" t="str">
            <v>LaSalle Parish</v>
          </cell>
          <cell r="C1162">
            <v>-1.298424</v>
          </cell>
        </row>
        <row r="1163">
          <cell r="A1163">
            <v>22061</v>
          </cell>
          <cell r="B1163" t="str">
            <v>Lincoln Parish</v>
          </cell>
          <cell r="C1163">
            <v>-0.1846642</v>
          </cell>
        </row>
        <row r="1164">
          <cell r="A1164">
            <v>22063</v>
          </cell>
          <cell r="B1164" t="str">
            <v>Livingston Parish</v>
          </cell>
          <cell r="C1164">
            <v>-0.85753900000000005</v>
          </cell>
        </row>
        <row r="1165">
          <cell r="A1165">
            <v>22065</v>
          </cell>
          <cell r="B1165" t="str">
            <v>Madison Parish</v>
          </cell>
          <cell r="C1165">
            <v>0.52423699999999995</v>
          </cell>
        </row>
        <row r="1166">
          <cell r="A1166">
            <v>22067</v>
          </cell>
          <cell r="B1166" t="str">
            <v>Morehouse Parish</v>
          </cell>
          <cell r="C1166">
            <v>0.9394169</v>
          </cell>
        </row>
        <row r="1167">
          <cell r="A1167">
            <v>22069</v>
          </cell>
          <cell r="B1167" t="str">
            <v>Natchitoches Parish</v>
          </cell>
          <cell r="C1167">
            <v>7.4205E-3</v>
          </cell>
        </row>
        <row r="1168">
          <cell r="A1168">
            <v>22071</v>
          </cell>
          <cell r="B1168" t="str">
            <v>Orleans Parish</v>
          </cell>
          <cell r="C1168">
            <v>0.93293809999999999</v>
          </cell>
        </row>
        <row r="1169">
          <cell r="A1169">
            <v>22073</v>
          </cell>
          <cell r="B1169" t="str">
            <v>Ouachita Parish</v>
          </cell>
          <cell r="C1169">
            <v>0.70803519999999998</v>
          </cell>
        </row>
        <row r="1170">
          <cell r="A1170">
            <v>22075</v>
          </cell>
          <cell r="B1170" t="str">
            <v>Plaquemines Parish</v>
          </cell>
          <cell r="C1170">
            <v>-1.2929139999999999</v>
          </cell>
        </row>
        <row r="1171">
          <cell r="A1171">
            <v>22077</v>
          </cell>
          <cell r="B1171" t="str">
            <v>Pointe Coupee Parish</v>
          </cell>
          <cell r="C1171">
            <v>-0.3375687</v>
          </cell>
        </row>
        <row r="1172">
          <cell r="A1172">
            <v>22079</v>
          </cell>
          <cell r="B1172" t="str">
            <v>Rapides Parish</v>
          </cell>
          <cell r="C1172">
            <v>0.62567969999999995</v>
          </cell>
        </row>
        <row r="1173">
          <cell r="A1173">
            <v>22081</v>
          </cell>
          <cell r="B1173" t="str">
            <v>Red River Parish</v>
          </cell>
          <cell r="C1173">
            <v>-0.98621150000000002</v>
          </cell>
        </row>
        <row r="1174">
          <cell r="A1174">
            <v>22083</v>
          </cell>
          <cell r="B1174" t="str">
            <v>Richland Parish</v>
          </cell>
          <cell r="C1174">
            <v>1.3719490000000001</v>
          </cell>
        </row>
        <row r="1175">
          <cell r="A1175">
            <v>22085</v>
          </cell>
          <cell r="B1175" t="str">
            <v>Sabine Parish</v>
          </cell>
          <cell r="C1175">
            <v>-3.5279499999999998E-2</v>
          </cell>
        </row>
        <row r="1176">
          <cell r="A1176">
            <v>22087</v>
          </cell>
          <cell r="B1176" t="str">
            <v>St. Bernard Parish</v>
          </cell>
          <cell r="C1176">
            <v>-0.64851320000000001</v>
          </cell>
        </row>
        <row r="1177">
          <cell r="A1177">
            <v>22089</v>
          </cell>
          <cell r="B1177" t="str">
            <v>St. Charles Parish</v>
          </cell>
          <cell r="C1177">
            <v>-0.3129555</v>
          </cell>
        </row>
        <row r="1178">
          <cell r="A1178">
            <v>22091</v>
          </cell>
          <cell r="B1178" t="str">
            <v>St. Helena Parish</v>
          </cell>
          <cell r="C1178">
            <v>-1.3924780000000001</v>
          </cell>
        </row>
        <row r="1179">
          <cell r="A1179">
            <v>22093</v>
          </cell>
          <cell r="B1179" t="str">
            <v>St. James Parish</v>
          </cell>
          <cell r="C1179">
            <v>-1.5659860000000001</v>
          </cell>
        </row>
        <row r="1180">
          <cell r="A1180">
            <v>22095</v>
          </cell>
          <cell r="B1180" t="str">
            <v>St. John the Baptist Parish</v>
          </cell>
          <cell r="C1180">
            <v>-1.1457820000000001</v>
          </cell>
        </row>
        <row r="1181">
          <cell r="A1181">
            <v>22097</v>
          </cell>
          <cell r="B1181" t="str">
            <v>St. Landry Parish</v>
          </cell>
          <cell r="C1181">
            <v>0.28239350000000002</v>
          </cell>
        </row>
        <row r="1182">
          <cell r="A1182">
            <v>22099</v>
          </cell>
          <cell r="B1182" t="str">
            <v>St. Martin Parish</v>
          </cell>
          <cell r="C1182">
            <v>-0.2652024</v>
          </cell>
        </row>
        <row r="1183">
          <cell r="A1183">
            <v>22101</v>
          </cell>
          <cell r="B1183" t="str">
            <v>St. Mary Parish</v>
          </cell>
          <cell r="C1183">
            <v>-1.150523</v>
          </cell>
        </row>
        <row r="1184">
          <cell r="A1184">
            <v>22103</v>
          </cell>
          <cell r="B1184" t="str">
            <v>St. Tammany Parish</v>
          </cell>
          <cell r="C1184">
            <v>0.32280029999999998</v>
          </cell>
        </row>
        <row r="1185">
          <cell r="A1185">
            <v>22105</v>
          </cell>
          <cell r="B1185" t="str">
            <v>Tangipahoa Parish</v>
          </cell>
          <cell r="C1185">
            <v>-0.27072550000000001</v>
          </cell>
        </row>
        <row r="1186">
          <cell r="A1186">
            <v>22107</v>
          </cell>
          <cell r="B1186" t="str">
            <v>Tensas Parish</v>
          </cell>
          <cell r="C1186">
            <v>-3.1422599999999998</v>
          </cell>
        </row>
        <row r="1187">
          <cell r="A1187">
            <v>22109</v>
          </cell>
          <cell r="B1187" t="str">
            <v>Terrebonne Parish</v>
          </cell>
          <cell r="C1187">
            <v>-0.27203450000000001</v>
          </cell>
        </row>
        <row r="1188">
          <cell r="A1188">
            <v>22111</v>
          </cell>
          <cell r="B1188" t="str">
            <v>Union Parish</v>
          </cell>
          <cell r="C1188">
            <v>-1.2706919999999999</v>
          </cell>
        </row>
        <row r="1189">
          <cell r="A1189">
            <v>22113</v>
          </cell>
          <cell r="B1189" t="str">
            <v>Vermilion Parish</v>
          </cell>
          <cell r="C1189">
            <v>-0.63142690000000001</v>
          </cell>
        </row>
        <row r="1190">
          <cell r="A1190">
            <v>22115</v>
          </cell>
          <cell r="B1190" t="str">
            <v>Vernon Parish</v>
          </cell>
          <cell r="C1190">
            <v>-0.1892615</v>
          </cell>
        </row>
        <row r="1191">
          <cell r="A1191">
            <v>22117</v>
          </cell>
          <cell r="B1191" t="str">
            <v>Washington Parish</v>
          </cell>
          <cell r="C1191">
            <v>0.45051089999999999</v>
          </cell>
        </row>
        <row r="1192">
          <cell r="A1192">
            <v>22119</v>
          </cell>
          <cell r="B1192" t="str">
            <v>Webster Parish</v>
          </cell>
          <cell r="C1192">
            <v>-0.59035159999999998</v>
          </cell>
        </row>
        <row r="1193">
          <cell r="A1193">
            <v>22121</v>
          </cell>
          <cell r="B1193" t="str">
            <v>West Baton Rouge Parish</v>
          </cell>
          <cell r="C1193">
            <v>-1.745587</v>
          </cell>
        </row>
        <row r="1194">
          <cell r="A1194">
            <v>22123</v>
          </cell>
          <cell r="B1194" t="str">
            <v>West Carroll Parish</v>
          </cell>
          <cell r="C1194">
            <v>-0.68783419999999995</v>
          </cell>
        </row>
        <row r="1195">
          <cell r="A1195">
            <v>22125</v>
          </cell>
          <cell r="B1195" t="str">
            <v>West Feliciana Parish</v>
          </cell>
          <cell r="C1195">
            <v>-1.533037</v>
          </cell>
        </row>
        <row r="1196">
          <cell r="A1196">
            <v>22127</v>
          </cell>
          <cell r="B1196" t="str">
            <v>Winn Parish</v>
          </cell>
          <cell r="C1196">
            <v>0.1104228</v>
          </cell>
        </row>
        <row r="1197">
          <cell r="A1197">
            <v>23000</v>
          </cell>
          <cell r="B1197" t="str">
            <v>Maine</v>
          </cell>
          <cell r="C1197">
            <v>0.82088050000000001</v>
          </cell>
        </row>
        <row r="1198">
          <cell r="A1198">
            <v>23001</v>
          </cell>
          <cell r="B1198" t="str">
            <v>Androscoggin County</v>
          </cell>
          <cell r="C1198">
            <v>0.93456070000000002</v>
          </cell>
        </row>
        <row r="1199">
          <cell r="A1199">
            <v>23003</v>
          </cell>
          <cell r="B1199" t="str">
            <v>Aroostook County</v>
          </cell>
          <cell r="C1199">
            <v>0.44085800000000003</v>
          </cell>
        </row>
        <row r="1200">
          <cell r="A1200">
            <v>23005</v>
          </cell>
          <cell r="B1200" t="str">
            <v>Cumberland County</v>
          </cell>
          <cell r="C1200">
            <v>1.2066159999999999</v>
          </cell>
        </row>
        <row r="1201">
          <cell r="A1201">
            <v>23007</v>
          </cell>
          <cell r="B1201" t="str">
            <v>Franklin County</v>
          </cell>
          <cell r="C1201">
            <v>-0.11355079999999999</v>
          </cell>
        </row>
        <row r="1202">
          <cell r="A1202">
            <v>23009</v>
          </cell>
          <cell r="B1202" t="str">
            <v>Hancock County</v>
          </cell>
          <cell r="C1202">
            <v>-0.71404639999999997</v>
          </cell>
        </row>
        <row r="1203">
          <cell r="A1203">
            <v>23011</v>
          </cell>
          <cell r="B1203" t="str">
            <v>Kennebec County</v>
          </cell>
          <cell r="C1203">
            <v>0.86024449999999997</v>
          </cell>
        </row>
        <row r="1204">
          <cell r="A1204">
            <v>23013</v>
          </cell>
          <cell r="B1204" t="str">
            <v>Knox County</v>
          </cell>
          <cell r="C1204">
            <v>-0.413997</v>
          </cell>
        </row>
        <row r="1205">
          <cell r="A1205">
            <v>23015</v>
          </cell>
          <cell r="B1205" t="str">
            <v>Lincoln County</v>
          </cell>
          <cell r="C1205">
            <v>-0.60829270000000002</v>
          </cell>
        </row>
        <row r="1206">
          <cell r="A1206">
            <v>23017</v>
          </cell>
          <cell r="B1206" t="str">
            <v>Oxford County</v>
          </cell>
          <cell r="C1206">
            <v>-0.24307770000000001</v>
          </cell>
        </row>
        <row r="1207">
          <cell r="A1207">
            <v>23019</v>
          </cell>
          <cell r="B1207" t="str">
            <v>Penobscot County</v>
          </cell>
          <cell r="C1207">
            <v>0.41579430000000001</v>
          </cell>
        </row>
        <row r="1208">
          <cell r="A1208">
            <v>23021</v>
          </cell>
          <cell r="B1208" t="str">
            <v>Piscataquis County</v>
          </cell>
          <cell r="C1208">
            <v>-1.016467</v>
          </cell>
        </row>
        <row r="1209">
          <cell r="A1209">
            <v>23023</v>
          </cell>
          <cell r="B1209" t="str">
            <v>Sagadahoc County</v>
          </cell>
          <cell r="C1209">
            <v>-0.71364939999999999</v>
          </cell>
        </row>
        <row r="1210">
          <cell r="A1210">
            <v>23025</v>
          </cell>
          <cell r="B1210" t="str">
            <v>Somerset County</v>
          </cell>
          <cell r="C1210">
            <v>0.74591540000000001</v>
          </cell>
        </row>
        <row r="1211">
          <cell r="A1211">
            <v>23027</v>
          </cell>
          <cell r="B1211" t="str">
            <v>Waldo County</v>
          </cell>
          <cell r="C1211">
            <v>0.42523280000000002</v>
          </cell>
        </row>
        <row r="1212">
          <cell r="A1212">
            <v>23029</v>
          </cell>
          <cell r="B1212" t="str">
            <v>Washington County</v>
          </cell>
          <cell r="C1212">
            <v>-0.1353171</v>
          </cell>
        </row>
        <row r="1213">
          <cell r="A1213">
            <v>23031</v>
          </cell>
          <cell r="B1213" t="str">
            <v>York County</v>
          </cell>
          <cell r="C1213">
            <v>-0.56637820000000005</v>
          </cell>
        </row>
        <row r="1214">
          <cell r="A1214">
            <v>24000</v>
          </cell>
          <cell r="B1214" t="str">
            <v>Maryland</v>
          </cell>
          <cell r="C1214">
            <v>1.151089</v>
          </cell>
        </row>
        <row r="1215">
          <cell r="A1215">
            <v>24001</v>
          </cell>
          <cell r="B1215" t="str">
            <v>Allegany County</v>
          </cell>
          <cell r="C1215">
            <v>0.15138019999999999</v>
          </cell>
        </row>
        <row r="1216">
          <cell r="A1216">
            <v>24003</v>
          </cell>
          <cell r="B1216" t="str">
            <v>Anne Arundel County</v>
          </cell>
          <cell r="C1216">
            <v>0.56464559999999997</v>
          </cell>
        </row>
        <row r="1217">
          <cell r="A1217">
            <v>24005</v>
          </cell>
          <cell r="B1217" t="str">
            <v>Baltimore County</v>
          </cell>
          <cell r="C1217">
            <v>1.0183439999999999</v>
          </cell>
        </row>
        <row r="1218">
          <cell r="A1218">
            <v>24009</v>
          </cell>
          <cell r="B1218" t="str">
            <v>Calvert County</v>
          </cell>
          <cell r="C1218">
            <v>-0.79762849999999996</v>
          </cell>
        </row>
        <row r="1219">
          <cell r="A1219">
            <v>24011</v>
          </cell>
          <cell r="B1219" t="str">
            <v>Caroline County</v>
          </cell>
          <cell r="C1219">
            <v>-1.54491E-2</v>
          </cell>
        </row>
        <row r="1220">
          <cell r="A1220">
            <v>24013</v>
          </cell>
          <cell r="B1220" t="str">
            <v>Carroll County</v>
          </cell>
          <cell r="C1220">
            <v>-0.60015379999999996</v>
          </cell>
        </row>
        <row r="1221">
          <cell r="A1221">
            <v>24015</v>
          </cell>
          <cell r="B1221" t="str">
            <v>Cecil County</v>
          </cell>
          <cell r="C1221">
            <v>-0.9249986</v>
          </cell>
        </row>
        <row r="1222">
          <cell r="A1222">
            <v>24017</v>
          </cell>
          <cell r="B1222" t="str">
            <v>Charles County</v>
          </cell>
          <cell r="C1222">
            <v>-0.45563930000000002</v>
          </cell>
        </row>
        <row r="1223">
          <cell r="A1223">
            <v>24019</v>
          </cell>
          <cell r="B1223" t="str">
            <v>Dorchester County</v>
          </cell>
          <cell r="C1223">
            <v>0.1169062</v>
          </cell>
        </row>
        <row r="1224">
          <cell r="A1224">
            <v>24021</v>
          </cell>
          <cell r="B1224" t="str">
            <v>Frederick County</v>
          </cell>
          <cell r="C1224">
            <v>0.4981816</v>
          </cell>
        </row>
        <row r="1225">
          <cell r="A1225">
            <v>24023</v>
          </cell>
          <cell r="B1225" t="str">
            <v>Garrett County</v>
          </cell>
          <cell r="C1225">
            <v>-1.0717840000000001</v>
          </cell>
        </row>
        <row r="1226">
          <cell r="A1226">
            <v>24025</v>
          </cell>
          <cell r="B1226" t="str">
            <v>Harford County</v>
          </cell>
          <cell r="C1226">
            <v>-6.6727800000000004E-2</v>
          </cell>
        </row>
        <row r="1227">
          <cell r="A1227">
            <v>24027</v>
          </cell>
          <cell r="B1227" t="str">
            <v>Howard County</v>
          </cell>
          <cell r="C1227">
            <v>1.7997829999999999</v>
          </cell>
        </row>
        <row r="1228">
          <cell r="A1228">
            <v>24029</v>
          </cell>
          <cell r="B1228" t="str">
            <v>Kent County</v>
          </cell>
          <cell r="C1228">
            <v>-0.16697210000000001</v>
          </cell>
        </row>
        <row r="1229">
          <cell r="A1229">
            <v>24031</v>
          </cell>
          <cell r="B1229" t="str">
            <v>Montgomery County</v>
          </cell>
          <cell r="C1229">
            <v>1.6859139999999999</v>
          </cell>
        </row>
        <row r="1230">
          <cell r="A1230">
            <v>24033</v>
          </cell>
          <cell r="B1230" t="str">
            <v>Prince George's County</v>
          </cell>
          <cell r="C1230">
            <v>0.44554719999999998</v>
          </cell>
        </row>
        <row r="1231">
          <cell r="A1231">
            <v>24035</v>
          </cell>
          <cell r="B1231" t="str">
            <v>Queen Anne's County</v>
          </cell>
          <cell r="C1231">
            <v>-0.30453540000000001</v>
          </cell>
        </row>
        <row r="1232">
          <cell r="A1232">
            <v>24037</v>
          </cell>
          <cell r="B1232" t="str">
            <v>St. Mary's County</v>
          </cell>
          <cell r="C1232">
            <v>1.728477</v>
          </cell>
        </row>
        <row r="1233">
          <cell r="A1233">
            <v>24039</v>
          </cell>
          <cell r="B1233" t="str">
            <v>Somerset County</v>
          </cell>
          <cell r="C1233">
            <v>1.647726</v>
          </cell>
        </row>
        <row r="1234">
          <cell r="A1234">
            <v>24041</v>
          </cell>
          <cell r="B1234" t="str">
            <v>Talbot County</v>
          </cell>
          <cell r="C1234">
            <v>1.6266E-3</v>
          </cell>
        </row>
        <row r="1235">
          <cell r="A1235">
            <v>24043</v>
          </cell>
          <cell r="B1235" t="str">
            <v>Washington County</v>
          </cell>
          <cell r="C1235">
            <v>0.14694950000000001</v>
          </cell>
        </row>
        <row r="1236">
          <cell r="A1236">
            <v>24045</v>
          </cell>
          <cell r="B1236" t="str">
            <v>Wicomico County</v>
          </cell>
          <cell r="C1236">
            <v>0.75496160000000001</v>
          </cell>
        </row>
        <row r="1237">
          <cell r="A1237">
            <v>24047</v>
          </cell>
          <cell r="B1237" t="str">
            <v>Worcester County</v>
          </cell>
          <cell r="C1237">
            <v>-0.95246249999999999</v>
          </cell>
        </row>
        <row r="1238">
          <cell r="A1238">
            <v>24510</v>
          </cell>
          <cell r="B1238" t="str">
            <v>Baltimore city</v>
          </cell>
          <cell r="C1238">
            <v>1.3745419999999999</v>
          </cell>
        </row>
        <row r="1239">
          <cell r="A1239">
            <v>25000</v>
          </cell>
          <cell r="B1239" t="str">
            <v>Massachusetts</v>
          </cell>
          <cell r="C1239">
            <v>1.5220899999999999</v>
          </cell>
        </row>
        <row r="1240">
          <cell r="A1240">
            <v>25001</v>
          </cell>
          <cell r="B1240" t="str">
            <v>Barnstable County</v>
          </cell>
          <cell r="C1240">
            <v>-3.2123899999999997E-2</v>
          </cell>
        </row>
        <row r="1241">
          <cell r="A1241">
            <v>25003</v>
          </cell>
          <cell r="B1241" t="str">
            <v>Berkshire County</v>
          </cell>
          <cell r="C1241">
            <v>0.24912090000000001</v>
          </cell>
        </row>
        <row r="1242">
          <cell r="A1242">
            <v>25005</v>
          </cell>
          <cell r="B1242" t="str">
            <v>Bristol County</v>
          </cell>
          <cell r="C1242">
            <v>0.2368837</v>
          </cell>
        </row>
        <row r="1243">
          <cell r="A1243">
            <v>25007</v>
          </cell>
          <cell r="B1243" t="str">
            <v>Dukes County</v>
          </cell>
          <cell r="C1243">
            <v>-0.83026429999999996</v>
          </cell>
        </row>
        <row r="1244">
          <cell r="A1244">
            <v>25009</v>
          </cell>
          <cell r="B1244" t="str">
            <v>Essex County</v>
          </cell>
          <cell r="C1244">
            <v>1.0286729999999999</v>
          </cell>
        </row>
        <row r="1245">
          <cell r="A1245">
            <v>25011</v>
          </cell>
          <cell r="B1245" t="str">
            <v>Franklin County</v>
          </cell>
          <cell r="C1245">
            <v>0.43951020000000002</v>
          </cell>
        </row>
        <row r="1246">
          <cell r="A1246">
            <v>25013</v>
          </cell>
          <cell r="B1246" t="str">
            <v>Hampden County</v>
          </cell>
          <cell r="C1246">
            <v>0.6677244</v>
          </cell>
        </row>
        <row r="1247">
          <cell r="A1247">
            <v>25015</v>
          </cell>
          <cell r="B1247" t="str">
            <v>Hampshire County</v>
          </cell>
          <cell r="C1247">
            <v>1.1706369999999999</v>
          </cell>
        </row>
        <row r="1248">
          <cell r="A1248">
            <v>25017</v>
          </cell>
          <cell r="B1248" t="str">
            <v>Middlesex County</v>
          </cell>
          <cell r="C1248">
            <v>2.0022820000000001</v>
          </cell>
        </row>
        <row r="1249">
          <cell r="A1249">
            <v>25019</v>
          </cell>
          <cell r="B1249" t="str">
            <v>Nantucket County</v>
          </cell>
          <cell r="C1249">
            <v>-2.0870690000000001</v>
          </cell>
        </row>
        <row r="1250">
          <cell r="A1250">
            <v>25021</v>
          </cell>
          <cell r="B1250" t="str">
            <v>Norfolk County</v>
          </cell>
          <cell r="C1250">
            <v>1.2509520000000001</v>
          </cell>
        </row>
        <row r="1251">
          <cell r="A1251">
            <v>25023</v>
          </cell>
          <cell r="B1251" t="str">
            <v>Plymouth County</v>
          </cell>
          <cell r="C1251">
            <v>0.68640570000000001</v>
          </cell>
        </row>
        <row r="1252">
          <cell r="A1252">
            <v>25025</v>
          </cell>
          <cell r="B1252" t="str">
            <v>Suffolk County</v>
          </cell>
          <cell r="C1252">
            <v>2.1082909999999999</v>
          </cell>
        </row>
        <row r="1253">
          <cell r="A1253">
            <v>25027</v>
          </cell>
          <cell r="B1253" t="str">
            <v>Worcester County</v>
          </cell>
          <cell r="C1253">
            <v>1.077259</v>
          </cell>
        </row>
        <row r="1254">
          <cell r="A1254">
            <v>26000</v>
          </cell>
          <cell r="B1254" t="str">
            <v>Michigan</v>
          </cell>
          <cell r="C1254">
            <v>0.67795249999999996</v>
          </cell>
        </row>
        <row r="1255">
          <cell r="A1255">
            <v>26001</v>
          </cell>
          <cell r="B1255" t="str">
            <v>Alcona County</v>
          </cell>
          <cell r="C1255">
            <v>-1.7097899999999999</v>
          </cell>
        </row>
        <row r="1256">
          <cell r="A1256">
            <v>26003</v>
          </cell>
          <cell r="B1256" t="str">
            <v>Alger County</v>
          </cell>
          <cell r="C1256">
            <v>-2.247744</v>
          </cell>
        </row>
        <row r="1257">
          <cell r="A1257">
            <v>26005</v>
          </cell>
          <cell r="B1257" t="str">
            <v>Allegan County</v>
          </cell>
          <cell r="C1257">
            <v>-0.82082270000000002</v>
          </cell>
        </row>
        <row r="1258">
          <cell r="A1258">
            <v>26007</v>
          </cell>
          <cell r="B1258" t="str">
            <v>Alpena County</v>
          </cell>
          <cell r="C1258">
            <v>-0.58126610000000001</v>
          </cell>
        </row>
        <row r="1259">
          <cell r="A1259">
            <v>26009</v>
          </cell>
          <cell r="B1259" t="str">
            <v>Antrim County</v>
          </cell>
          <cell r="C1259">
            <v>-1.8481879999999999</v>
          </cell>
        </row>
        <row r="1260">
          <cell r="A1260">
            <v>26011</v>
          </cell>
          <cell r="B1260" t="str">
            <v>Arenac County</v>
          </cell>
          <cell r="C1260">
            <v>-1.5707439999999999</v>
          </cell>
        </row>
        <row r="1261">
          <cell r="A1261">
            <v>26013</v>
          </cell>
          <cell r="B1261" t="str">
            <v>Baraga County</v>
          </cell>
          <cell r="C1261">
            <v>0.27596920000000003</v>
          </cell>
        </row>
        <row r="1262">
          <cell r="A1262">
            <v>26015</v>
          </cell>
          <cell r="B1262" t="str">
            <v>Barry County</v>
          </cell>
          <cell r="C1262">
            <v>-1.3016890000000001</v>
          </cell>
        </row>
        <row r="1263">
          <cell r="A1263">
            <v>26017</v>
          </cell>
          <cell r="B1263" t="str">
            <v>Bay County</v>
          </cell>
          <cell r="C1263">
            <v>-1.19618E-2</v>
          </cell>
        </row>
        <row r="1264">
          <cell r="A1264">
            <v>26019</v>
          </cell>
          <cell r="B1264" t="str">
            <v>Benzie County</v>
          </cell>
          <cell r="C1264">
            <v>-1.9851449999999999</v>
          </cell>
        </row>
        <row r="1265">
          <cell r="A1265">
            <v>26021</v>
          </cell>
          <cell r="B1265" t="str">
            <v>Berrien County</v>
          </cell>
          <cell r="C1265">
            <v>-0.36745549999999999</v>
          </cell>
        </row>
        <row r="1266">
          <cell r="A1266">
            <v>26023</v>
          </cell>
          <cell r="B1266" t="str">
            <v>Branch County</v>
          </cell>
          <cell r="C1266">
            <v>-1.004588</v>
          </cell>
        </row>
        <row r="1267">
          <cell r="A1267">
            <v>26025</v>
          </cell>
          <cell r="B1267" t="str">
            <v>Calhoun County</v>
          </cell>
          <cell r="C1267">
            <v>0.28967900000000002</v>
          </cell>
        </row>
        <row r="1268">
          <cell r="A1268">
            <v>26027</v>
          </cell>
          <cell r="B1268" t="str">
            <v>Cass County</v>
          </cell>
          <cell r="C1268">
            <v>-1.382126</v>
          </cell>
        </row>
        <row r="1269">
          <cell r="A1269">
            <v>26029</v>
          </cell>
          <cell r="B1269" t="str">
            <v>Charlevoix County</v>
          </cell>
          <cell r="C1269">
            <v>-0.2421084</v>
          </cell>
        </row>
        <row r="1270">
          <cell r="A1270">
            <v>26031</v>
          </cell>
          <cell r="B1270" t="str">
            <v>Cheboygan County</v>
          </cell>
          <cell r="C1270">
            <v>-1.260024</v>
          </cell>
        </row>
        <row r="1271">
          <cell r="A1271">
            <v>26033</v>
          </cell>
          <cell r="B1271" t="str">
            <v>Chippewa County</v>
          </cell>
          <cell r="C1271">
            <v>0.36482949999999997</v>
          </cell>
        </row>
        <row r="1272">
          <cell r="A1272">
            <v>26035</v>
          </cell>
          <cell r="B1272" t="str">
            <v>Clare County</v>
          </cell>
          <cell r="C1272">
            <v>0.1731502</v>
          </cell>
        </row>
        <row r="1273">
          <cell r="A1273">
            <v>26037</v>
          </cell>
          <cell r="B1273" t="str">
            <v>Clinton County</v>
          </cell>
          <cell r="C1273">
            <v>-0.81631450000000005</v>
          </cell>
        </row>
        <row r="1274">
          <cell r="A1274">
            <v>26039</v>
          </cell>
          <cell r="B1274" t="str">
            <v>Crawford County</v>
          </cell>
          <cell r="C1274">
            <v>-0.87771940000000004</v>
          </cell>
        </row>
        <row r="1275">
          <cell r="A1275">
            <v>26041</v>
          </cell>
          <cell r="B1275" t="str">
            <v>Delta County</v>
          </cell>
          <cell r="C1275">
            <v>0.43282500000000002</v>
          </cell>
        </row>
        <row r="1276">
          <cell r="A1276">
            <v>26043</v>
          </cell>
          <cell r="B1276" t="str">
            <v>Dickinson County</v>
          </cell>
          <cell r="C1276">
            <v>6.2712500000000004E-2</v>
          </cell>
        </row>
        <row r="1277">
          <cell r="A1277">
            <v>26045</v>
          </cell>
          <cell r="B1277" t="str">
            <v>Eaton County</v>
          </cell>
          <cell r="C1277">
            <v>0.64346389999999998</v>
          </cell>
        </row>
        <row r="1278">
          <cell r="A1278">
            <v>26047</v>
          </cell>
          <cell r="B1278" t="str">
            <v>Emmet County</v>
          </cell>
          <cell r="C1278">
            <v>-0.95458810000000005</v>
          </cell>
        </row>
        <row r="1279">
          <cell r="A1279">
            <v>26049</v>
          </cell>
          <cell r="B1279" t="str">
            <v>Genesee County</v>
          </cell>
          <cell r="C1279">
            <v>0.61383080000000001</v>
          </cell>
        </row>
        <row r="1280">
          <cell r="A1280">
            <v>26051</v>
          </cell>
          <cell r="B1280" t="str">
            <v>Gladwin County</v>
          </cell>
          <cell r="C1280">
            <v>-0.7392436</v>
          </cell>
        </row>
        <row r="1281">
          <cell r="A1281">
            <v>26053</v>
          </cell>
          <cell r="B1281" t="str">
            <v>Gogebic County</v>
          </cell>
          <cell r="C1281">
            <v>-0.47153669999999998</v>
          </cell>
        </row>
        <row r="1282">
          <cell r="A1282">
            <v>26055</v>
          </cell>
          <cell r="B1282" t="str">
            <v>Grand Traverse County</v>
          </cell>
          <cell r="C1282">
            <v>0.4066939</v>
          </cell>
        </row>
        <row r="1283">
          <cell r="A1283">
            <v>26057</v>
          </cell>
          <cell r="B1283" t="str">
            <v>Gratiot County</v>
          </cell>
          <cell r="C1283">
            <v>-0.2324571</v>
          </cell>
        </row>
        <row r="1284">
          <cell r="A1284">
            <v>26059</v>
          </cell>
          <cell r="B1284" t="str">
            <v>Hillsdale County</v>
          </cell>
          <cell r="C1284">
            <v>0.24425620000000001</v>
          </cell>
        </row>
        <row r="1285">
          <cell r="A1285">
            <v>26061</v>
          </cell>
          <cell r="B1285" t="str">
            <v>Houghton County</v>
          </cell>
          <cell r="C1285">
            <v>-0.1699668</v>
          </cell>
        </row>
        <row r="1286">
          <cell r="A1286">
            <v>26063</v>
          </cell>
          <cell r="B1286" t="str">
            <v>Huron County</v>
          </cell>
          <cell r="C1286">
            <v>1.7685200000000002E-2</v>
          </cell>
        </row>
        <row r="1287">
          <cell r="A1287">
            <v>26065</v>
          </cell>
          <cell r="B1287" t="str">
            <v>Ingham County</v>
          </cell>
          <cell r="C1287">
            <v>1.152215</v>
          </cell>
        </row>
        <row r="1288">
          <cell r="A1288">
            <v>26067</v>
          </cell>
          <cell r="B1288" t="str">
            <v>Ionia County</v>
          </cell>
          <cell r="C1288">
            <v>-1.7540009999999999</v>
          </cell>
        </row>
        <row r="1289">
          <cell r="A1289">
            <v>26069</v>
          </cell>
          <cell r="B1289" t="str">
            <v>Iosco County</v>
          </cell>
          <cell r="C1289">
            <v>-1.1146579999999999</v>
          </cell>
        </row>
        <row r="1290">
          <cell r="A1290">
            <v>26071</v>
          </cell>
          <cell r="B1290" t="str">
            <v>Iron County</v>
          </cell>
          <cell r="C1290">
            <v>-0.9336991</v>
          </cell>
        </row>
        <row r="1291">
          <cell r="A1291">
            <v>26073</v>
          </cell>
          <cell r="B1291" t="str">
            <v>Isabella County</v>
          </cell>
          <cell r="C1291">
            <v>-0.72337359999999995</v>
          </cell>
        </row>
        <row r="1292">
          <cell r="A1292">
            <v>26075</v>
          </cell>
          <cell r="B1292" t="str">
            <v>Jackson County</v>
          </cell>
          <cell r="C1292">
            <v>0.17108599999999999</v>
          </cell>
        </row>
        <row r="1293">
          <cell r="A1293">
            <v>26077</v>
          </cell>
          <cell r="B1293" t="str">
            <v>Kalamazoo County</v>
          </cell>
          <cell r="C1293">
            <v>0.49068689999999998</v>
          </cell>
        </row>
        <row r="1294">
          <cell r="A1294">
            <v>26079</v>
          </cell>
          <cell r="B1294" t="str">
            <v>Kalkaska County</v>
          </cell>
          <cell r="C1294">
            <v>-1.7676909999999999</v>
          </cell>
        </row>
        <row r="1295">
          <cell r="A1295">
            <v>26081</v>
          </cell>
          <cell r="B1295" t="str">
            <v>Kent County</v>
          </cell>
          <cell r="C1295">
            <v>0.39159739999999998</v>
          </cell>
        </row>
        <row r="1296">
          <cell r="A1296">
            <v>26083</v>
          </cell>
          <cell r="B1296" t="str">
            <v>Keweenaw County</v>
          </cell>
          <cell r="C1296">
            <v>-2.1745730000000001</v>
          </cell>
        </row>
        <row r="1297">
          <cell r="A1297">
            <v>26085</v>
          </cell>
          <cell r="B1297" t="str">
            <v>Lake County</v>
          </cell>
          <cell r="C1297">
            <v>-2.3413029999999999</v>
          </cell>
        </row>
        <row r="1298">
          <cell r="A1298">
            <v>26087</v>
          </cell>
          <cell r="B1298" t="str">
            <v>Lapeer County</v>
          </cell>
          <cell r="C1298">
            <v>-1.1996009999999999</v>
          </cell>
        </row>
        <row r="1299">
          <cell r="A1299">
            <v>26089</v>
          </cell>
          <cell r="B1299" t="str">
            <v>Leelanau County</v>
          </cell>
          <cell r="C1299">
            <v>-1.027253</v>
          </cell>
        </row>
        <row r="1300">
          <cell r="A1300">
            <v>26091</v>
          </cell>
          <cell r="B1300" t="str">
            <v>Lenawee County</v>
          </cell>
          <cell r="C1300">
            <v>1.8150900000000001E-2</v>
          </cell>
        </row>
        <row r="1301">
          <cell r="A1301">
            <v>26093</v>
          </cell>
          <cell r="B1301" t="str">
            <v>Livingston County</v>
          </cell>
          <cell r="C1301">
            <v>0.2138439</v>
          </cell>
        </row>
        <row r="1302">
          <cell r="A1302">
            <v>26095</v>
          </cell>
          <cell r="B1302" t="str">
            <v>Luce County</v>
          </cell>
          <cell r="C1302">
            <v>-2.0730810000000002</v>
          </cell>
        </row>
        <row r="1303">
          <cell r="A1303">
            <v>26097</v>
          </cell>
          <cell r="B1303" t="str">
            <v>Mackinac County</v>
          </cell>
          <cell r="C1303">
            <v>-1.7014020000000001</v>
          </cell>
        </row>
        <row r="1304">
          <cell r="A1304">
            <v>26099</v>
          </cell>
          <cell r="B1304" t="str">
            <v>Macomb County</v>
          </cell>
          <cell r="C1304">
            <v>0.41069420000000001</v>
          </cell>
        </row>
        <row r="1305">
          <cell r="A1305">
            <v>26101</v>
          </cell>
          <cell r="B1305" t="str">
            <v>Manistee County</v>
          </cell>
          <cell r="C1305">
            <v>-1.4656899999999999</v>
          </cell>
        </row>
        <row r="1306">
          <cell r="A1306">
            <v>26103</v>
          </cell>
          <cell r="B1306" t="str">
            <v>Marquette County</v>
          </cell>
          <cell r="C1306">
            <v>-0.1710921</v>
          </cell>
        </row>
        <row r="1307">
          <cell r="A1307">
            <v>26105</v>
          </cell>
          <cell r="B1307" t="str">
            <v>Mason County</v>
          </cell>
          <cell r="C1307">
            <v>-0.76380400000000004</v>
          </cell>
        </row>
        <row r="1308">
          <cell r="A1308">
            <v>26107</v>
          </cell>
          <cell r="B1308" t="str">
            <v>Mecosta County</v>
          </cell>
          <cell r="C1308">
            <v>-0.76449389999999995</v>
          </cell>
        </row>
        <row r="1309">
          <cell r="A1309">
            <v>26109</v>
          </cell>
          <cell r="B1309" t="str">
            <v>Menominee County</v>
          </cell>
          <cell r="C1309">
            <v>-0.22646630000000001</v>
          </cell>
        </row>
        <row r="1310">
          <cell r="A1310">
            <v>26111</v>
          </cell>
          <cell r="B1310" t="str">
            <v>Midland County</v>
          </cell>
          <cell r="C1310">
            <v>0.88895869999999999</v>
          </cell>
        </row>
        <row r="1311">
          <cell r="A1311">
            <v>26113</v>
          </cell>
          <cell r="B1311" t="str">
            <v>Missaukee County</v>
          </cell>
          <cell r="C1311">
            <v>-0.70218130000000001</v>
          </cell>
        </row>
        <row r="1312">
          <cell r="A1312">
            <v>26115</v>
          </cell>
          <cell r="B1312" t="str">
            <v>Monroe County</v>
          </cell>
          <cell r="C1312">
            <v>-0.69879080000000005</v>
          </cell>
        </row>
        <row r="1313">
          <cell r="A1313">
            <v>26117</v>
          </cell>
          <cell r="B1313" t="str">
            <v>Montcalm County</v>
          </cell>
          <cell r="C1313">
            <v>-1.3299609999999999</v>
          </cell>
        </row>
        <row r="1314">
          <cell r="A1314">
            <v>26119</v>
          </cell>
          <cell r="B1314" t="str">
            <v>Montmorency County</v>
          </cell>
          <cell r="C1314">
            <v>-2.8728750000000001</v>
          </cell>
        </row>
        <row r="1315">
          <cell r="A1315">
            <v>26121</v>
          </cell>
          <cell r="B1315" t="str">
            <v>Muskegon County</v>
          </cell>
          <cell r="C1315">
            <v>-0.5949759</v>
          </cell>
        </row>
        <row r="1316">
          <cell r="A1316">
            <v>26123</v>
          </cell>
          <cell r="B1316" t="str">
            <v>Newaygo County</v>
          </cell>
          <cell r="C1316">
            <v>-0.72604179999999996</v>
          </cell>
        </row>
        <row r="1317">
          <cell r="A1317">
            <v>26125</v>
          </cell>
          <cell r="B1317" t="str">
            <v>Oakland County</v>
          </cell>
          <cell r="C1317">
            <v>1.4185680000000001</v>
          </cell>
        </row>
        <row r="1318">
          <cell r="A1318">
            <v>26127</v>
          </cell>
          <cell r="B1318" t="str">
            <v>Oceana County</v>
          </cell>
          <cell r="C1318">
            <v>-0.19777320000000001</v>
          </cell>
        </row>
        <row r="1319">
          <cell r="A1319">
            <v>26129</v>
          </cell>
          <cell r="B1319" t="str">
            <v>Ogemaw County</v>
          </cell>
          <cell r="C1319">
            <v>-1.0621449999999999</v>
          </cell>
        </row>
        <row r="1320">
          <cell r="A1320">
            <v>26131</v>
          </cell>
          <cell r="B1320" t="str">
            <v>Ontonagon County</v>
          </cell>
          <cell r="C1320">
            <v>0.34498899999999999</v>
          </cell>
        </row>
        <row r="1321">
          <cell r="A1321">
            <v>26133</v>
          </cell>
          <cell r="B1321" t="str">
            <v>Osceola County</v>
          </cell>
          <cell r="C1321">
            <v>5.5699E-3</v>
          </cell>
        </row>
        <row r="1322">
          <cell r="A1322">
            <v>26135</v>
          </cell>
          <cell r="B1322" t="str">
            <v>Oscoda County</v>
          </cell>
          <cell r="C1322">
            <v>-1.619532</v>
          </cell>
        </row>
        <row r="1323">
          <cell r="A1323">
            <v>26137</v>
          </cell>
          <cell r="B1323" t="str">
            <v>Otsego County</v>
          </cell>
          <cell r="C1323">
            <v>-0.70269700000000002</v>
          </cell>
        </row>
        <row r="1324">
          <cell r="A1324">
            <v>26139</v>
          </cell>
          <cell r="B1324" t="str">
            <v>Ottawa County</v>
          </cell>
          <cell r="C1324">
            <v>-0.90850889999999995</v>
          </cell>
        </row>
        <row r="1325">
          <cell r="A1325">
            <v>26141</v>
          </cell>
          <cell r="B1325" t="str">
            <v>Presque Isle County</v>
          </cell>
          <cell r="C1325">
            <v>-0.75000639999999996</v>
          </cell>
        </row>
        <row r="1326">
          <cell r="A1326">
            <v>26143</v>
          </cell>
          <cell r="B1326" t="str">
            <v>Roscommon County</v>
          </cell>
          <cell r="C1326">
            <v>-1.2059089999999999</v>
          </cell>
        </row>
        <row r="1327">
          <cell r="A1327">
            <v>26145</v>
          </cell>
          <cell r="B1327" t="str">
            <v>Saginaw County</v>
          </cell>
          <cell r="C1327">
            <v>-0.24608440000000001</v>
          </cell>
        </row>
        <row r="1328">
          <cell r="A1328">
            <v>26147</v>
          </cell>
          <cell r="B1328" t="str">
            <v>St. Clair County</v>
          </cell>
          <cell r="C1328">
            <v>-0.42294929999999997</v>
          </cell>
        </row>
        <row r="1329">
          <cell r="A1329">
            <v>26149</v>
          </cell>
          <cell r="B1329" t="str">
            <v>St. Joseph County</v>
          </cell>
          <cell r="C1329">
            <v>-0.51672280000000004</v>
          </cell>
        </row>
        <row r="1330">
          <cell r="A1330">
            <v>26151</v>
          </cell>
          <cell r="B1330" t="str">
            <v>Sanilac County</v>
          </cell>
          <cell r="C1330">
            <v>-0.3888086</v>
          </cell>
        </row>
        <row r="1331">
          <cell r="A1331">
            <v>26153</v>
          </cell>
          <cell r="B1331" t="str">
            <v>Schoolcraft County</v>
          </cell>
          <cell r="C1331">
            <v>-1.445209</v>
          </cell>
        </row>
        <row r="1332">
          <cell r="A1332">
            <v>26155</v>
          </cell>
          <cell r="B1332" t="str">
            <v>Shiawassee County</v>
          </cell>
          <cell r="C1332">
            <v>-0.45708490000000002</v>
          </cell>
        </row>
        <row r="1333">
          <cell r="A1333">
            <v>26157</v>
          </cell>
          <cell r="B1333" t="str">
            <v>Tuscola County</v>
          </cell>
          <cell r="C1333">
            <v>-1.1590860000000001</v>
          </cell>
        </row>
        <row r="1334">
          <cell r="A1334">
            <v>26159</v>
          </cell>
          <cell r="B1334" t="str">
            <v>Van Buren County</v>
          </cell>
          <cell r="C1334">
            <v>-0.68162909999999999</v>
          </cell>
        </row>
        <row r="1335">
          <cell r="A1335">
            <v>26161</v>
          </cell>
          <cell r="B1335" t="str">
            <v>Washtenaw County</v>
          </cell>
          <cell r="C1335">
            <v>1.264392</v>
          </cell>
        </row>
        <row r="1336">
          <cell r="A1336">
            <v>26163</v>
          </cell>
          <cell r="B1336" t="str">
            <v>Wayne County</v>
          </cell>
          <cell r="C1336">
            <v>0.84541129999999998</v>
          </cell>
        </row>
        <row r="1337">
          <cell r="A1337">
            <v>26165</v>
          </cell>
          <cell r="B1337" t="str">
            <v>Wexford County</v>
          </cell>
          <cell r="C1337">
            <v>-0.1024904</v>
          </cell>
        </row>
        <row r="1338">
          <cell r="A1338">
            <v>27000</v>
          </cell>
          <cell r="B1338" t="str">
            <v>Minnesota</v>
          </cell>
          <cell r="C1338">
            <v>1.1519870000000001</v>
          </cell>
        </row>
        <row r="1339">
          <cell r="A1339">
            <v>27001</v>
          </cell>
          <cell r="B1339" t="str">
            <v>Aitkin County</v>
          </cell>
          <cell r="C1339">
            <v>0.20285039999999999</v>
          </cell>
        </row>
        <row r="1340">
          <cell r="A1340">
            <v>27003</v>
          </cell>
          <cell r="B1340" t="str">
            <v>Anoka County</v>
          </cell>
          <cell r="C1340">
            <v>0.57015459999999996</v>
          </cell>
        </row>
        <row r="1341">
          <cell r="A1341">
            <v>27005</v>
          </cell>
          <cell r="B1341" t="str">
            <v>Becker County</v>
          </cell>
          <cell r="C1341">
            <v>-0.43437949999999997</v>
          </cell>
        </row>
        <row r="1342">
          <cell r="A1342">
            <v>27007</v>
          </cell>
          <cell r="B1342" t="str">
            <v>Beltrami County</v>
          </cell>
          <cell r="C1342">
            <v>0.51726260000000002</v>
          </cell>
        </row>
        <row r="1343">
          <cell r="A1343">
            <v>27009</v>
          </cell>
          <cell r="B1343" t="str">
            <v>Benton County</v>
          </cell>
          <cell r="C1343">
            <v>-5.7098599999999999E-2</v>
          </cell>
        </row>
        <row r="1344">
          <cell r="A1344">
            <v>27011</v>
          </cell>
          <cell r="B1344" t="str">
            <v>Big Stone County</v>
          </cell>
          <cell r="C1344">
            <v>-0.92047760000000001</v>
          </cell>
        </row>
        <row r="1345">
          <cell r="A1345">
            <v>27013</v>
          </cell>
          <cell r="B1345" t="str">
            <v>Blue Earth County</v>
          </cell>
          <cell r="C1345">
            <v>-0.15593850000000001</v>
          </cell>
        </row>
        <row r="1346">
          <cell r="A1346">
            <v>27015</v>
          </cell>
          <cell r="B1346" t="str">
            <v>Brown County</v>
          </cell>
          <cell r="C1346">
            <v>-0.50342220000000004</v>
          </cell>
        </row>
        <row r="1347">
          <cell r="A1347">
            <v>27017</v>
          </cell>
          <cell r="B1347" t="str">
            <v>Carlton County</v>
          </cell>
          <cell r="C1347">
            <v>0.65181619999999996</v>
          </cell>
        </row>
        <row r="1348">
          <cell r="A1348">
            <v>27019</v>
          </cell>
          <cell r="B1348" t="str">
            <v>Carver County</v>
          </cell>
          <cell r="C1348">
            <v>-0.4154274</v>
          </cell>
        </row>
        <row r="1349">
          <cell r="A1349">
            <v>27021</v>
          </cell>
          <cell r="B1349" t="str">
            <v>Cass County</v>
          </cell>
          <cell r="C1349">
            <v>-0.22802500000000001</v>
          </cell>
        </row>
        <row r="1350">
          <cell r="A1350">
            <v>27023</v>
          </cell>
          <cell r="B1350" t="str">
            <v>Chippewa County</v>
          </cell>
          <cell r="C1350">
            <v>1.9209899999999999E-2</v>
          </cell>
        </row>
        <row r="1351">
          <cell r="A1351">
            <v>27025</v>
          </cell>
          <cell r="B1351" t="str">
            <v>Chisago County</v>
          </cell>
          <cell r="C1351">
            <v>0.29473700000000003</v>
          </cell>
        </row>
        <row r="1352">
          <cell r="A1352">
            <v>27027</v>
          </cell>
          <cell r="B1352" t="str">
            <v>Clay County</v>
          </cell>
          <cell r="C1352">
            <v>0.35770990000000003</v>
          </cell>
        </row>
        <row r="1353">
          <cell r="A1353">
            <v>27029</v>
          </cell>
          <cell r="B1353" t="str">
            <v>Clearwater County</v>
          </cell>
          <cell r="C1353">
            <v>-2.3215319999999999</v>
          </cell>
        </row>
        <row r="1354">
          <cell r="A1354">
            <v>27031</v>
          </cell>
          <cell r="B1354" t="str">
            <v>Cook County</v>
          </cell>
          <cell r="C1354">
            <v>-1.097175</v>
          </cell>
        </row>
        <row r="1355">
          <cell r="A1355">
            <v>27033</v>
          </cell>
          <cell r="B1355" t="str">
            <v>Cottonwood County</v>
          </cell>
          <cell r="C1355">
            <v>-0.99444299999999997</v>
          </cell>
        </row>
        <row r="1356">
          <cell r="A1356">
            <v>27035</v>
          </cell>
          <cell r="B1356" t="str">
            <v>Crow Wing County</v>
          </cell>
          <cell r="C1356">
            <v>-2.66582E-2</v>
          </cell>
        </row>
        <row r="1357">
          <cell r="A1357">
            <v>27037</v>
          </cell>
          <cell r="B1357" t="str">
            <v>Dakota County</v>
          </cell>
          <cell r="C1357">
            <v>1.0537270000000001</v>
          </cell>
        </row>
        <row r="1358">
          <cell r="A1358">
            <v>27039</v>
          </cell>
          <cell r="B1358" t="str">
            <v>Dodge County</v>
          </cell>
          <cell r="C1358">
            <v>-1.676013</v>
          </cell>
        </row>
        <row r="1359">
          <cell r="A1359">
            <v>27041</v>
          </cell>
          <cell r="B1359" t="str">
            <v>Douglas County</v>
          </cell>
          <cell r="C1359">
            <v>-0.18023259999999999</v>
          </cell>
        </row>
        <row r="1360">
          <cell r="A1360">
            <v>27043</v>
          </cell>
          <cell r="B1360" t="str">
            <v>Faribault County</v>
          </cell>
          <cell r="C1360">
            <v>0.4673022</v>
          </cell>
        </row>
        <row r="1361">
          <cell r="A1361">
            <v>27045</v>
          </cell>
          <cell r="B1361" t="str">
            <v>Fillmore County</v>
          </cell>
          <cell r="C1361">
            <v>-0.40743190000000001</v>
          </cell>
        </row>
        <row r="1362">
          <cell r="A1362">
            <v>27047</v>
          </cell>
          <cell r="B1362" t="str">
            <v>Freeborn County</v>
          </cell>
          <cell r="C1362">
            <v>-0.14891779999999999</v>
          </cell>
        </row>
        <row r="1363">
          <cell r="A1363">
            <v>27049</v>
          </cell>
          <cell r="B1363" t="str">
            <v>Goodhue County</v>
          </cell>
          <cell r="C1363">
            <v>-0.2028343</v>
          </cell>
        </row>
        <row r="1364">
          <cell r="A1364">
            <v>27051</v>
          </cell>
          <cell r="B1364" t="str">
            <v>Grant County</v>
          </cell>
          <cell r="C1364">
            <v>1.122633</v>
          </cell>
        </row>
        <row r="1365">
          <cell r="A1365">
            <v>27053</v>
          </cell>
          <cell r="B1365" t="str">
            <v>Hennepin County</v>
          </cell>
          <cell r="C1365">
            <v>1.734048</v>
          </cell>
        </row>
        <row r="1366">
          <cell r="A1366">
            <v>27055</v>
          </cell>
          <cell r="B1366" t="str">
            <v>Houston County</v>
          </cell>
          <cell r="C1366">
            <v>-1.375594</v>
          </cell>
        </row>
        <row r="1367">
          <cell r="A1367">
            <v>27057</v>
          </cell>
          <cell r="B1367" t="str">
            <v>Hubbard County</v>
          </cell>
          <cell r="C1367">
            <v>-1.2203580000000001</v>
          </cell>
        </row>
        <row r="1368">
          <cell r="A1368">
            <v>27059</v>
          </cell>
          <cell r="B1368" t="str">
            <v>Isanti County</v>
          </cell>
          <cell r="C1368">
            <v>0.81177809999999995</v>
          </cell>
        </row>
        <row r="1369">
          <cell r="A1369">
            <v>27061</v>
          </cell>
          <cell r="B1369" t="str">
            <v>Itasca County</v>
          </cell>
          <cell r="C1369">
            <v>0.49565870000000001</v>
          </cell>
        </row>
        <row r="1370">
          <cell r="A1370">
            <v>27063</v>
          </cell>
          <cell r="B1370" t="str">
            <v>Jackson County</v>
          </cell>
          <cell r="C1370">
            <v>-1.883505</v>
          </cell>
        </row>
        <row r="1371">
          <cell r="A1371">
            <v>27065</v>
          </cell>
          <cell r="B1371" t="str">
            <v>Kanabec County</v>
          </cell>
          <cell r="C1371">
            <v>-1.529652</v>
          </cell>
        </row>
        <row r="1372">
          <cell r="A1372">
            <v>27067</v>
          </cell>
          <cell r="B1372" t="str">
            <v>Kandiyohi County</v>
          </cell>
          <cell r="C1372">
            <v>1.0195050000000001</v>
          </cell>
        </row>
        <row r="1373">
          <cell r="A1373">
            <v>27069</v>
          </cell>
          <cell r="B1373" t="str">
            <v>Kittson County</v>
          </cell>
          <cell r="C1373">
            <v>0.89520960000000005</v>
          </cell>
        </row>
        <row r="1374">
          <cell r="A1374">
            <v>27071</v>
          </cell>
          <cell r="B1374" t="str">
            <v>Koochiching County</v>
          </cell>
          <cell r="C1374">
            <v>0.28270889999999999</v>
          </cell>
        </row>
        <row r="1375">
          <cell r="A1375">
            <v>27073</v>
          </cell>
          <cell r="B1375" t="str">
            <v>Lac qui Parle County</v>
          </cell>
          <cell r="C1375">
            <v>-1.570076</v>
          </cell>
        </row>
        <row r="1376">
          <cell r="A1376">
            <v>27075</v>
          </cell>
          <cell r="B1376" t="str">
            <v>Lake County</v>
          </cell>
          <cell r="C1376">
            <v>-0.1058511</v>
          </cell>
        </row>
        <row r="1377">
          <cell r="A1377">
            <v>27077</v>
          </cell>
          <cell r="B1377" t="str">
            <v>Lake of the Woods County</v>
          </cell>
          <cell r="C1377">
            <v>-2.0413649999999999</v>
          </cell>
        </row>
        <row r="1378">
          <cell r="A1378">
            <v>27079</v>
          </cell>
          <cell r="B1378" t="str">
            <v>Le Sueur County</v>
          </cell>
          <cell r="C1378">
            <v>0.17350489999999999</v>
          </cell>
        </row>
        <row r="1379">
          <cell r="A1379">
            <v>27081</v>
          </cell>
          <cell r="B1379" t="str">
            <v>Lincoln County</v>
          </cell>
          <cell r="C1379">
            <v>0.42638330000000002</v>
          </cell>
        </row>
        <row r="1380">
          <cell r="A1380">
            <v>27083</v>
          </cell>
          <cell r="B1380" t="str">
            <v>Lyon County</v>
          </cell>
          <cell r="C1380">
            <v>0.1788228</v>
          </cell>
        </row>
        <row r="1381">
          <cell r="A1381">
            <v>27085</v>
          </cell>
          <cell r="B1381" t="str">
            <v>McLeod County</v>
          </cell>
          <cell r="C1381">
            <v>0.22614429999999999</v>
          </cell>
        </row>
        <row r="1382">
          <cell r="A1382">
            <v>27087</v>
          </cell>
          <cell r="B1382" t="str">
            <v>Mahnomen County</v>
          </cell>
          <cell r="C1382">
            <v>-2.0462180000000001</v>
          </cell>
        </row>
        <row r="1383">
          <cell r="A1383">
            <v>27089</v>
          </cell>
          <cell r="B1383" t="str">
            <v>Marshall County</v>
          </cell>
          <cell r="C1383">
            <v>1.265252</v>
          </cell>
        </row>
        <row r="1384">
          <cell r="A1384">
            <v>27091</v>
          </cell>
          <cell r="B1384" t="str">
            <v>Martin County</v>
          </cell>
          <cell r="C1384">
            <v>1.035906</v>
          </cell>
        </row>
        <row r="1385">
          <cell r="A1385">
            <v>27093</v>
          </cell>
          <cell r="B1385" t="str">
            <v>Meeker County</v>
          </cell>
          <cell r="C1385">
            <v>-0.84344770000000002</v>
          </cell>
        </row>
        <row r="1386">
          <cell r="A1386">
            <v>27095</v>
          </cell>
          <cell r="B1386" t="str">
            <v>Mille Lacs County</v>
          </cell>
          <cell r="C1386">
            <v>0.69524509999999995</v>
          </cell>
        </row>
        <row r="1387">
          <cell r="A1387">
            <v>27097</v>
          </cell>
          <cell r="B1387" t="str">
            <v>Morrison County</v>
          </cell>
          <cell r="C1387">
            <v>-0.72808050000000002</v>
          </cell>
        </row>
        <row r="1388">
          <cell r="A1388">
            <v>27099</v>
          </cell>
          <cell r="B1388" t="str">
            <v>Mower County</v>
          </cell>
          <cell r="C1388">
            <v>-0.57765040000000001</v>
          </cell>
        </row>
        <row r="1389">
          <cell r="A1389">
            <v>27101</v>
          </cell>
          <cell r="B1389" t="str">
            <v>Murray County</v>
          </cell>
          <cell r="C1389">
            <v>-1.820792</v>
          </cell>
        </row>
        <row r="1390">
          <cell r="A1390">
            <v>27103</v>
          </cell>
          <cell r="B1390" t="str">
            <v>Nicollet County</v>
          </cell>
          <cell r="C1390">
            <v>0.26793430000000001</v>
          </cell>
        </row>
        <row r="1391">
          <cell r="A1391">
            <v>27105</v>
          </cell>
          <cell r="B1391" t="str">
            <v>Nobles County</v>
          </cell>
          <cell r="C1391">
            <v>0.42316860000000001</v>
          </cell>
        </row>
        <row r="1392">
          <cell r="A1392">
            <v>27107</v>
          </cell>
          <cell r="B1392" t="str">
            <v>Norman County</v>
          </cell>
          <cell r="C1392">
            <v>1.673025</v>
          </cell>
        </row>
        <row r="1393">
          <cell r="A1393">
            <v>27109</v>
          </cell>
          <cell r="B1393" t="str">
            <v>Olmsted County</v>
          </cell>
          <cell r="C1393">
            <v>0.17064879999999999</v>
          </cell>
        </row>
        <row r="1394">
          <cell r="A1394">
            <v>27111</v>
          </cell>
          <cell r="B1394" t="str">
            <v>Otter Tail County</v>
          </cell>
          <cell r="C1394">
            <v>-0.45140780000000003</v>
          </cell>
        </row>
        <row r="1395">
          <cell r="A1395">
            <v>27113</v>
          </cell>
          <cell r="B1395" t="str">
            <v>Pennington County</v>
          </cell>
          <cell r="C1395">
            <v>-0.27712809999999999</v>
          </cell>
        </row>
        <row r="1396">
          <cell r="A1396">
            <v>27115</v>
          </cell>
          <cell r="B1396" t="str">
            <v>Pine County</v>
          </cell>
          <cell r="C1396">
            <v>-0.31898670000000001</v>
          </cell>
        </row>
        <row r="1397">
          <cell r="A1397">
            <v>27117</v>
          </cell>
          <cell r="B1397" t="str">
            <v>Pipestone County</v>
          </cell>
          <cell r="C1397">
            <v>-0.33082610000000001</v>
          </cell>
        </row>
        <row r="1398">
          <cell r="A1398">
            <v>27119</v>
          </cell>
          <cell r="B1398" t="str">
            <v>Polk County</v>
          </cell>
          <cell r="C1398">
            <v>-0.38986789999999999</v>
          </cell>
        </row>
        <row r="1399">
          <cell r="A1399">
            <v>27121</v>
          </cell>
          <cell r="B1399" t="str">
            <v>Pope County</v>
          </cell>
          <cell r="C1399">
            <v>-0.99633340000000004</v>
          </cell>
        </row>
        <row r="1400">
          <cell r="A1400">
            <v>27123</v>
          </cell>
          <cell r="B1400" t="str">
            <v>Ramsey County</v>
          </cell>
          <cell r="C1400">
            <v>1.6143110000000001</v>
          </cell>
        </row>
        <row r="1401">
          <cell r="A1401">
            <v>27125</v>
          </cell>
          <cell r="B1401" t="str">
            <v>Red Lake County</v>
          </cell>
          <cell r="C1401">
            <v>1.649014</v>
          </cell>
        </row>
        <row r="1402">
          <cell r="A1402">
            <v>27127</v>
          </cell>
          <cell r="B1402" t="str">
            <v>Redwood County</v>
          </cell>
          <cell r="C1402">
            <v>-1.383424</v>
          </cell>
        </row>
        <row r="1403">
          <cell r="A1403">
            <v>27129</v>
          </cell>
          <cell r="B1403" t="str">
            <v>Renville County</v>
          </cell>
          <cell r="C1403">
            <v>-0.6976542</v>
          </cell>
        </row>
        <row r="1404">
          <cell r="A1404">
            <v>27131</v>
          </cell>
          <cell r="B1404" t="str">
            <v>Rice County</v>
          </cell>
          <cell r="C1404">
            <v>-0.41401700000000002</v>
          </cell>
        </row>
      </sheetData>
      <sheetData sheetId="13">
        <row r="1">
          <cell r="B1" t="str">
            <v>Abstract Strategy Games</v>
          </cell>
          <cell r="C1" t="str">
            <v>Real-Time Video Games</v>
          </cell>
          <cell r="D1" t="str">
            <v>Image Recognition</v>
          </cell>
          <cell r="E1" t="str">
            <v>Visual Question Answering</v>
          </cell>
          <cell r="F1" t="str">
            <v>Generating Images</v>
          </cell>
          <cell r="G1" t="str">
            <v>Reading Comprehension</v>
          </cell>
        </row>
        <row r="2">
          <cell r="A2" t="str">
            <v>Arm-Hand Steadiness</v>
          </cell>
          <cell r="B2">
            <v>0.48</v>
          </cell>
          <cell r="C2">
            <v>0.68</v>
          </cell>
          <cell r="D2">
            <v>0.44</v>
          </cell>
          <cell r="E2">
            <v>0.49</v>
          </cell>
          <cell r="F2">
            <v>0.34</v>
          </cell>
          <cell r="G2">
            <v>0.2</v>
          </cell>
        </row>
        <row r="3">
          <cell r="A3" t="str">
            <v>Auditory Attention</v>
          </cell>
          <cell r="B3">
            <v>0.64</v>
          </cell>
          <cell r="C3">
            <v>0.79</v>
          </cell>
          <cell r="D3">
            <v>0.46</v>
          </cell>
          <cell r="E3">
            <v>0.54</v>
          </cell>
          <cell r="F3">
            <v>0.33</v>
          </cell>
          <cell r="G3">
            <v>0.42</v>
          </cell>
        </row>
        <row r="4">
          <cell r="A4" t="str">
            <v>Category Flexibility</v>
          </cell>
          <cell r="B4">
            <v>0.9</v>
          </cell>
          <cell r="C4">
            <v>0.86</v>
          </cell>
          <cell r="D4">
            <v>0.77</v>
          </cell>
          <cell r="E4">
            <v>0.81</v>
          </cell>
          <cell r="F4">
            <v>0.75</v>
          </cell>
          <cell r="G4">
            <v>0.82</v>
          </cell>
        </row>
        <row r="5">
          <cell r="A5" t="str">
            <v>Control Precision</v>
          </cell>
          <cell r="B5">
            <v>0.72</v>
          </cell>
          <cell r="C5">
            <v>0.92</v>
          </cell>
          <cell r="D5">
            <v>0.67</v>
          </cell>
          <cell r="E5">
            <v>0.79</v>
          </cell>
          <cell r="F5">
            <v>0.57999999999999996</v>
          </cell>
          <cell r="G5">
            <v>0.39</v>
          </cell>
        </row>
        <row r="6">
          <cell r="A6" t="str">
            <v>Deductive Reasoning</v>
          </cell>
          <cell r="B6">
            <v>0.88</v>
          </cell>
          <cell r="C6">
            <v>0.86</v>
          </cell>
          <cell r="D6">
            <v>0.65</v>
          </cell>
          <cell r="E6">
            <v>0.74</v>
          </cell>
          <cell r="F6">
            <v>0.63</v>
          </cell>
          <cell r="G6">
            <v>0.87</v>
          </cell>
        </row>
        <row r="7">
          <cell r="A7" t="str">
            <v>Depth Perception</v>
          </cell>
          <cell r="B7">
            <v>0.69</v>
          </cell>
          <cell r="C7">
            <v>0.8</v>
          </cell>
          <cell r="D7">
            <v>0.86</v>
          </cell>
          <cell r="E7">
            <v>0.84</v>
          </cell>
          <cell r="F7">
            <v>0.82</v>
          </cell>
          <cell r="G7">
            <v>0.34</v>
          </cell>
        </row>
        <row r="8">
          <cell r="A8" t="str">
            <v>Dynamic Flexibility</v>
          </cell>
          <cell r="B8">
            <v>0.37</v>
          </cell>
          <cell r="C8">
            <v>0.49</v>
          </cell>
          <cell r="D8">
            <v>0.37</v>
          </cell>
          <cell r="E8">
            <v>0.39</v>
          </cell>
          <cell r="F8">
            <v>0.32</v>
          </cell>
          <cell r="G8">
            <v>0.2</v>
          </cell>
        </row>
        <row r="9">
          <cell r="A9" t="str">
            <v>Dynamic Strength</v>
          </cell>
          <cell r="B9">
            <v>0.3</v>
          </cell>
          <cell r="C9">
            <v>0.4</v>
          </cell>
          <cell r="D9">
            <v>0.31</v>
          </cell>
          <cell r="E9">
            <v>0.38</v>
          </cell>
          <cell r="F9">
            <v>0.27</v>
          </cell>
          <cell r="G9">
            <v>0.19</v>
          </cell>
        </row>
        <row r="10">
          <cell r="A10" t="str">
            <v>Explosive Strength</v>
          </cell>
          <cell r="B10">
            <v>0.32</v>
          </cell>
          <cell r="C10">
            <v>0.4</v>
          </cell>
          <cell r="D10">
            <v>0.35</v>
          </cell>
          <cell r="E10">
            <v>0.4</v>
          </cell>
          <cell r="F10">
            <v>0.24</v>
          </cell>
          <cell r="G10">
            <v>0.21</v>
          </cell>
        </row>
        <row r="11">
          <cell r="A11" t="str">
            <v>Extent Flexibility</v>
          </cell>
          <cell r="B11">
            <v>0.34</v>
          </cell>
          <cell r="C11">
            <v>0.45</v>
          </cell>
          <cell r="D11">
            <v>0.37</v>
          </cell>
          <cell r="E11">
            <v>0.36</v>
          </cell>
          <cell r="F11">
            <v>0.28000000000000003</v>
          </cell>
          <cell r="G11">
            <v>0.18</v>
          </cell>
        </row>
        <row r="12">
          <cell r="A12" t="str">
            <v>Far Vision</v>
          </cell>
          <cell r="B12">
            <v>0.48</v>
          </cell>
          <cell r="C12">
            <v>0.69</v>
          </cell>
          <cell r="D12">
            <v>0.89</v>
          </cell>
          <cell r="E12">
            <v>0.85</v>
          </cell>
          <cell r="F12">
            <v>0.73</v>
          </cell>
          <cell r="G12">
            <v>0.33</v>
          </cell>
        </row>
        <row r="13">
          <cell r="A13" t="str">
            <v>Finger Dexterity</v>
          </cell>
          <cell r="B13">
            <v>0.57999999999999996</v>
          </cell>
          <cell r="C13">
            <v>0.74</v>
          </cell>
          <cell r="D13">
            <v>0.48</v>
          </cell>
          <cell r="E13">
            <v>0.52</v>
          </cell>
          <cell r="F13">
            <v>0.41</v>
          </cell>
          <cell r="G13">
            <v>0.24</v>
          </cell>
        </row>
        <row r="14">
          <cell r="A14" t="str">
            <v>Flexibility of Closure</v>
          </cell>
          <cell r="B14">
            <v>0.9</v>
          </cell>
          <cell r="C14">
            <v>0.9</v>
          </cell>
          <cell r="D14">
            <v>0.82</v>
          </cell>
          <cell r="E14">
            <v>0.86</v>
          </cell>
          <cell r="F14">
            <v>0.78</v>
          </cell>
          <cell r="G14">
            <v>0.75</v>
          </cell>
        </row>
        <row r="15">
          <cell r="A15" t="str">
            <v>Fluency of Ideas</v>
          </cell>
          <cell r="B15">
            <v>0.76</v>
          </cell>
          <cell r="C15">
            <v>0.65</v>
          </cell>
          <cell r="D15">
            <v>0.48</v>
          </cell>
          <cell r="E15">
            <v>0.64</v>
          </cell>
          <cell r="F15">
            <v>0.57999999999999996</v>
          </cell>
          <cell r="G15">
            <v>0.77</v>
          </cell>
        </row>
        <row r="16">
          <cell r="A16" t="str">
            <v>Glare Sensitivity</v>
          </cell>
          <cell r="B16">
            <v>0.47</v>
          </cell>
          <cell r="C16">
            <v>0.71</v>
          </cell>
          <cell r="D16">
            <v>0.85</v>
          </cell>
          <cell r="E16">
            <v>0.81</v>
          </cell>
          <cell r="F16">
            <v>0.74</v>
          </cell>
          <cell r="G16">
            <v>0.34</v>
          </cell>
        </row>
        <row r="17">
          <cell r="A17" t="str">
            <v>Gross Body Coordination</v>
          </cell>
          <cell r="B17">
            <v>0.37</v>
          </cell>
          <cell r="C17">
            <v>0.5</v>
          </cell>
          <cell r="D17">
            <v>0.42</v>
          </cell>
          <cell r="E17">
            <v>0.44</v>
          </cell>
          <cell r="F17">
            <v>0.35</v>
          </cell>
          <cell r="G17">
            <v>0.19</v>
          </cell>
        </row>
        <row r="18">
          <cell r="A18" t="str">
            <v>Gross Body Equilibrium</v>
          </cell>
          <cell r="B18">
            <v>0.35</v>
          </cell>
          <cell r="C18">
            <v>0.45</v>
          </cell>
          <cell r="D18">
            <v>0.44</v>
          </cell>
          <cell r="E18">
            <v>0.43</v>
          </cell>
          <cell r="F18">
            <v>0.3</v>
          </cell>
          <cell r="G18">
            <v>0.17</v>
          </cell>
        </row>
        <row r="19">
          <cell r="A19" t="str">
            <v>Hearing Sensitivity</v>
          </cell>
          <cell r="B19">
            <v>0.54</v>
          </cell>
          <cell r="C19">
            <v>0.82</v>
          </cell>
          <cell r="D19">
            <v>0.42</v>
          </cell>
          <cell r="E19">
            <v>0.55000000000000004</v>
          </cell>
          <cell r="F19">
            <v>0.33</v>
          </cell>
          <cell r="G19">
            <v>0.39</v>
          </cell>
        </row>
        <row r="20">
          <cell r="A20" t="str">
            <v>Inductive Reasoning</v>
          </cell>
          <cell r="B20">
            <v>0.88</v>
          </cell>
          <cell r="C20">
            <v>0.74</v>
          </cell>
          <cell r="D20">
            <v>0.69</v>
          </cell>
          <cell r="E20">
            <v>0.69</v>
          </cell>
          <cell r="F20">
            <v>0.65</v>
          </cell>
          <cell r="G20">
            <v>0.84</v>
          </cell>
        </row>
        <row r="21">
          <cell r="A21" t="str">
            <v>Information Ordering</v>
          </cell>
          <cell r="B21">
            <v>0.97</v>
          </cell>
          <cell r="C21">
            <v>0.92</v>
          </cell>
          <cell r="D21">
            <v>0.87</v>
          </cell>
          <cell r="E21">
            <v>0.93</v>
          </cell>
          <cell r="F21">
            <v>0.88</v>
          </cell>
          <cell r="G21">
            <v>0.92</v>
          </cell>
        </row>
        <row r="22">
          <cell r="A22" t="str">
            <v>Manual Dexterity</v>
          </cell>
          <cell r="B22">
            <v>0.56000000000000005</v>
          </cell>
          <cell r="C22">
            <v>0.7</v>
          </cell>
          <cell r="D22">
            <v>0.44</v>
          </cell>
          <cell r="E22">
            <v>0.5</v>
          </cell>
          <cell r="F22">
            <v>0.4</v>
          </cell>
          <cell r="G22">
            <v>0.21</v>
          </cell>
        </row>
        <row r="23">
          <cell r="A23" t="str">
            <v>Mathematical Reasoning</v>
          </cell>
          <cell r="B23">
            <v>0.89</v>
          </cell>
          <cell r="C23">
            <v>0.8</v>
          </cell>
          <cell r="D23">
            <v>0.62</v>
          </cell>
          <cell r="E23">
            <v>0.81</v>
          </cell>
          <cell r="F23">
            <v>0.59</v>
          </cell>
          <cell r="G23">
            <v>0.69</v>
          </cell>
        </row>
        <row r="24">
          <cell r="A24" t="str">
            <v>Memorization</v>
          </cell>
          <cell r="B24">
            <v>0.92</v>
          </cell>
          <cell r="C24">
            <v>0.88</v>
          </cell>
          <cell r="D24">
            <v>0.83</v>
          </cell>
          <cell r="E24">
            <v>0.88</v>
          </cell>
          <cell r="F24">
            <v>0.77</v>
          </cell>
          <cell r="G24">
            <v>0.93</v>
          </cell>
        </row>
        <row r="25">
          <cell r="A25" t="str">
            <v>Multilimb Coordination</v>
          </cell>
          <cell r="B25">
            <v>0.47</v>
          </cell>
          <cell r="C25">
            <v>0.64</v>
          </cell>
          <cell r="D25">
            <v>0.46</v>
          </cell>
          <cell r="E25">
            <v>0.49</v>
          </cell>
          <cell r="F25">
            <v>0.33</v>
          </cell>
          <cell r="G25">
            <v>0.2</v>
          </cell>
        </row>
        <row r="26">
          <cell r="A26" t="str">
            <v>Near Vision</v>
          </cell>
          <cell r="B26">
            <v>0.7</v>
          </cell>
          <cell r="C26">
            <v>0.86</v>
          </cell>
          <cell r="D26">
            <v>0.91</v>
          </cell>
          <cell r="E26">
            <v>0.91</v>
          </cell>
          <cell r="F26">
            <v>0.76</v>
          </cell>
          <cell r="G26">
            <v>0.41</v>
          </cell>
        </row>
        <row r="27">
          <cell r="A27" t="str">
            <v>Night Vision</v>
          </cell>
          <cell r="B27">
            <v>0.46</v>
          </cell>
          <cell r="C27">
            <v>0.7</v>
          </cell>
          <cell r="D27">
            <v>0.86</v>
          </cell>
          <cell r="E27">
            <v>0.84</v>
          </cell>
          <cell r="F27">
            <v>0.67</v>
          </cell>
          <cell r="G27">
            <v>0.28999999999999998</v>
          </cell>
        </row>
        <row r="28">
          <cell r="A28" t="str">
            <v>Number Facility</v>
          </cell>
          <cell r="B28">
            <v>0.89</v>
          </cell>
          <cell r="C28">
            <v>0.82</v>
          </cell>
          <cell r="D28">
            <v>0.67</v>
          </cell>
          <cell r="E28">
            <v>0.83</v>
          </cell>
          <cell r="F28">
            <v>0.5</v>
          </cell>
          <cell r="G28">
            <v>0.64</v>
          </cell>
        </row>
        <row r="29">
          <cell r="A29" t="str">
            <v>Oral Comprehension</v>
          </cell>
          <cell r="B29">
            <v>0.65</v>
          </cell>
          <cell r="C29">
            <v>0.7</v>
          </cell>
          <cell r="D29">
            <v>0.37</v>
          </cell>
          <cell r="E29">
            <v>0.56000000000000005</v>
          </cell>
          <cell r="F29">
            <v>0.41</v>
          </cell>
          <cell r="G29">
            <v>0.69</v>
          </cell>
        </row>
        <row r="30">
          <cell r="A30" t="str">
            <v>Oral Expression</v>
          </cell>
          <cell r="B30">
            <v>0.62</v>
          </cell>
          <cell r="C30">
            <v>0.64</v>
          </cell>
          <cell r="D30">
            <v>0.44</v>
          </cell>
          <cell r="E30">
            <v>0.55000000000000004</v>
          </cell>
          <cell r="F30">
            <v>0.37</v>
          </cell>
          <cell r="G30">
            <v>0.68</v>
          </cell>
        </row>
        <row r="31">
          <cell r="A31" t="str">
            <v>Originality</v>
          </cell>
          <cell r="B31">
            <v>0.7</v>
          </cell>
          <cell r="C31">
            <v>0.56999999999999995</v>
          </cell>
          <cell r="D31">
            <v>0.39</v>
          </cell>
          <cell r="E31">
            <v>0.39</v>
          </cell>
          <cell r="F31">
            <v>0.68</v>
          </cell>
          <cell r="G31">
            <v>0.61</v>
          </cell>
        </row>
        <row r="32">
          <cell r="A32" t="str">
            <v>Perceptual Speed</v>
          </cell>
          <cell r="B32">
            <v>0.87</v>
          </cell>
          <cell r="C32">
            <v>0.9</v>
          </cell>
          <cell r="D32">
            <v>0.85</v>
          </cell>
          <cell r="E32">
            <v>0.87</v>
          </cell>
          <cell r="F32">
            <v>0.76</v>
          </cell>
          <cell r="G32">
            <v>0.76</v>
          </cell>
        </row>
        <row r="33">
          <cell r="A33" t="str">
            <v>Peripheral Vision</v>
          </cell>
          <cell r="B33">
            <v>0.54</v>
          </cell>
          <cell r="C33">
            <v>0.77</v>
          </cell>
          <cell r="D33">
            <v>0.77</v>
          </cell>
          <cell r="E33">
            <v>0.75</v>
          </cell>
          <cell r="F33">
            <v>0.72</v>
          </cell>
          <cell r="G33">
            <v>0.31</v>
          </cell>
        </row>
        <row r="34">
          <cell r="A34" t="str">
            <v>Problem Sensitivity</v>
          </cell>
          <cell r="B34">
            <v>0.88</v>
          </cell>
          <cell r="C34">
            <v>0.81</v>
          </cell>
          <cell r="D34">
            <v>0.62</v>
          </cell>
          <cell r="E34">
            <v>0.72</v>
          </cell>
          <cell r="F34">
            <v>0.55000000000000004</v>
          </cell>
          <cell r="G34">
            <v>0.69</v>
          </cell>
        </row>
        <row r="35">
          <cell r="A35" t="str">
            <v>Rate Control</v>
          </cell>
          <cell r="B35">
            <v>0.72</v>
          </cell>
          <cell r="C35">
            <v>0.89</v>
          </cell>
          <cell r="D35">
            <v>0.63</v>
          </cell>
          <cell r="E35">
            <v>0.69</v>
          </cell>
          <cell r="F35">
            <v>0.53</v>
          </cell>
          <cell r="G35">
            <v>0.28999999999999998</v>
          </cell>
        </row>
        <row r="36">
          <cell r="A36" t="str">
            <v>Reaction Time</v>
          </cell>
          <cell r="B36">
            <v>0.71</v>
          </cell>
          <cell r="C36">
            <v>0.87</v>
          </cell>
          <cell r="D36">
            <v>0.7</v>
          </cell>
          <cell r="E36">
            <v>0.69</v>
          </cell>
          <cell r="F36">
            <v>0.56000000000000005</v>
          </cell>
          <cell r="G36">
            <v>0.36</v>
          </cell>
        </row>
        <row r="37">
          <cell r="A37" t="str">
            <v>Response Orientation</v>
          </cell>
          <cell r="B37">
            <v>0.78</v>
          </cell>
          <cell r="C37">
            <v>0.9</v>
          </cell>
          <cell r="D37">
            <v>0.71</v>
          </cell>
          <cell r="E37">
            <v>0.7</v>
          </cell>
          <cell r="F37">
            <v>0.66</v>
          </cell>
          <cell r="G37">
            <v>0.43</v>
          </cell>
        </row>
        <row r="38">
          <cell r="A38" t="str">
            <v>Selective Attention</v>
          </cell>
          <cell r="B38">
            <v>0.88</v>
          </cell>
          <cell r="C38">
            <v>0.86</v>
          </cell>
          <cell r="D38">
            <v>0.75</v>
          </cell>
          <cell r="E38">
            <v>0.81</v>
          </cell>
          <cell r="F38">
            <v>0.66</v>
          </cell>
          <cell r="G38">
            <v>0.82</v>
          </cell>
        </row>
        <row r="39">
          <cell r="A39" t="str">
            <v>Sound Localization</v>
          </cell>
          <cell r="B39">
            <v>0.57999999999999996</v>
          </cell>
          <cell r="C39">
            <v>0.79</v>
          </cell>
          <cell r="D39">
            <v>0.47</v>
          </cell>
          <cell r="E39">
            <v>0.57999999999999996</v>
          </cell>
          <cell r="F39">
            <v>0.34</v>
          </cell>
          <cell r="G39">
            <v>0.35</v>
          </cell>
        </row>
        <row r="40">
          <cell r="A40" t="str">
            <v>Spatial Orientation</v>
          </cell>
          <cell r="B40">
            <v>0.83</v>
          </cell>
          <cell r="C40">
            <v>0.88</v>
          </cell>
          <cell r="D40">
            <v>0.89</v>
          </cell>
          <cell r="E40">
            <v>0.89</v>
          </cell>
          <cell r="F40">
            <v>0.79</v>
          </cell>
          <cell r="G40">
            <v>0.36</v>
          </cell>
        </row>
        <row r="41">
          <cell r="A41" t="str">
            <v>Speech Clarity</v>
          </cell>
          <cell r="B41">
            <v>0.59</v>
          </cell>
          <cell r="C41">
            <v>0.64</v>
          </cell>
          <cell r="D41">
            <v>0.45</v>
          </cell>
          <cell r="E41">
            <v>0.55000000000000004</v>
          </cell>
          <cell r="F41">
            <v>0.35</v>
          </cell>
          <cell r="G41">
            <v>0.61</v>
          </cell>
        </row>
        <row r="42">
          <cell r="A42" t="str">
            <v>Speech Recognition</v>
          </cell>
          <cell r="B42">
            <v>0.66</v>
          </cell>
          <cell r="C42">
            <v>0.83</v>
          </cell>
          <cell r="D42">
            <v>0.47</v>
          </cell>
          <cell r="E42">
            <v>0.61</v>
          </cell>
          <cell r="F42">
            <v>0.38</v>
          </cell>
          <cell r="G42">
            <v>0.64</v>
          </cell>
        </row>
        <row r="43">
          <cell r="A43" t="str">
            <v>Speed of Closure</v>
          </cell>
          <cell r="B43">
            <v>0.9</v>
          </cell>
          <cell r="C43">
            <v>0.88</v>
          </cell>
          <cell r="D43">
            <v>0.83</v>
          </cell>
          <cell r="E43">
            <v>0.82</v>
          </cell>
          <cell r="F43">
            <v>0.76</v>
          </cell>
          <cell r="G43">
            <v>0.79</v>
          </cell>
        </row>
        <row r="44">
          <cell r="A44" t="str">
            <v>Speed of Limb Movement</v>
          </cell>
          <cell r="B44">
            <v>0.39</v>
          </cell>
          <cell r="C44">
            <v>0.6</v>
          </cell>
          <cell r="D44">
            <v>0.39</v>
          </cell>
          <cell r="E44">
            <v>0.48</v>
          </cell>
          <cell r="F44">
            <v>0.32</v>
          </cell>
          <cell r="G44">
            <v>0.2</v>
          </cell>
        </row>
        <row r="45">
          <cell r="A45" t="str">
            <v>Stamina</v>
          </cell>
          <cell r="B45">
            <v>0.35</v>
          </cell>
          <cell r="C45">
            <v>0.43</v>
          </cell>
          <cell r="D45">
            <v>0.32</v>
          </cell>
          <cell r="E45">
            <v>0.38</v>
          </cell>
          <cell r="F45">
            <v>0.27</v>
          </cell>
          <cell r="G45">
            <v>0.2</v>
          </cell>
        </row>
        <row r="46">
          <cell r="A46" t="str">
            <v>Static Strength</v>
          </cell>
          <cell r="B46">
            <v>0.31</v>
          </cell>
          <cell r="C46">
            <v>0.35</v>
          </cell>
          <cell r="D46">
            <v>0.37</v>
          </cell>
          <cell r="E46">
            <v>0.41</v>
          </cell>
          <cell r="F46">
            <v>0.24</v>
          </cell>
          <cell r="G46">
            <v>0.21</v>
          </cell>
        </row>
        <row r="47">
          <cell r="A47" t="str">
            <v>Time Sharing</v>
          </cell>
          <cell r="B47">
            <v>0.77</v>
          </cell>
          <cell r="C47">
            <v>0.84</v>
          </cell>
          <cell r="D47">
            <v>0.56999999999999995</v>
          </cell>
          <cell r="E47">
            <v>0.7</v>
          </cell>
          <cell r="F47">
            <v>0.54</v>
          </cell>
          <cell r="G47">
            <v>0.6</v>
          </cell>
        </row>
        <row r="48">
          <cell r="A48" t="str">
            <v>Trunk Strength</v>
          </cell>
          <cell r="B48">
            <v>0.28000000000000003</v>
          </cell>
          <cell r="C48">
            <v>0.31</v>
          </cell>
          <cell r="D48">
            <v>0.3</v>
          </cell>
          <cell r="E48">
            <v>0.37</v>
          </cell>
          <cell r="F48">
            <v>0.22</v>
          </cell>
          <cell r="G48">
            <v>0.21</v>
          </cell>
        </row>
        <row r="49">
          <cell r="A49" t="str">
            <v>Visual Color Determination</v>
          </cell>
          <cell r="B49">
            <v>0.8</v>
          </cell>
          <cell r="C49">
            <v>0.94</v>
          </cell>
          <cell r="D49">
            <v>0.93</v>
          </cell>
          <cell r="E49">
            <v>0.94</v>
          </cell>
          <cell r="F49">
            <v>0.9</v>
          </cell>
          <cell r="G49">
            <v>0.44</v>
          </cell>
        </row>
        <row r="50">
          <cell r="A50" t="str">
            <v>Visualization</v>
          </cell>
          <cell r="B50">
            <v>0.88</v>
          </cell>
          <cell r="C50">
            <v>0.8</v>
          </cell>
          <cell r="D50">
            <v>0.85</v>
          </cell>
          <cell r="E50">
            <v>0.81</v>
          </cell>
          <cell r="F50">
            <v>0.93</v>
          </cell>
          <cell r="G50">
            <v>0.56000000000000005</v>
          </cell>
        </row>
        <row r="51">
          <cell r="A51" t="str">
            <v>Wrist-Finger Speed</v>
          </cell>
          <cell r="B51">
            <v>0.52</v>
          </cell>
          <cell r="C51">
            <v>0.74</v>
          </cell>
          <cell r="D51">
            <v>0.45</v>
          </cell>
          <cell r="E51">
            <v>0.46</v>
          </cell>
          <cell r="F51">
            <v>0.36</v>
          </cell>
          <cell r="G51">
            <v>0.21</v>
          </cell>
        </row>
        <row r="52">
          <cell r="A52" t="str">
            <v>Written Comprehension</v>
          </cell>
          <cell r="B52">
            <v>0.56000000000000005</v>
          </cell>
          <cell r="C52">
            <v>0.59</v>
          </cell>
          <cell r="D52">
            <v>0.56999999999999995</v>
          </cell>
          <cell r="E52">
            <v>0.67</v>
          </cell>
          <cell r="F52">
            <v>0.47</v>
          </cell>
          <cell r="G52">
            <v>0.91</v>
          </cell>
        </row>
        <row r="53">
          <cell r="A53" t="str">
            <v>Written Expression</v>
          </cell>
          <cell r="B53">
            <v>0.56000000000000005</v>
          </cell>
          <cell r="C53">
            <v>0.55000000000000004</v>
          </cell>
          <cell r="D53">
            <v>0.48</v>
          </cell>
          <cell r="E53">
            <v>0.62</v>
          </cell>
          <cell r="F53">
            <v>0.47</v>
          </cell>
          <cell r="G53">
            <v>0.83</v>
          </cell>
        </row>
      </sheetData>
      <sheetData sheetId="14">
        <row r="1">
          <cell r="A1" t="str">
            <v>O*NET Abilities</v>
          </cell>
          <cell r="B1" t="str">
            <v>Ability-Level AI Exposure</v>
          </cell>
        </row>
        <row r="2">
          <cell r="A2" t="str">
            <v>Arm-Hand Steadiness</v>
          </cell>
          <cell r="B2">
            <v>-1.125</v>
          </cell>
        </row>
        <row r="3">
          <cell r="A3" t="str">
            <v>Auditory Attention</v>
          </cell>
          <cell r="B3">
            <v>0.66</v>
          </cell>
        </row>
        <row r="4">
          <cell r="A4" t="str">
            <v>Category Flexibility</v>
          </cell>
          <cell r="B4">
            <v>1.276</v>
          </cell>
        </row>
        <row r="5">
          <cell r="A5" t="str">
            <v>Control Precision</v>
          </cell>
          <cell r="B5">
            <v>3.2000000000000001E-2</v>
          </cell>
        </row>
        <row r="6">
          <cell r="A6" t="str">
            <v>Deductive Reasoning</v>
          </cell>
          <cell r="B6">
            <v>1.04</v>
          </cell>
        </row>
        <row r="7">
          <cell r="A7" t="str">
            <v>Depth Perception</v>
          </cell>
          <cell r="B7">
            <v>6.7000000000000004E-2</v>
          </cell>
        </row>
        <row r="8">
          <cell r="A8" t="str">
            <v>Dynamic Flexibility</v>
          </cell>
          <cell r="B8">
            <v>-1.452</v>
          </cell>
        </row>
        <row r="9">
          <cell r="A9" t="str">
            <v>Dynamic Strength</v>
          </cell>
          <cell r="B9">
            <v>-1.5820000000000001</v>
          </cell>
        </row>
        <row r="10">
          <cell r="A10" t="str">
            <v>Explosive Strength</v>
          </cell>
          <cell r="B10">
            <v>-1.599</v>
          </cell>
        </row>
        <row r="11">
          <cell r="A11" t="str">
            <v>Extent Flexibility</v>
          </cell>
          <cell r="B11">
            <v>-1.5580000000000001</v>
          </cell>
        </row>
        <row r="12">
          <cell r="A12" t="str">
            <v>Far Vision</v>
          </cell>
          <cell r="B12">
            <v>-0.19700000000000001</v>
          </cell>
        </row>
        <row r="13">
          <cell r="A13" t="str">
            <v>Finger Dexterity</v>
          </cell>
          <cell r="B13">
            <v>-0.90700000000000003</v>
          </cell>
        </row>
        <row r="14">
          <cell r="A14" t="str">
            <v>Flexibility of Closure</v>
          </cell>
          <cell r="B14">
            <v>1.36</v>
          </cell>
        </row>
        <row r="15">
          <cell r="A15" t="str">
            <v>Fluency of Ideas</v>
          </cell>
          <cell r="B15">
            <v>0.40100000000000002</v>
          </cell>
        </row>
        <row r="16">
          <cell r="A16" t="str">
            <v>Glare Sensitivity</v>
          </cell>
          <cell r="B16">
            <v>-0.28699999999999998</v>
          </cell>
        </row>
        <row r="17">
          <cell r="A17" t="str">
            <v>Gross Body Coordination</v>
          </cell>
          <cell r="B17">
            <v>-1.355</v>
          </cell>
        </row>
        <row r="18">
          <cell r="A18" t="str">
            <v>Gross Body Equilibrium</v>
          </cell>
          <cell r="B18">
            <v>-1.417</v>
          </cell>
        </row>
        <row r="19">
          <cell r="A19" t="str">
            <v>Hearing Sensitivity</v>
          </cell>
          <cell r="B19">
            <v>0.434</v>
          </cell>
        </row>
        <row r="20">
          <cell r="A20" t="str">
            <v>Inductive Reasoning</v>
          </cell>
          <cell r="B20">
            <v>0.96399999999999997</v>
          </cell>
        </row>
        <row r="21">
          <cell r="A21" t="str">
            <v>Information Ordering</v>
          </cell>
          <cell r="B21">
            <v>1.9079999999999999</v>
          </cell>
        </row>
        <row r="22">
          <cell r="A22" t="str">
            <v>Manual Dexterity</v>
          </cell>
          <cell r="B22">
            <v>-1.0529999999999999</v>
          </cell>
        </row>
        <row r="23">
          <cell r="A23" t="str">
            <v>Mathematical Reasoning</v>
          </cell>
          <cell r="B23">
            <v>0.48599999999999999</v>
          </cell>
        </row>
        <row r="24">
          <cell r="A24" t="str">
            <v>Memorization</v>
          </cell>
          <cell r="B24">
            <v>1.6859999999999999</v>
          </cell>
        </row>
        <row r="25">
          <cell r="A25" t="str">
            <v>Multilimb Coordination</v>
          </cell>
          <cell r="B25">
            <v>-1.151</v>
          </cell>
        </row>
        <row r="26">
          <cell r="A26" t="str">
            <v>Near Vision</v>
          </cell>
          <cell r="B26">
            <v>0.15</v>
          </cell>
        </row>
        <row r="27">
          <cell r="A27" t="str">
            <v>Night Vision</v>
          </cell>
          <cell r="B27">
            <v>-0.377</v>
          </cell>
        </row>
        <row r="28">
          <cell r="A28" t="str">
            <v>Number Facility</v>
          </cell>
          <cell r="B28">
            <v>0.48299999999999998</v>
          </cell>
        </row>
        <row r="29">
          <cell r="A29" t="str">
            <v>Oral Comprehension</v>
          </cell>
          <cell r="B29">
            <v>0.7</v>
          </cell>
        </row>
        <row r="30">
          <cell r="A30" t="str">
            <v>Oral Expression</v>
          </cell>
          <cell r="B30">
            <v>0.52600000000000002</v>
          </cell>
        </row>
        <row r="31">
          <cell r="A31" t="str">
            <v>Originality</v>
          </cell>
          <cell r="B31">
            <v>-0.14399999999999999</v>
          </cell>
        </row>
        <row r="32">
          <cell r="A32" t="str">
            <v>Perceptual Speed</v>
          </cell>
          <cell r="B32">
            <v>1.24</v>
          </cell>
        </row>
        <row r="33">
          <cell r="A33" t="str">
            <v>Peripheral Vision</v>
          </cell>
          <cell r="B33">
            <v>-0.33</v>
          </cell>
        </row>
        <row r="34">
          <cell r="A34" t="str">
            <v>Problem Sensitivity</v>
          </cell>
          <cell r="B34">
            <v>0.53800000000000003</v>
          </cell>
        </row>
        <row r="35">
          <cell r="A35" t="str">
            <v>Rate Control</v>
          </cell>
          <cell r="B35">
            <v>-0.13500000000000001</v>
          </cell>
        </row>
        <row r="36">
          <cell r="A36" t="str">
            <v>Reaction Time</v>
          </cell>
          <cell r="B36">
            <v>0.11700000000000001</v>
          </cell>
        </row>
        <row r="37">
          <cell r="A37" t="str">
            <v>Response Orientation</v>
          </cell>
          <cell r="B37">
            <v>0.437</v>
          </cell>
        </row>
        <row r="38">
          <cell r="A38" t="str">
            <v>Selective Attention</v>
          </cell>
          <cell r="B38">
            <v>1.151</v>
          </cell>
        </row>
        <row r="39">
          <cell r="A39" t="str">
            <v>Sound Localization</v>
          </cell>
          <cell r="B39">
            <v>0.317</v>
          </cell>
        </row>
        <row r="40">
          <cell r="A40" t="str">
            <v>Spatial Orientation</v>
          </cell>
          <cell r="B40">
            <v>0.375</v>
          </cell>
        </row>
        <row r="41">
          <cell r="A41" t="str">
            <v>Speech Clarity</v>
          </cell>
          <cell r="B41">
            <v>0.56799999999999995</v>
          </cell>
        </row>
        <row r="42">
          <cell r="A42" t="str">
            <v>Speech Recognition</v>
          </cell>
          <cell r="B42">
            <v>0.97199999999999998</v>
          </cell>
        </row>
        <row r="43">
          <cell r="A43" t="str">
            <v>Speed of Closure</v>
          </cell>
          <cell r="B43">
            <v>1.377</v>
          </cell>
        </row>
        <row r="44">
          <cell r="A44" t="str">
            <v>Speed of Limb Movement</v>
          </cell>
          <cell r="B44">
            <v>-1.302</v>
          </cell>
        </row>
        <row r="45">
          <cell r="A45" t="str">
            <v>Stamina</v>
          </cell>
          <cell r="B45">
            <v>-1.514</v>
          </cell>
        </row>
        <row r="46">
          <cell r="A46" t="str">
            <v>Static Strength</v>
          </cell>
          <cell r="B46">
            <v>-1.5620000000000001</v>
          </cell>
        </row>
        <row r="47">
          <cell r="A47" t="str">
            <v>Time Sharing</v>
          </cell>
          <cell r="B47">
            <v>0.67</v>
          </cell>
        </row>
        <row r="48">
          <cell r="A48" t="str">
            <v>Trunk Strength</v>
          </cell>
          <cell r="B48">
            <v>-1.7210000000000001</v>
          </cell>
        </row>
        <row r="49">
          <cell r="A49" t="str">
            <v>Visual Color Determination</v>
          </cell>
          <cell r="B49">
            <v>0.41499999999999998</v>
          </cell>
        </row>
        <row r="50">
          <cell r="A50" t="str">
            <v>Visualization</v>
          </cell>
          <cell r="B50">
            <v>0.44900000000000001</v>
          </cell>
        </row>
        <row r="51">
          <cell r="A51" t="str">
            <v>Wrist-Finger Speed</v>
          </cell>
          <cell r="B51">
            <v>-1.0509999999999999</v>
          </cell>
        </row>
        <row r="52">
          <cell r="A52" t="str">
            <v>Written Comprehension</v>
          </cell>
          <cell r="B52">
            <v>0.56299999999999994</v>
          </cell>
        </row>
        <row r="53">
          <cell r="A53" t="str">
            <v>Written Expression</v>
          </cell>
          <cell r="B53">
            <v>0.45800000000000002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008A-BF24-ED43-A305-A3630ADAACF8}">
  <dimension ref="A1:I85"/>
  <sheetViews>
    <sheetView tabSelected="1" topLeftCell="B1" zoomScale="178" workbookViewId="0">
      <pane ySplit="1" topLeftCell="A76" activePane="bottomLeft" state="frozen"/>
      <selection pane="bottomLeft" activeCell="F84" sqref="F84"/>
    </sheetView>
  </sheetViews>
  <sheetFormatPr baseColWidth="10" defaultColWidth="8.83203125" defaultRowHeight="15" x14ac:dyDescent="0.2"/>
  <cols>
    <col min="1" max="1" width="10.6640625" style="14" bestFit="1" customWidth="1"/>
    <col min="2" max="2" width="39.1640625" customWidth="1"/>
    <col min="3" max="3" width="6.5" style="15" customWidth="1"/>
    <col min="4" max="4" width="14.6640625" customWidth="1"/>
    <col min="5" max="5" width="16" customWidth="1"/>
    <col min="6" max="6" width="21.6640625" customWidth="1"/>
    <col min="7" max="7" width="8.6640625" customWidth="1"/>
    <col min="8" max="8" width="11.1640625" customWidth="1"/>
    <col min="9" max="9" width="9.33203125" customWidth="1"/>
  </cols>
  <sheetData>
    <row r="1" spans="1:9" ht="101" thickTop="1" thickBo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/>
      <c r="G1" s="3" t="s">
        <v>5</v>
      </c>
      <c r="H1" s="4" t="s">
        <v>6</v>
      </c>
      <c r="I1" s="5" t="s">
        <v>7</v>
      </c>
    </row>
    <row r="2" spans="1:9" x14ac:dyDescent="0.2">
      <c r="A2" s="6" t="s">
        <v>34</v>
      </c>
      <c r="B2" s="7" t="s">
        <v>35</v>
      </c>
      <c r="C2" s="8">
        <v>0.62196059999999997</v>
      </c>
      <c r="D2">
        <f>VLOOKUP(A2,[1]national_M2025_dl!$A$1:$H$1402,4,FALSE)</f>
        <v>35010</v>
      </c>
      <c r="E2">
        <f>VLOOKUP(A2,[1]national_M2025_dl!$A$1:$H$1402,8,FALSE)</f>
        <v>49280</v>
      </c>
      <c r="F2">
        <f>D2*E2</f>
        <v>1725292800</v>
      </c>
      <c r="G2">
        <f>VLOOKUP(A2,[1]national_M2021_dl!alldata,3,FALSE)</f>
        <v>41930</v>
      </c>
      <c r="H2" s="9">
        <f t="shared" ref="H2:H33" si="0">(D2-G2)/G2</f>
        <v>-0.16503696637252563</v>
      </c>
      <c r="I2">
        <f>VLOOKUP(A2,'[1]Table 1.2'!$A$1:$M$1114,8,FALSE)</f>
        <v>-36.1</v>
      </c>
    </row>
    <row r="3" spans="1:9" x14ac:dyDescent="0.2">
      <c r="A3" s="6" t="s">
        <v>70</v>
      </c>
      <c r="B3" s="7" t="s">
        <v>71</v>
      </c>
      <c r="C3" s="8">
        <v>1.019712</v>
      </c>
      <c r="D3">
        <f>VLOOKUP(A3,[1]national_M2025_dl!$A$1:$H$1402,4,FALSE)</f>
        <v>3430</v>
      </c>
      <c r="E3">
        <f>VLOOKUP(A3,[1]national_M2025_dl!$A$1:$H$1402,8,FALSE)</f>
        <v>41740</v>
      </c>
      <c r="F3">
        <f>D3*E3</f>
        <v>143168200</v>
      </c>
      <c r="G3">
        <f>VLOOKUP(A3,[1]national_M2021_dl!alldata,3,FALSE)</f>
        <v>3870</v>
      </c>
      <c r="H3" s="9">
        <f t="shared" si="0"/>
        <v>-0.11369509043927649</v>
      </c>
      <c r="I3">
        <f>VLOOKUP(A3,'[1]Table 1.2'!$A$1:$M$1114,8,FALSE)</f>
        <v>-27.5</v>
      </c>
    </row>
    <row r="4" spans="1:9" x14ac:dyDescent="0.2">
      <c r="A4" s="6" t="s">
        <v>66</v>
      </c>
      <c r="B4" s="7" t="s">
        <v>67</v>
      </c>
      <c r="C4" s="8">
        <v>0.98326440000000004</v>
      </c>
      <c r="D4">
        <f>VLOOKUP(A4,[1]national_M2025_dl!$A$1:$H$1402,4,FALSE)</f>
        <v>34280</v>
      </c>
      <c r="E4">
        <f>VLOOKUP(A4,[1]national_M2025_dl!$A$1:$H$1402,8,FALSE)</f>
        <v>38630</v>
      </c>
      <c r="F4">
        <f t="shared" ref="F3:F66" si="1">D4*E4</f>
        <v>1324236400</v>
      </c>
      <c r="G4">
        <f>VLOOKUP(A4,[1]national_M2021_dl!alldata,3,FALSE)</f>
        <v>48190</v>
      </c>
      <c r="H4" s="9">
        <f t="shared" si="0"/>
        <v>-0.28864909732309607</v>
      </c>
      <c r="I4">
        <f>VLOOKUP(A4,'[1]Table 1.2'!$A$1:$M$1114,8,FALSE)</f>
        <v>-26.3</v>
      </c>
    </row>
    <row r="5" spans="1:9" x14ac:dyDescent="0.2">
      <c r="A5" s="6" t="s">
        <v>18</v>
      </c>
      <c r="B5" s="7" t="s">
        <v>19</v>
      </c>
      <c r="C5" s="8">
        <v>0.31080809999999998</v>
      </c>
      <c r="D5">
        <f>VLOOKUP(A5,[1]national_M2025_dl!$A$1:$H$1402,4,FALSE)</f>
        <v>127080</v>
      </c>
      <c r="E5">
        <f>VLOOKUP(A5,[1]national_M2025_dl!$A$1:$H$1402,8,FALSE)</f>
        <v>41340</v>
      </c>
      <c r="F5">
        <f t="shared" si="1"/>
        <v>5253487200</v>
      </c>
      <c r="G5">
        <f>VLOOKUP(A5,[1]national_M2021_dl!alldata,3,FALSE)</f>
        <v>147170</v>
      </c>
      <c r="H5" s="9">
        <f t="shared" si="0"/>
        <v>-0.13650879934769314</v>
      </c>
      <c r="I5">
        <f>VLOOKUP(A5,'[1]Table 1.2'!$A$1:$M$1114,8,FALSE)</f>
        <v>-25.9</v>
      </c>
    </row>
    <row r="6" spans="1:9" x14ac:dyDescent="0.2">
      <c r="A6" s="6" t="s">
        <v>86</v>
      </c>
      <c r="B6" s="7" t="s">
        <v>87</v>
      </c>
      <c r="C6" s="8">
        <v>1.1181289999999999</v>
      </c>
      <c r="D6">
        <f>VLOOKUP(A6,[1]national_M2025_dl!$A$1:$H$1402,4,FALSE)</f>
        <v>58430</v>
      </c>
      <c r="E6">
        <f>VLOOKUP(A6,[1]national_M2025_dl!$A$1:$H$1402,8,FALSE)</f>
        <v>35450</v>
      </c>
      <c r="F6">
        <f t="shared" si="1"/>
        <v>2071343500</v>
      </c>
      <c r="G6">
        <f>VLOOKUP(A6,[1]national_M2021_dl!alldata,3,FALSE)</f>
        <v>115130</v>
      </c>
      <c r="H6" s="9">
        <f t="shared" si="0"/>
        <v>-0.49248675410405629</v>
      </c>
      <c r="I6">
        <f>VLOOKUP(A6,'[1]Table 1.2'!$A$1:$M$1114,8,FALSE)</f>
        <v>-22.1</v>
      </c>
    </row>
    <row r="7" spans="1:9" x14ac:dyDescent="0.2">
      <c r="A7" s="6" t="s">
        <v>54</v>
      </c>
      <c r="B7" s="7" t="s">
        <v>55</v>
      </c>
      <c r="C7" s="8">
        <v>0.83888609999999997</v>
      </c>
      <c r="D7">
        <f>VLOOKUP(A7,[1]national_M2025_dl!$A$1:$H$1402,4,FALSE)</f>
        <v>75200</v>
      </c>
      <c r="E7">
        <f>VLOOKUP(A7,[1]national_M2025_dl!$A$1:$H$1402,8,FALSE)</f>
        <v>46170</v>
      </c>
      <c r="F7">
        <f t="shared" si="1"/>
        <v>3471984000</v>
      </c>
      <c r="G7">
        <f>VLOOKUP(A7,[1]national_M2021_dl!alldata,3,FALSE)</f>
        <v>133850</v>
      </c>
      <c r="H7" s="9">
        <f t="shared" si="0"/>
        <v>-0.43817706387747479</v>
      </c>
      <c r="I7">
        <f>VLOOKUP(A7,'[1]Table 1.2'!$A$1:$M$1114,8,FALSE)</f>
        <v>-17.2</v>
      </c>
    </row>
    <row r="8" spans="1:9" x14ac:dyDescent="0.2">
      <c r="A8" s="6" t="s">
        <v>104</v>
      </c>
      <c r="B8" s="7" t="s">
        <v>105</v>
      </c>
      <c r="C8" s="8">
        <v>1.2576320000000001</v>
      </c>
      <c r="D8">
        <f>VLOOKUP(A8,[1]national_M2025_dl!$A$1:$H$1402,4,FALSE)</f>
        <v>153140</v>
      </c>
      <c r="E8">
        <f>VLOOKUP(A8,[1]national_M2025_dl!$A$1:$H$1402,8,FALSE)</f>
        <v>58260</v>
      </c>
      <c r="F8">
        <f t="shared" si="1"/>
        <v>8921936400</v>
      </c>
      <c r="G8">
        <f>VLOOKUP(A8,[1]national_M2021_dl!alldata,3,FALSE)</f>
        <v>149290</v>
      </c>
      <c r="H8" s="9">
        <f t="shared" si="0"/>
        <v>2.5788733337798915E-2</v>
      </c>
      <c r="I8">
        <f>VLOOKUP(A8,'[1]Table 1.2'!$A$1:$M$1114,8,FALSE)</f>
        <v>-16.7</v>
      </c>
    </row>
    <row r="9" spans="1:9" x14ac:dyDescent="0.2">
      <c r="A9" s="6" t="s">
        <v>14</v>
      </c>
      <c r="B9" s="7" t="s">
        <v>15</v>
      </c>
      <c r="C9" s="8">
        <v>0.28397430000000001</v>
      </c>
      <c r="D9">
        <f>VLOOKUP(A9,[1]national_M2025_dl!$A$1:$H$1402,4,FALSE)</f>
        <v>73440</v>
      </c>
      <c r="E9">
        <f>VLOOKUP(A9,[1]national_M2025_dl!$A$1:$H$1402,8,FALSE)</f>
        <v>43600</v>
      </c>
      <c r="F9">
        <f t="shared" si="1"/>
        <v>3201984000</v>
      </c>
      <c r="G9">
        <f>VLOOKUP(A9,[1]national_M2021_dl!alldata,3,FALSE)</f>
        <v>85460</v>
      </c>
      <c r="H9" s="9">
        <f t="shared" si="0"/>
        <v>-0.14065059677041891</v>
      </c>
      <c r="I9">
        <f>VLOOKUP(A9,'[1]Table 1.2'!$A$1:$M$1114,8,FALSE)</f>
        <v>-15.9</v>
      </c>
    </row>
    <row r="10" spans="1:9" x14ac:dyDescent="0.2">
      <c r="A10" s="6" t="s">
        <v>44</v>
      </c>
      <c r="B10" s="7" t="s">
        <v>45</v>
      </c>
      <c r="C10" s="8">
        <v>0.77053020000000005</v>
      </c>
      <c r="D10">
        <f>VLOOKUP(A10,[1]national_M2025_dl!$A$1:$H$1402,4,FALSE)</f>
        <v>5150</v>
      </c>
      <c r="E10">
        <f>VLOOKUP(A10,[1]national_M2025_dl!$A$1:$H$1402,8,FALSE)</f>
        <v>122890</v>
      </c>
      <c r="F10">
        <f t="shared" si="1"/>
        <v>632883500</v>
      </c>
      <c r="G10">
        <f>VLOOKUP(A10,[1]national_M2021_dl!alldata,3,FALSE)</f>
        <v>4820</v>
      </c>
      <c r="H10" s="9">
        <f t="shared" si="0"/>
        <v>6.8464730290456438E-2</v>
      </c>
      <c r="I10">
        <f>VLOOKUP(A10,'[1]Table 1.2'!$A$1:$M$1114,8,FALSE)</f>
        <v>-15.3</v>
      </c>
    </row>
    <row r="11" spans="1:9" x14ac:dyDescent="0.2">
      <c r="A11" s="6" t="s">
        <v>10</v>
      </c>
      <c r="B11" s="7" t="s">
        <v>11</v>
      </c>
      <c r="C11" s="8">
        <v>5.4642200000000002E-2</v>
      </c>
      <c r="D11">
        <f>VLOOKUP(A11,[1]national_M2025_dl!$A$1:$H$1402,4,FALSE)</f>
        <v>1650</v>
      </c>
      <c r="E11">
        <f>VLOOKUP(A11,[1]national_M2025_dl!$A$1:$H$1402,8,FALSE)</f>
        <v>52720</v>
      </c>
      <c r="F11">
        <f t="shared" si="1"/>
        <v>86988000</v>
      </c>
      <c r="G11">
        <f>VLOOKUP(A11,[1]national_M2021_dl!alldata,3,FALSE)</f>
        <v>2340</v>
      </c>
      <c r="H11" s="9">
        <f t="shared" si="0"/>
        <v>-0.29487179487179488</v>
      </c>
      <c r="I11">
        <f>VLOOKUP(A11,'[1]Table 1.2'!$A$1:$M$1114,8,FALSE)</f>
        <v>-15.1</v>
      </c>
    </row>
    <row r="12" spans="1:9" x14ac:dyDescent="0.2">
      <c r="A12" s="6" t="s">
        <v>26</v>
      </c>
      <c r="B12" s="7" t="s">
        <v>27</v>
      </c>
      <c r="C12" s="8">
        <v>0.41079729999999998</v>
      </c>
      <c r="D12">
        <f>VLOOKUP(A12,[1]national_M2025_dl!$A$1:$H$1402,4,FALSE)</f>
        <v>23840</v>
      </c>
      <c r="E12">
        <f>VLOOKUP(A12,[1]national_M2025_dl!$A$1:$H$1402,8,FALSE)</f>
        <v>48690</v>
      </c>
      <c r="F12">
        <f t="shared" si="1"/>
        <v>1160769600</v>
      </c>
      <c r="G12">
        <f>VLOOKUP(A12,[1]national_M2021_dl!alldata,3,FALSE)</f>
        <v>25840</v>
      </c>
      <c r="H12" s="9">
        <f t="shared" si="0"/>
        <v>-7.7399380804953566E-2</v>
      </c>
      <c r="I12">
        <f>VLOOKUP(A12,'[1]Table 1.2'!$A$1:$M$1114,8,FALSE)</f>
        <v>-14.6</v>
      </c>
    </row>
    <row r="13" spans="1:9" x14ac:dyDescent="0.2">
      <c r="A13" s="6" t="s">
        <v>136</v>
      </c>
      <c r="B13" s="7" t="s">
        <v>137</v>
      </c>
      <c r="C13" s="8">
        <v>1.348951</v>
      </c>
      <c r="D13">
        <f>VLOOKUP(A13,[1]national_M2025_dl!$A$1:$H$1402,4,FALSE)</f>
        <v>37310</v>
      </c>
      <c r="E13">
        <f>VLOOKUP(A13,[1]national_M2025_dl!$A$1:$H$1402,8,FALSE)</f>
        <v>61540</v>
      </c>
      <c r="F13">
        <f t="shared" si="1"/>
        <v>2296057400</v>
      </c>
      <c r="G13">
        <f>VLOOKUP(A13,[1]national_M2021_dl!alldata,3,FALSE)</f>
        <v>38260</v>
      </c>
      <c r="H13" s="9">
        <f t="shared" si="0"/>
        <v>-2.4830109775222164E-2</v>
      </c>
      <c r="I13">
        <f>VLOOKUP(A13,'[1]Table 1.2'!$A$1:$M$1114,8,FALSE)</f>
        <v>-13.7</v>
      </c>
    </row>
    <row r="14" spans="1:9" x14ac:dyDescent="0.2">
      <c r="A14" s="6" t="s">
        <v>96</v>
      </c>
      <c r="B14" s="7" t="s">
        <v>97</v>
      </c>
      <c r="C14" s="8">
        <v>1.174998</v>
      </c>
      <c r="D14">
        <f>VLOOKUP(A14,[1]national_M2025_dl!$A$1:$H$1402,4,FALSE)</f>
        <v>36860</v>
      </c>
      <c r="E14">
        <f>VLOOKUP(A14,[1]national_M2025_dl!$A$1:$H$1402,8,FALSE)</f>
        <v>47670</v>
      </c>
      <c r="F14">
        <f t="shared" si="1"/>
        <v>1757116200</v>
      </c>
      <c r="G14">
        <f>VLOOKUP(A14,[1]national_M2021_dl!alldata,3,FALSE)</f>
        <v>40500</v>
      </c>
      <c r="H14" s="9">
        <f t="shared" si="0"/>
        <v>-8.987654320987655E-2</v>
      </c>
      <c r="I14">
        <f>VLOOKUP(A14,'[1]Table 1.2'!$A$1:$M$1114,8,FALSE)</f>
        <v>-13.2</v>
      </c>
    </row>
    <row r="15" spans="1:9" x14ac:dyDescent="0.2">
      <c r="A15" s="6" t="s">
        <v>30</v>
      </c>
      <c r="B15" s="7" t="s">
        <v>31</v>
      </c>
      <c r="C15" s="8">
        <v>0.47277229999999998</v>
      </c>
      <c r="D15">
        <f>VLOOKUP(A15,[1]national_M2025_dl!$A$1:$H$1402,4,FALSE)</f>
        <v>329480</v>
      </c>
      <c r="E15">
        <f>VLOOKUP(A15,[1]national_M2025_dl!$A$1:$H$1402,8,FALSE)</f>
        <v>43030</v>
      </c>
      <c r="F15">
        <f t="shared" si="1"/>
        <v>14177524400</v>
      </c>
      <c r="G15">
        <f>VLOOKUP(A15,[1]national_M2021_dl!alldata,3,FALSE)</f>
        <v>364210</v>
      </c>
      <c r="H15" s="9">
        <f t="shared" si="0"/>
        <v>-9.5357074215425164E-2</v>
      </c>
      <c r="I15">
        <f>VLOOKUP(A15,'[1]Table 1.2'!$A$1:$M$1114,8,FALSE)</f>
        <v>-12.9</v>
      </c>
    </row>
    <row r="16" spans="1:9" x14ac:dyDescent="0.2">
      <c r="A16" s="6" t="s">
        <v>20</v>
      </c>
      <c r="B16" s="7" t="s">
        <v>21</v>
      </c>
      <c r="C16" s="8">
        <v>0.34377429999999998</v>
      </c>
      <c r="D16">
        <f>VLOOKUP(A16,[1]national_M2025_dl!$A$1:$H$1402,4,FALSE)</f>
        <v>3350</v>
      </c>
      <c r="E16">
        <f>VLOOKUP(A16,[1]national_M2025_dl!$A$1:$H$1402,8,FALSE)</f>
        <v>55290</v>
      </c>
      <c r="F16">
        <f t="shared" si="1"/>
        <v>185221500</v>
      </c>
      <c r="G16">
        <f>VLOOKUP(A16,[1]national_M2021_dl!alldata,3,FALSE)</f>
        <v>7600</v>
      </c>
      <c r="H16" s="9">
        <f t="shared" si="0"/>
        <v>-0.55921052631578949</v>
      </c>
      <c r="I16">
        <f>VLOOKUP(A16,'[1]Table 1.2'!$A$1:$M$1114,8,FALSE)</f>
        <v>-12.4</v>
      </c>
    </row>
    <row r="17" spans="1:9" x14ac:dyDescent="0.2">
      <c r="A17" s="6" t="s">
        <v>120</v>
      </c>
      <c r="B17" s="7" t="s">
        <v>121</v>
      </c>
      <c r="C17" s="8">
        <v>1.297031</v>
      </c>
      <c r="D17">
        <f>VLOOKUP(A17,[1]national_M2025_dl!$A$1:$H$1402,4,FALSE)</f>
        <v>148060</v>
      </c>
      <c r="E17">
        <f>VLOOKUP(A17,[1]national_M2025_dl!$A$1:$H$1402,8,FALSE)</f>
        <v>45920</v>
      </c>
      <c r="F17">
        <f t="shared" si="1"/>
        <v>6798915200</v>
      </c>
      <c r="G17">
        <f>VLOOKUP(A17,[1]national_M2021_dl!alldata,3,FALSE)</f>
        <v>169840</v>
      </c>
      <c r="H17" s="9">
        <f t="shared" si="0"/>
        <v>-0.12823834196891193</v>
      </c>
      <c r="I17">
        <f>VLOOKUP(A17,'[1]Table 1.2'!$A$1:$M$1114,8,FALSE)</f>
        <v>-11.6</v>
      </c>
    </row>
    <row r="18" spans="1:9" x14ac:dyDescent="0.2">
      <c r="A18" s="6" t="s">
        <v>40</v>
      </c>
      <c r="B18" s="7" t="s">
        <v>41</v>
      </c>
      <c r="C18" s="8">
        <v>0.70405189999999995</v>
      </c>
      <c r="D18">
        <f>VLOOKUP(A18,[1]national_M2025_dl!$A$1:$H$1402,4,FALSE)</f>
        <v>169450</v>
      </c>
      <c r="E18">
        <f>VLOOKUP(A18,[1]national_M2025_dl!$A$1:$H$1402,8,FALSE)</f>
        <v>50690</v>
      </c>
      <c r="F18">
        <f t="shared" si="1"/>
        <v>8589420500</v>
      </c>
      <c r="G18">
        <f>VLOOKUP(A18,[1]national_M2021_dl!alldata,3,FALSE)</f>
        <v>157840</v>
      </c>
      <c r="H18" s="9">
        <f t="shared" si="0"/>
        <v>7.3555499239736435E-2</v>
      </c>
      <c r="I18">
        <f>VLOOKUP(A18,'[1]Table 1.2'!$A$1:$M$1114,8,FALSE)</f>
        <v>-10.7</v>
      </c>
    </row>
    <row r="19" spans="1:9" x14ac:dyDescent="0.2">
      <c r="A19" s="6" t="s">
        <v>106</v>
      </c>
      <c r="B19" s="7" t="s">
        <v>107</v>
      </c>
      <c r="C19" s="8">
        <v>1.2719910000000001</v>
      </c>
      <c r="D19">
        <f>VLOOKUP(A19,[1]national_M2025_dl!$A$1:$H$1402,4,FALSE)</f>
        <v>158830</v>
      </c>
      <c r="E19">
        <f>VLOOKUP(A19,[1]national_M2025_dl!$A$1:$H$1402,8,FALSE)</f>
        <v>47030</v>
      </c>
      <c r="F19">
        <f t="shared" si="1"/>
        <v>7469774900</v>
      </c>
      <c r="G19">
        <f>VLOOKUP(A19,[1]national_M2021_dl!alldata,3,FALSE)</f>
        <v>212900</v>
      </c>
      <c r="H19" s="9">
        <f t="shared" si="0"/>
        <v>-0.25396899953029589</v>
      </c>
      <c r="I19">
        <f>VLOOKUP(A19,'[1]Table 1.2'!$A$1:$M$1114,8,FALSE)</f>
        <v>-10.5</v>
      </c>
    </row>
    <row r="20" spans="1:9" x14ac:dyDescent="0.2">
      <c r="A20" s="7" t="s">
        <v>84</v>
      </c>
      <c r="B20" s="7" t="s">
        <v>85</v>
      </c>
      <c r="C20" s="7">
        <v>1.1071009999999999</v>
      </c>
      <c r="D20">
        <f>VLOOKUP(A20,[1]national_M2025_dl!$A$1:$H$1402,4,FALSE)</f>
        <v>2760</v>
      </c>
      <c r="E20">
        <f>VLOOKUP(A20,[1]national_M2025_dl!$A$1:$H$1402,8,FALSE)</f>
        <v>41380</v>
      </c>
      <c r="F20">
        <f t="shared" si="1"/>
        <v>114208800</v>
      </c>
      <c r="G20">
        <f>VLOOKUP(A20,[1]national_M2021_dl!alldata,3,FALSE)</f>
        <v>7860</v>
      </c>
      <c r="H20" s="9">
        <f t="shared" si="0"/>
        <v>-0.64885496183206104</v>
      </c>
      <c r="I20">
        <f>VLOOKUP(A20,'[1]Table 1.2'!$A$1:$M$1114,8,FALSE)</f>
        <v>-10</v>
      </c>
    </row>
    <row r="21" spans="1:9" x14ac:dyDescent="0.2">
      <c r="A21" s="6" t="s">
        <v>88</v>
      </c>
      <c r="B21" s="7" t="s">
        <v>89</v>
      </c>
      <c r="C21" s="8">
        <v>1.1448769999999999</v>
      </c>
      <c r="D21">
        <f>VLOOKUP(A21,[1]national_M2025_dl!$A$1:$H$1402,4,FALSE)</f>
        <v>35940</v>
      </c>
      <c r="E21">
        <f>VLOOKUP(A21,[1]national_M2025_dl!$A$1:$H$1402,8,FALSE)</f>
        <v>65750</v>
      </c>
      <c r="F21">
        <f t="shared" si="1"/>
        <v>2363055000</v>
      </c>
      <c r="G21">
        <f>VLOOKUP(A21,[1]national_M2021_dl!alldata,3,FALSE)</f>
        <v>39980</v>
      </c>
      <c r="H21" s="9">
        <f t="shared" si="0"/>
        <v>-0.10105052526263132</v>
      </c>
      <c r="I21">
        <f>VLOOKUP(A21,'[1]Table 1.2'!$A$1:$M$1114,8,FALSE)</f>
        <v>-9.5</v>
      </c>
    </row>
    <row r="22" spans="1:9" x14ac:dyDescent="0.2">
      <c r="A22" s="6" t="s">
        <v>162</v>
      </c>
      <c r="B22" s="7" t="s">
        <v>163</v>
      </c>
      <c r="C22" s="8">
        <v>1.487838</v>
      </c>
      <c r="D22">
        <f>VLOOKUP(A22,[1]national_M2025_dl!$A$1:$H$1402,4,FALSE)</f>
        <v>55810</v>
      </c>
      <c r="E22">
        <f>VLOOKUP(A22,[1]national_M2025_dl!$A$1:$H$1402,8,FALSE)</f>
        <v>50580</v>
      </c>
      <c r="F22">
        <f t="shared" si="1"/>
        <v>2822869800</v>
      </c>
      <c r="G22">
        <f>VLOOKUP(A22,[1]national_M2021_dl!alldata,3,FALSE)</f>
        <v>61930</v>
      </c>
      <c r="H22" s="9">
        <f t="shared" si="0"/>
        <v>-9.8821249798159205E-2</v>
      </c>
      <c r="I22">
        <f>VLOOKUP(A22,'[1]Table 1.2'!$A$1:$M$1114,8,FALSE)</f>
        <v>-8.6999999999999993</v>
      </c>
    </row>
    <row r="23" spans="1:9" x14ac:dyDescent="0.2">
      <c r="A23" s="6" t="s">
        <v>36</v>
      </c>
      <c r="B23" s="7" t="s">
        <v>37</v>
      </c>
      <c r="C23" s="8">
        <v>0.66349550000000002</v>
      </c>
      <c r="D23">
        <f>VLOOKUP(A23,[1]national_M2025_dl!$A$1:$H$1402,4,FALSE)</f>
        <v>11560</v>
      </c>
      <c r="E23">
        <f>VLOOKUP(A23,[1]national_M2025_dl!$A$1:$H$1402,8,FALSE)</f>
        <v>78240</v>
      </c>
      <c r="F23">
        <f t="shared" si="1"/>
        <v>904454400</v>
      </c>
      <c r="G23">
        <f>VLOOKUP(A23,[1]national_M2021_dl!alldata,3,FALSE)</f>
        <v>11430</v>
      </c>
      <c r="H23" s="9">
        <f t="shared" si="0"/>
        <v>1.1373578302712161E-2</v>
      </c>
      <c r="I23">
        <f>VLOOKUP(A23,'[1]Table 1.2'!$A$1:$M$1114,8,FALSE)</f>
        <v>-8.1999999999999993</v>
      </c>
    </row>
    <row r="24" spans="1:9" x14ac:dyDescent="0.2">
      <c r="A24" s="6" t="s">
        <v>138</v>
      </c>
      <c r="B24" s="7" t="s">
        <v>139</v>
      </c>
      <c r="C24" s="8">
        <v>1.3530979999999999</v>
      </c>
      <c r="D24">
        <f>VLOOKUP(A24,[1]national_M2025_dl!$A$1:$H$1402,4,FALSE)</f>
        <v>90220</v>
      </c>
      <c r="E24">
        <f>VLOOKUP(A24,[1]national_M2025_dl!$A$1:$H$1402,8,FALSE)</f>
        <v>50610</v>
      </c>
      <c r="F24">
        <f t="shared" si="1"/>
        <v>4566034200</v>
      </c>
      <c r="G24">
        <f>VLOOKUP(A24,[1]national_M2021_dl!alldata,3,FALSE)</f>
        <v>102770</v>
      </c>
      <c r="H24" s="9">
        <f t="shared" si="0"/>
        <v>-0.12211734942103727</v>
      </c>
      <c r="I24">
        <f>VLOOKUP(A24,'[1]Table 1.2'!$A$1:$M$1114,8,FALSE)</f>
        <v>-7.1</v>
      </c>
    </row>
    <row r="25" spans="1:9" x14ac:dyDescent="0.2">
      <c r="A25" s="6" t="s">
        <v>8</v>
      </c>
      <c r="B25" s="7" t="s">
        <v>9</v>
      </c>
      <c r="C25" s="8">
        <v>3.7964999999999999E-2</v>
      </c>
      <c r="D25">
        <f>VLOOKUP(A25,[1]national_M2025_dl!$A$1:$H$1402,4,FALSE)</f>
        <v>68690</v>
      </c>
      <c r="E25">
        <f>VLOOKUP(A25,[1]national_M2025_dl!$A$1:$H$1402,8,FALSE)</f>
        <v>44580</v>
      </c>
      <c r="F25">
        <f t="shared" si="1"/>
        <v>3062200200</v>
      </c>
      <c r="G25">
        <f>VLOOKUP(A25,[1]national_M2021_dl!alldata,3,FALSE)</f>
        <v>73000</v>
      </c>
      <c r="H25" s="9">
        <f t="shared" si="0"/>
        <v>-5.9041095890410962E-2</v>
      </c>
      <c r="I25">
        <f>VLOOKUP(A25,'[1]Table 1.2'!$A$1:$M$1114,8,FALSE)</f>
        <v>-6.8</v>
      </c>
    </row>
    <row r="26" spans="1:9" x14ac:dyDescent="0.2">
      <c r="A26" s="6" t="s">
        <v>92</v>
      </c>
      <c r="B26" s="7" t="s">
        <v>93</v>
      </c>
      <c r="C26" s="8">
        <v>1.162588</v>
      </c>
      <c r="D26">
        <f>VLOOKUP(A26,[1]national_M2025_dl!$A$1:$H$1402,4,FALSE)</f>
        <v>91700</v>
      </c>
      <c r="E26">
        <f>VLOOKUP(A26,[1]national_M2025_dl!$A$1:$H$1402,8,FALSE)</f>
        <v>64820</v>
      </c>
      <c r="F26">
        <f t="shared" si="1"/>
        <v>5943994000</v>
      </c>
      <c r="G26">
        <f>VLOOKUP(A26,[1]national_M2021_dl!alldata,3,FALSE)</f>
        <v>96660</v>
      </c>
      <c r="H26" s="9">
        <f t="shared" si="0"/>
        <v>-5.131388371611835E-2</v>
      </c>
      <c r="I26">
        <f>VLOOKUP(A26,'[1]Table 1.2'!$A$1:$M$1114,8,FALSE)</f>
        <v>-6.4</v>
      </c>
    </row>
    <row r="27" spans="1:9" x14ac:dyDescent="0.2">
      <c r="A27" s="6" t="s">
        <v>158</v>
      </c>
      <c r="B27" s="7" t="s">
        <v>159</v>
      </c>
      <c r="C27" s="8">
        <v>1.440296</v>
      </c>
      <c r="D27">
        <f>VLOOKUP(A27,[1]national_M2025_dl!$A$1:$H$1402,4,FALSE)</f>
        <v>12030</v>
      </c>
      <c r="E27">
        <f>VLOOKUP(A27,[1]national_M2025_dl!$A$1:$H$1402,8,FALSE)</f>
        <v>50080</v>
      </c>
      <c r="F27">
        <f t="shared" si="1"/>
        <v>602462400</v>
      </c>
      <c r="G27">
        <f>VLOOKUP(A27,[1]national_M2021_dl!alldata,3,FALSE)</f>
        <v>16820</v>
      </c>
      <c r="H27" s="9">
        <f t="shared" si="0"/>
        <v>-0.28478002378121287</v>
      </c>
      <c r="I27">
        <f>VLOOKUP(A27,'[1]Table 1.2'!$A$1:$M$1114,8,FALSE)</f>
        <v>-6.2</v>
      </c>
    </row>
    <row r="28" spans="1:9" x14ac:dyDescent="0.2">
      <c r="A28" s="6" t="s">
        <v>68</v>
      </c>
      <c r="B28" s="7" t="s">
        <v>69</v>
      </c>
      <c r="C28" s="8">
        <v>1.0145409999999999</v>
      </c>
      <c r="D28">
        <f>VLOOKUP(A28,[1]national_M2025_dl!$A$1:$H$1402,4,FALSE)</f>
        <v>156280</v>
      </c>
      <c r="E28">
        <f>VLOOKUP(A28,[1]national_M2025_dl!$A$1:$H$1402,8,FALSE)</f>
        <v>55570</v>
      </c>
      <c r="F28">
        <f t="shared" si="1"/>
        <v>8684479600</v>
      </c>
      <c r="G28">
        <f>VLOOKUP(A28,[1]national_M2021_dl!alldata,3,FALSE)</f>
        <v>155250</v>
      </c>
      <c r="H28" s="9">
        <f t="shared" si="0"/>
        <v>6.6344605475040256E-3</v>
      </c>
      <c r="I28">
        <f>VLOOKUP(A28,'[1]Table 1.2'!$A$1:$M$1114,8,FALSE)</f>
        <v>-5.8</v>
      </c>
    </row>
    <row r="29" spans="1:9" x14ac:dyDescent="0.2">
      <c r="A29" s="6" t="s">
        <v>74</v>
      </c>
      <c r="B29" s="7" t="s">
        <v>75</v>
      </c>
      <c r="C29" s="8">
        <v>1.039749</v>
      </c>
      <c r="D29">
        <f>VLOOKUP(A29,[1]national_M2025_dl!$A$1:$H$1402,4,FALSE)</f>
        <v>1373680</v>
      </c>
      <c r="E29">
        <f>VLOOKUP(A29,[1]national_M2025_dl!$A$1:$H$1402,8,FALSE)</f>
        <v>50670</v>
      </c>
      <c r="F29">
        <f t="shared" si="1"/>
        <v>69604365600</v>
      </c>
      <c r="G29">
        <f>VLOOKUP(A29,[1]national_M2021_dl!alldata,3,FALSE)</f>
        <v>1509370</v>
      </c>
      <c r="H29" s="9">
        <f t="shared" si="0"/>
        <v>-8.989843444615965E-2</v>
      </c>
      <c r="I29">
        <f>VLOOKUP(A29,'[1]Table 1.2'!$A$1:$M$1114,8,FALSE)</f>
        <v>-5.8</v>
      </c>
    </row>
    <row r="30" spans="1:9" x14ac:dyDescent="0.2">
      <c r="A30" s="6" t="s">
        <v>90</v>
      </c>
      <c r="B30" s="7" t="s">
        <v>91</v>
      </c>
      <c r="C30" s="8">
        <v>1.1497580000000001</v>
      </c>
      <c r="D30">
        <f>VLOOKUP(A30,[1]national_M2025_dl!$A$1:$H$1402,4,FALSE)</f>
        <v>4290</v>
      </c>
      <c r="E30">
        <f>VLOOKUP(A30,[1]national_M2025_dl!$A$1:$H$1402,8,FALSE)</f>
        <v>46800</v>
      </c>
      <c r="F30">
        <f t="shared" si="1"/>
        <v>200772000</v>
      </c>
      <c r="G30">
        <f>VLOOKUP(A30,[1]national_M2021_dl!alldata,3,FALSE)</f>
        <v>7060</v>
      </c>
      <c r="H30" s="9">
        <f t="shared" si="0"/>
        <v>-0.3923512747875354</v>
      </c>
      <c r="I30">
        <f>VLOOKUP(A30,'[1]Table 1.2'!$A$1:$M$1114,8,FALSE)</f>
        <v>-5.6</v>
      </c>
    </row>
    <row r="31" spans="1:9" x14ac:dyDescent="0.2">
      <c r="A31" s="6" t="s">
        <v>56</v>
      </c>
      <c r="B31" s="7" t="s">
        <v>57</v>
      </c>
      <c r="C31" s="8">
        <v>0.84935470000000002</v>
      </c>
      <c r="D31">
        <f>VLOOKUP(A31,[1]national_M2025_dl!$A$1:$H$1402,4,FALSE)</f>
        <v>21240</v>
      </c>
      <c r="E31">
        <f>VLOOKUP(A31,[1]national_M2025_dl!$A$1:$H$1402,8,FALSE)</f>
        <v>47340</v>
      </c>
      <c r="F31">
        <f t="shared" si="1"/>
        <v>1005501600</v>
      </c>
      <c r="G31">
        <f>VLOOKUP(A31,[1]national_M2021_dl!alldata,3,FALSE)</f>
        <v>24580</v>
      </c>
      <c r="H31" s="9">
        <f t="shared" si="0"/>
        <v>-0.13588283157038242</v>
      </c>
      <c r="I31">
        <f>VLOOKUP(A31,'[1]Table 1.2'!$A$1:$M$1114,8,FALSE)</f>
        <v>-5.5</v>
      </c>
    </row>
    <row r="32" spans="1:9" x14ac:dyDescent="0.2">
      <c r="A32" s="6" t="s">
        <v>62</v>
      </c>
      <c r="B32" s="7" t="s">
        <v>63</v>
      </c>
      <c r="C32" s="8">
        <v>0.95625190000000004</v>
      </c>
      <c r="D32">
        <f>VLOOKUP(A32,[1]national_M2025_dl!$A$1:$H$1402,4,FALSE)</f>
        <v>2595750</v>
      </c>
      <c r="E32">
        <f>VLOOKUP(A32,[1]national_M2025_dl!$A$1:$H$1402,8,FALSE)</f>
        <v>44770</v>
      </c>
      <c r="F32">
        <f t="shared" si="1"/>
        <v>116211727500</v>
      </c>
      <c r="G32">
        <f>VLOOKUP(A32,[1]national_M2021_dl!alldata,3,FALSE)</f>
        <v>2787070</v>
      </c>
      <c r="H32" s="9">
        <f t="shared" si="0"/>
        <v>-6.8645566849774131E-2</v>
      </c>
      <c r="I32">
        <f>VLOOKUP(A32,'[1]Table 1.2'!$A$1:$M$1114,8,FALSE)</f>
        <v>-5.5</v>
      </c>
    </row>
    <row r="33" spans="1:9" x14ac:dyDescent="0.2">
      <c r="A33" s="6" t="s">
        <v>152</v>
      </c>
      <c r="B33" s="7" t="s">
        <v>153</v>
      </c>
      <c r="C33" s="8">
        <v>1.4265300000000001</v>
      </c>
      <c r="D33">
        <f>VLOOKUP(A33,[1]national_M2025_dl!$A$1:$H$1402,4,FALSE)</f>
        <v>8290</v>
      </c>
      <c r="E33">
        <f>VLOOKUP(A33,[1]national_M2025_dl!$A$1:$H$1402,8,FALSE)</f>
        <v>69460</v>
      </c>
      <c r="F33">
        <f t="shared" si="1"/>
        <v>575823400</v>
      </c>
      <c r="G33">
        <f>VLOOKUP(A33,[1]national_M2021_dl!alldata,3,FALSE)</f>
        <v>8850</v>
      </c>
      <c r="H33" s="9">
        <f t="shared" si="0"/>
        <v>-6.3276836158192087E-2</v>
      </c>
      <c r="I33">
        <f>VLOOKUP(A33,'[1]Table 1.2'!$A$1:$M$1114,8,FALSE)</f>
        <v>-5.2</v>
      </c>
    </row>
    <row r="34" spans="1:9" x14ac:dyDescent="0.2">
      <c r="A34" s="6" t="s">
        <v>108</v>
      </c>
      <c r="B34" s="7" t="s">
        <v>109</v>
      </c>
      <c r="C34" s="8">
        <v>1.274024</v>
      </c>
      <c r="D34">
        <f>VLOOKUP(A34,[1]national_M2025_dl!$A$1:$H$1402,4,FALSE)</f>
        <v>324230</v>
      </c>
      <c r="E34">
        <f>VLOOKUP(A34,[1]national_M2025_dl!$A$1:$H$1402,8,FALSE)</f>
        <v>78000</v>
      </c>
      <c r="F34">
        <f t="shared" si="1"/>
        <v>25289940000</v>
      </c>
      <c r="G34">
        <f>VLOOKUP(A34,[1]national_M2021_dl!alldata,3,FALSE)</f>
        <v>278140</v>
      </c>
      <c r="H34" s="9">
        <f t="shared" ref="H34:H65" si="2">(D34-G34)/G34</f>
        <v>0.16570791687639319</v>
      </c>
      <c r="I34">
        <f>VLOOKUP(A34,'[1]Table 1.2'!$A$1:$M$1114,8,FALSE)</f>
        <v>-5.0999999999999996</v>
      </c>
    </row>
    <row r="35" spans="1:9" x14ac:dyDescent="0.2">
      <c r="A35" s="6" t="s">
        <v>78</v>
      </c>
      <c r="B35" s="7" t="s">
        <v>79</v>
      </c>
      <c r="C35" s="8">
        <v>1.0625899999999999</v>
      </c>
      <c r="D35">
        <f>VLOOKUP(A35,[1]national_M2025_dl!$A$1:$H$1402,4,FALSE)</f>
        <v>41550</v>
      </c>
      <c r="E35">
        <f>VLOOKUP(A35,[1]national_M2025_dl!$A$1:$H$1402,8,FALSE)</f>
        <v>40410</v>
      </c>
      <c r="F35">
        <f t="shared" si="1"/>
        <v>1679035500</v>
      </c>
      <c r="G35">
        <f>VLOOKUP(A35,[1]national_M2021_dl!alldata,3,FALSE)</f>
        <v>55830</v>
      </c>
      <c r="H35" s="9">
        <f t="shared" si="2"/>
        <v>-0.2557764642665234</v>
      </c>
      <c r="I35">
        <f>VLOOKUP(A35,'[1]Table 1.2'!$A$1:$M$1114,8,FALSE)</f>
        <v>-4.9000000000000004</v>
      </c>
    </row>
    <row r="36" spans="1:9" x14ac:dyDescent="0.2">
      <c r="A36" s="6" t="s">
        <v>134</v>
      </c>
      <c r="B36" s="7" t="s">
        <v>135</v>
      </c>
      <c r="C36" s="8">
        <v>1.3452679999999999</v>
      </c>
      <c r="D36">
        <f>VLOOKUP(A36,[1]national_M2025_dl!$A$1:$H$1402,4,FALSE)</f>
        <v>64390</v>
      </c>
      <c r="E36">
        <f>VLOOKUP(A36,[1]national_M2025_dl!$A$1:$H$1402,8,FALSE)</f>
        <v>83510</v>
      </c>
      <c r="F36">
        <f t="shared" si="1"/>
        <v>5377208900</v>
      </c>
      <c r="G36">
        <f>VLOOKUP(A36,[1]national_M2021_dl!alldata,3,FALSE)</f>
        <v>68770</v>
      </c>
      <c r="H36" s="9">
        <f t="shared" si="2"/>
        <v>-6.3690562745383164E-2</v>
      </c>
      <c r="I36">
        <f>VLOOKUP(A36,'[1]Table 1.2'!$A$1:$M$1114,8,FALSE)</f>
        <v>-4.4000000000000004</v>
      </c>
    </row>
    <row r="37" spans="1:9" x14ac:dyDescent="0.2">
      <c r="A37" t="s">
        <v>46</v>
      </c>
      <c r="B37" s="7" t="s">
        <v>47</v>
      </c>
      <c r="C37" s="8">
        <v>0.78953150000000005</v>
      </c>
      <c r="D37">
        <f>VLOOKUP(A37,[1]national_M2025_dl!$A$1:$H$1402,4,FALSE)</f>
        <v>314340</v>
      </c>
      <c r="E37">
        <f>VLOOKUP(A37,[1]national_M2025_dl!$A$1:$H$1402,8,FALSE)</f>
        <v>99130</v>
      </c>
      <c r="F37">
        <f t="shared" si="1"/>
        <v>31160524200</v>
      </c>
      <c r="G37">
        <f>VLOOKUP(A37,[1]national_M2021_dl!alldata,3,FALSE)</f>
        <v>316760</v>
      </c>
      <c r="H37" s="9">
        <f t="shared" si="2"/>
        <v>-7.6398535168581893E-3</v>
      </c>
      <c r="I37">
        <f>VLOOKUP(A37,'[1]Table 1.2'!$A$1:$M$1114,8,FALSE)</f>
        <v>-4.2</v>
      </c>
    </row>
    <row r="38" spans="1:9" x14ac:dyDescent="0.2">
      <c r="A38" s="6" t="s">
        <v>144</v>
      </c>
      <c r="B38" s="7" t="s">
        <v>145</v>
      </c>
      <c r="C38" s="8">
        <v>1.367669</v>
      </c>
      <c r="D38">
        <f>VLOOKUP(A38,[1]national_M2025_dl!$A$1:$H$1402,4,FALSE)</f>
        <v>224220</v>
      </c>
      <c r="E38">
        <f>VLOOKUP(A38,[1]national_M2025_dl!$A$1:$H$1402,8,FALSE)</f>
        <v>78740</v>
      </c>
      <c r="F38">
        <f t="shared" si="1"/>
        <v>17655082800</v>
      </c>
      <c r="G38">
        <f>VLOOKUP(A38,[1]national_M2021_dl!alldata,3,FALSE)</f>
        <v>208950</v>
      </c>
      <c r="H38" s="9">
        <f t="shared" si="2"/>
        <v>7.3079684134960521E-2</v>
      </c>
      <c r="I38">
        <f>VLOOKUP(A38,'[1]Table 1.2'!$A$1:$M$1114,8,FALSE)</f>
        <v>-4.2</v>
      </c>
    </row>
    <row r="39" spans="1:9" x14ac:dyDescent="0.2">
      <c r="A39" s="10" t="s">
        <v>94</v>
      </c>
      <c r="B39" s="11" t="s">
        <v>95</v>
      </c>
      <c r="C39" s="8">
        <v>1.1635169999999999</v>
      </c>
      <c r="D39">
        <f>VLOOKUP(A39,[1]national_M2025_dl!$A$1:$H$1402,4,FALSE)</f>
        <v>39250</v>
      </c>
      <c r="E39">
        <f>VLOOKUP(A39,[1]national_M2025_dl!$A$1:$H$1402,8,FALSE)</f>
        <v>62200</v>
      </c>
      <c r="F39">
        <f t="shared" si="1"/>
        <v>2441350000</v>
      </c>
      <c r="G39">
        <f>VLOOKUP(A39,[1]national_M2021_dl!alldata,3,FALSE)</f>
        <v>39080</v>
      </c>
      <c r="H39" s="9">
        <f t="shared" si="2"/>
        <v>4.3500511770726714E-3</v>
      </c>
      <c r="I39">
        <f>VLOOKUP(A39,'[1]Table 1.2'!$A$1:$M$1114,8,FALSE)</f>
        <v>-3.9</v>
      </c>
    </row>
    <row r="40" spans="1:9" x14ac:dyDescent="0.2">
      <c r="A40" t="s">
        <v>16</v>
      </c>
      <c r="B40" s="7" t="s">
        <v>17</v>
      </c>
      <c r="C40" s="8">
        <v>0.29934300000000003</v>
      </c>
      <c r="D40">
        <f>VLOOKUP(A40,[1]national_M2025_dl!$A$1:$H$1402,4,FALSE)</f>
        <v>717190</v>
      </c>
      <c r="E40">
        <f>VLOOKUP(A40,[1]national_M2025_dl!$A$1:$H$1402,8,FALSE)</f>
        <v>61860</v>
      </c>
      <c r="F40">
        <f t="shared" si="1"/>
        <v>44365373400</v>
      </c>
      <c r="G40">
        <f>VLOOKUP(A40,[1]national_M2021_dl!alldata,3,FALSE)</f>
        <v>654310</v>
      </c>
      <c r="H40" s="9">
        <f t="shared" si="2"/>
        <v>9.6101236416988894E-2</v>
      </c>
      <c r="I40">
        <f>VLOOKUP(A40,'[1]Table 1.2'!$A$1:$M$1114,8,FALSE)</f>
        <v>-3.7</v>
      </c>
    </row>
    <row r="41" spans="1:9" x14ac:dyDescent="0.2">
      <c r="A41" s="6" t="s">
        <v>102</v>
      </c>
      <c r="B41" s="7" t="s">
        <v>103</v>
      </c>
      <c r="C41" s="8">
        <v>1.2402010000000001</v>
      </c>
      <c r="D41">
        <f>VLOOKUP(A41,[1]national_M2025_dl!$A$1:$H$1402,4,FALSE)</f>
        <v>214260</v>
      </c>
      <c r="E41">
        <f>VLOOKUP(A41,[1]national_M2025_dl!$A$1:$H$1402,8,FALSE)</f>
        <v>49230</v>
      </c>
      <c r="F41">
        <f t="shared" si="1"/>
        <v>10548019800</v>
      </c>
      <c r="G41">
        <f>VLOOKUP(A41,[1]national_M2021_dl!alldata,3,FALSE)</f>
        <v>218300</v>
      </c>
      <c r="H41" s="9">
        <f t="shared" si="2"/>
        <v>-1.8506642235455794E-2</v>
      </c>
      <c r="I41">
        <f>VLOOKUP(A41,'[1]Table 1.2'!$A$1:$M$1114,8,FALSE)</f>
        <v>-3.7</v>
      </c>
    </row>
    <row r="42" spans="1:9" x14ac:dyDescent="0.2">
      <c r="A42" s="6" t="s">
        <v>48</v>
      </c>
      <c r="B42" s="7" t="s">
        <v>49</v>
      </c>
      <c r="C42" s="8">
        <v>0.82337570000000004</v>
      </c>
      <c r="D42">
        <f>VLOOKUP(A42,[1]national_M2025_dl!$A$1:$H$1402,4,FALSE)</f>
        <v>13810</v>
      </c>
      <c r="E42">
        <f>VLOOKUP(A42,[1]national_M2025_dl!$A$1:$H$1402,8,FALSE)</f>
        <v>96660</v>
      </c>
      <c r="F42">
        <f t="shared" si="1"/>
        <v>1334874600</v>
      </c>
      <c r="G42">
        <f>VLOOKUP(A42,[1]national_M2021_dl!alldata,3,FALSE)</f>
        <v>12750</v>
      </c>
      <c r="H42" s="9">
        <f t="shared" si="2"/>
        <v>8.3137254901960778E-2</v>
      </c>
      <c r="I42">
        <f>VLOOKUP(A42,'[1]Table 1.2'!$A$1:$M$1114,8,FALSE)</f>
        <v>-3.5</v>
      </c>
    </row>
    <row r="43" spans="1:9" x14ac:dyDescent="0.2">
      <c r="A43" s="6" t="s">
        <v>150</v>
      </c>
      <c r="B43" s="7" t="s">
        <v>151</v>
      </c>
      <c r="C43" s="8">
        <v>1.418863</v>
      </c>
      <c r="D43">
        <f>VLOOKUP(A43,[1]national_M2025_dl!$A$1:$H$1402,4,FALSE)</f>
        <v>5540</v>
      </c>
      <c r="E43">
        <f>VLOOKUP(A43,[1]national_M2025_dl!$A$1:$H$1402,8,FALSE)</f>
        <v>142080</v>
      </c>
      <c r="F43">
        <f t="shared" si="1"/>
        <v>787123200</v>
      </c>
      <c r="G43">
        <f>VLOOKUP(A43,[1]national_M2021_dl!alldata,3,FALSE)</f>
        <v>5650</v>
      </c>
      <c r="H43" s="9">
        <f t="shared" si="2"/>
        <v>-1.9469026548672566E-2</v>
      </c>
      <c r="I43">
        <f>VLOOKUP(A43,'[1]Table 1.2'!$A$1:$M$1114,8,FALSE)</f>
        <v>-3.1</v>
      </c>
    </row>
    <row r="44" spans="1:9" x14ac:dyDescent="0.2">
      <c r="A44" s="6" t="s">
        <v>154</v>
      </c>
      <c r="B44" s="7" t="s">
        <v>155</v>
      </c>
      <c r="C44" s="8">
        <v>1.4362980000000001</v>
      </c>
      <c r="D44">
        <f>VLOOKUP(A44,[1]national_M2025_dl!$A$1:$H$1402,4,FALSE)</f>
        <v>1400</v>
      </c>
      <c r="E44">
        <f>VLOOKUP(A44,[1]national_M2025_dl!$A$1:$H$1402,8,FALSE)</f>
        <v>102040</v>
      </c>
      <c r="F44">
        <f t="shared" si="1"/>
        <v>142856000</v>
      </c>
      <c r="G44">
        <f>VLOOKUP(A44,[1]national_M2021_dl!alldata,3,FALSE)</f>
        <v>1440</v>
      </c>
      <c r="H44" s="9">
        <f t="shared" si="2"/>
        <v>-2.7777777777777776E-2</v>
      </c>
      <c r="I44">
        <f>VLOOKUP(A44,'[1]Table 1.2'!$A$1:$M$1114,8,FALSE)</f>
        <v>-3.1</v>
      </c>
    </row>
    <row r="45" spans="1:9" x14ac:dyDescent="0.2">
      <c r="A45" s="6" t="s">
        <v>124</v>
      </c>
      <c r="B45" s="7" t="s">
        <v>125</v>
      </c>
      <c r="C45" s="8">
        <v>1.3266519999999999</v>
      </c>
      <c r="D45">
        <f>VLOOKUP(A45,[1]national_M2025_dl!$A$1:$H$1402,4,FALSE)</f>
        <v>105420</v>
      </c>
      <c r="E45">
        <f>VLOOKUP(A45,[1]national_M2025_dl!$A$1:$H$1402,8,FALSE)</f>
        <v>81370</v>
      </c>
      <c r="F45">
        <f t="shared" si="1"/>
        <v>8578025400</v>
      </c>
      <c r="G45">
        <f>VLOOKUP(A45,[1]national_M2021_dl!alldata,3,FALSE)</f>
        <v>107690</v>
      </c>
      <c r="H45" s="9">
        <f t="shared" si="2"/>
        <v>-2.1079023121924043E-2</v>
      </c>
      <c r="I45">
        <f>VLOOKUP(A45,'[1]Table 1.2'!$A$1:$M$1114,8,FALSE)</f>
        <v>-2.6</v>
      </c>
    </row>
    <row r="46" spans="1:9" x14ac:dyDescent="0.2">
      <c r="A46" s="6" t="s">
        <v>52</v>
      </c>
      <c r="B46" s="7" t="s">
        <v>53</v>
      </c>
      <c r="C46" s="8">
        <v>0.83800699999999995</v>
      </c>
      <c r="D46">
        <f>VLOOKUP(A46,[1]national_M2025_dl!$A$1:$H$1402,4,FALSE)</f>
        <v>73660</v>
      </c>
      <c r="E46">
        <f>VLOOKUP(A46,[1]national_M2025_dl!$A$1:$H$1402,8,FALSE)</f>
        <v>59300</v>
      </c>
      <c r="F46">
        <f t="shared" si="1"/>
        <v>4368038000</v>
      </c>
      <c r="G46">
        <f>VLOOKUP(A46,[1]national_M2021_dl!alldata,3,FALSE)</f>
        <v>56430</v>
      </c>
      <c r="H46" s="9">
        <f t="shared" si="2"/>
        <v>0.30533404217614746</v>
      </c>
      <c r="I46">
        <f>VLOOKUP(A46,'[1]Table 1.2'!$A$1:$M$1114,8,FALSE)</f>
        <v>-2.5</v>
      </c>
    </row>
    <row r="47" spans="1:9" x14ac:dyDescent="0.2">
      <c r="A47" s="6" t="s">
        <v>58</v>
      </c>
      <c r="B47" s="7" t="s">
        <v>59</v>
      </c>
      <c r="C47" s="8">
        <v>0.86040309999999998</v>
      </c>
      <c r="D47">
        <f>VLOOKUP(A47,[1]national_M2025_dl!$A$1:$H$1402,4,FALSE)</f>
        <v>8220</v>
      </c>
      <c r="E47">
        <f>VLOOKUP(A47,[1]national_M2025_dl!$A$1:$H$1402,8,FALSE)</f>
        <v>60220</v>
      </c>
      <c r="F47">
        <f t="shared" si="1"/>
        <v>495008400</v>
      </c>
      <c r="G47">
        <f>VLOOKUP(A47,[1]national_M2021_dl!alldata,3,FALSE)</f>
        <v>10620</v>
      </c>
      <c r="H47" s="9">
        <f t="shared" si="2"/>
        <v>-0.22598870056497175</v>
      </c>
      <c r="I47">
        <f>VLOOKUP(A47,'[1]Table 1.2'!$A$1:$M$1114,8,FALSE)</f>
        <v>-2.5</v>
      </c>
    </row>
    <row r="48" spans="1:9" x14ac:dyDescent="0.2">
      <c r="A48" s="6" t="s">
        <v>148</v>
      </c>
      <c r="B48" s="7" t="s">
        <v>149</v>
      </c>
      <c r="C48" s="8">
        <v>1.3899649999999999</v>
      </c>
      <c r="D48">
        <f>VLOOKUP(A48,[1]national_M2025_dl!$A$1:$H$1402,4,FALSE)</f>
        <v>4710</v>
      </c>
      <c r="E48">
        <f>VLOOKUP(A48,[1]national_M2025_dl!$A$1:$H$1402,8,FALSE)</f>
        <v>50330</v>
      </c>
      <c r="F48">
        <f t="shared" si="1"/>
        <v>237054300</v>
      </c>
      <c r="G48">
        <f>VLOOKUP(A48,[1]national_M2021_dl!alldata,3,FALSE)</f>
        <v>6190</v>
      </c>
      <c r="H48" s="9">
        <f t="shared" si="2"/>
        <v>-0.23909531502423265</v>
      </c>
      <c r="I48">
        <f>VLOOKUP(A48,'[1]Table 1.2'!$A$1:$M$1114,8,FALSE)</f>
        <v>-2.5</v>
      </c>
    </row>
    <row r="49" spans="1:9" x14ac:dyDescent="0.2">
      <c r="A49" s="6" t="s">
        <v>140</v>
      </c>
      <c r="B49" s="7" t="s">
        <v>141</v>
      </c>
      <c r="C49" s="8">
        <v>1.364395</v>
      </c>
      <c r="D49">
        <f>VLOOKUP(A49,[1]national_M2025_dl!$A$1:$H$1402,4,FALSE)</f>
        <v>164790</v>
      </c>
      <c r="E49">
        <f>VLOOKUP(A49,[1]national_M2025_dl!$A$1:$H$1402,8,FALSE)</f>
        <v>50020</v>
      </c>
      <c r="F49">
        <f>D49*E49</f>
        <v>8242795800</v>
      </c>
      <c r="G49">
        <f>VLOOKUP(A49,[1]national_M2021_dl!alldata,3,FALSE)</f>
        <v>238610</v>
      </c>
      <c r="H49" s="9">
        <f t="shared" si="2"/>
        <v>-0.30937513096684965</v>
      </c>
      <c r="I49">
        <f>VLOOKUP(A49,'[1]Table 1.2'!$A$1:$M$1114,8,FALSE)</f>
        <v>-2.2999999999999998</v>
      </c>
    </row>
    <row r="50" spans="1:9" x14ac:dyDescent="0.2">
      <c r="A50" s="6" t="s">
        <v>116</v>
      </c>
      <c r="B50" s="7" t="s">
        <v>117</v>
      </c>
      <c r="C50" s="8">
        <v>1.294387</v>
      </c>
      <c r="D50">
        <f>VLOOKUP(A50,[1]national_M2025_dl!$A$1:$H$1402,4,FALSE)</f>
        <v>21470</v>
      </c>
      <c r="E50">
        <f>VLOOKUP(A50,[1]national_M2025_dl!$A$1:$H$1402,8,FALSE)</f>
        <v>133660</v>
      </c>
      <c r="F50">
        <f t="shared" si="1"/>
        <v>2869680200</v>
      </c>
      <c r="G50">
        <f>VLOOKUP(A50,[1]national_M2021_dl!alldata,3,FALSE)</f>
        <v>22520</v>
      </c>
      <c r="H50" s="9">
        <f t="shared" si="2"/>
        <v>-4.6625222024866783E-2</v>
      </c>
      <c r="I50">
        <f>VLOOKUP(A50,'[1]Table 1.2'!$A$1:$M$1114,8,FALSE)</f>
        <v>-2.2000000000000002</v>
      </c>
    </row>
    <row r="51" spans="1:9" x14ac:dyDescent="0.2">
      <c r="A51" s="6" t="s">
        <v>32</v>
      </c>
      <c r="B51" s="7" t="s">
        <v>33</v>
      </c>
      <c r="C51" s="8">
        <v>0.51991909999999997</v>
      </c>
      <c r="D51">
        <f>VLOOKUP(A51,[1]national_M2025_dl!$A$1:$H$1402,4,FALSE)</f>
        <v>16870</v>
      </c>
      <c r="E51">
        <f>VLOOKUP(A51,[1]national_M2025_dl!$A$1:$H$1402,8,FALSE)</f>
        <v>65030</v>
      </c>
      <c r="F51">
        <f t="shared" si="1"/>
        <v>1097056100</v>
      </c>
      <c r="G51">
        <f>VLOOKUP(A51,[1]national_M2021_dl!alldata,3,FALSE)</f>
        <v>11840</v>
      </c>
      <c r="H51" s="9">
        <f t="shared" si="2"/>
        <v>0.42483108108108109</v>
      </c>
      <c r="I51">
        <f>VLOOKUP(A51,'[1]Table 1.2'!$A$1:$M$1114,8,FALSE)</f>
        <v>-2</v>
      </c>
    </row>
    <row r="52" spans="1:9" x14ac:dyDescent="0.2">
      <c r="A52" s="6" t="s">
        <v>60</v>
      </c>
      <c r="B52" s="7" t="s">
        <v>61</v>
      </c>
      <c r="C52" s="8">
        <v>0.88694910000000005</v>
      </c>
      <c r="D52">
        <f>VLOOKUP(A52,[1]national_M2025_dl!$A$1:$H$1402,4,FALSE)</f>
        <v>1388390</v>
      </c>
      <c r="E52">
        <f>VLOOKUP(A52,[1]national_M2025_dl!$A$1:$H$1402,8,FALSE)</f>
        <v>63970</v>
      </c>
      <c r="F52">
        <f t="shared" si="1"/>
        <v>88815308300</v>
      </c>
      <c r="G52">
        <f>VLOOKUP(A52,[1]national_M2021_dl!alldata,3,FALSE)</f>
        <v>1329280</v>
      </c>
      <c r="H52" s="9">
        <f t="shared" si="2"/>
        <v>4.4467681752527681E-2</v>
      </c>
      <c r="I52">
        <f>VLOOKUP(A52,'[1]Table 1.2'!$A$1:$M$1114,8,FALSE)</f>
        <v>-2</v>
      </c>
    </row>
    <row r="53" spans="1:9" x14ac:dyDescent="0.2">
      <c r="A53" s="6" t="s">
        <v>112</v>
      </c>
      <c r="B53" s="7" t="s">
        <v>113</v>
      </c>
      <c r="C53" s="8">
        <v>1.2864450000000001</v>
      </c>
      <c r="D53">
        <f>VLOOKUP(A53,[1]national_M2025_dl!$A$1:$H$1402,4,FALSE)</f>
        <v>620090</v>
      </c>
      <c r="E53">
        <f>VLOOKUP(A53,[1]national_M2025_dl!$A$1:$H$1402,8,FALSE)</f>
        <v>64370</v>
      </c>
      <c r="F53">
        <f t="shared" si="1"/>
        <v>39915193300</v>
      </c>
      <c r="G53">
        <f>VLOOKUP(A53,[1]national_M2021_dl!alldata,3,FALSE)</f>
        <v>592000</v>
      </c>
      <c r="H53" s="9">
        <f t="shared" si="2"/>
        <v>4.7449324324324325E-2</v>
      </c>
      <c r="I53">
        <f>VLOOKUP(A53,'[1]Table 1.2'!$A$1:$M$1114,8,FALSE)</f>
        <v>-2</v>
      </c>
    </row>
    <row r="54" spans="1:9" x14ac:dyDescent="0.2">
      <c r="A54" t="s">
        <v>118</v>
      </c>
      <c r="B54" s="7" t="s">
        <v>119</v>
      </c>
      <c r="C54" s="8">
        <v>1.2960719999999999</v>
      </c>
      <c r="D54">
        <f>VLOOKUP(A54,[1]national_M2025_dl!$A$1:$H$1402,4,FALSE)</f>
        <v>95200</v>
      </c>
      <c r="E54">
        <f>VLOOKUP(A54,[1]national_M2025_dl!$A$1:$H$1402,8,FALSE)</f>
        <v>66810</v>
      </c>
      <c r="F54">
        <f t="shared" si="1"/>
        <v>6360312000</v>
      </c>
      <c r="G54">
        <f>VLOOKUP(A54,[1]national_M2021_dl!alldata,3,FALSE)</f>
        <v>79070</v>
      </c>
      <c r="H54" s="9">
        <f t="shared" si="2"/>
        <v>0.2039964588339446</v>
      </c>
      <c r="I54">
        <f>VLOOKUP(A54,'[1]Table 1.2'!$A$1:$M$1114,8,FALSE)</f>
        <v>-1.9</v>
      </c>
    </row>
    <row r="55" spans="1:9" x14ac:dyDescent="0.2">
      <c r="A55" s="6" t="s">
        <v>24</v>
      </c>
      <c r="B55" s="7" t="s">
        <v>25</v>
      </c>
      <c r="C55" s="8">
        <v>0.37345050000000002</v>
      </c>
      <c r="D55">
        <f>VLOOKUP(A55,[1]national_M2025_dl!$A$1:$H$1402,4,FALSE)</f>
        <v>111420</v>
      </c>
      <c r="E55">
        <f>VLOOKUP(A55,[1]national_M2025_dl!$A$1:$H$1402,8,FALSE)</f>
        <v>66270</v>
      </c>
      <c r="F55">
        <f t="shared" si="1"/>
        <v>7383803400</v>
      </c>
      <c r="G55">
        <f>VLOOKUP(A55,[1]national_M2021_dl!alldata,3,FALSE)</f>
        <v>84360</v>
      </c>
      <c r="H55" s="9">
        <f t="shared" si="2"/>
        <v>0.32076813655761022</v>
      </c>
      <c r="I55">
        <f>VLOOKUP(A55,'[1]Table 1.2'!$A$1:$M$1114,8,FALSE)</f>
        <v>-1.8</v>
      </c>
    </row>
    <row r="56" spans="1:9" x14ac:dyDescent="0.2">
      <c r="A56" s="6" t="s">
        <v>38</v>
      </c>
      <c r="B56" s="7" t="s">
        <v>39</v>
      </c>
      <c r="C56" s="8">
        <v>0.69991029999999999</v>
      </c>
      <c r="D56">
        <f>VLOOKUP(A56,[1]national_M2025_dl!$A$1:$H$1402,4,FALSE)</f>
        <v>390160</v>
      </c>
      <c r="E56">
        <f>VLOOKUP(A56,[1]national_M2025_dl!$A$1:$H$1402,8,FALSE)</f>
        <v>59650</v>
      </c>
      <c r="F56">
        <f t="shared" si="1"/>
        <v>23273044000</v>
      </c>
      <c r="G56">
        <f>VLOOKUP(A56,[1]national_M2021_dl!alldata,3,FALSE)</f>
        <v>367200</v>
      </c>
      <c r="H56" s="9">
        <f t="shared" si="2"/>
        <v>6.2527233115468414E-2</v>
      </c>
      <c r="I56">
        <f>VLOOKUP(A56,'[1]Table 1.2'!$A$1:$M$1114,8,FALSE)</f>
        <v>-1.8</v>
      </c>
    </row>
    <row r="57" spans="1:9" x14ac:dyDescent="0.2">
      <c r="A57" s="6" t="s">
        <v>42</v>
      </c>
      <c r="B57" s="7" t="s">
        <v>43</v>
      </c>
      <c r="C57" s="8">
        <v>0.73574859999999997</v>
      </c>
      <c r="D57">
        <f>VLOOKUP(A57,[1]national_M2025_dl!$A$1:$H$1402,4,FALSE)</f>
        <v>260870</v>
      </c>
      <c r="E57">
        <f>VLOOKUP(A57,[1]national_M2025_dl!$A$1:$H$1402,8,FALSE)</f>
        <v>65120</v>
      </c>
      <c r="F57">
        <f t="shared" si="1"/>
        <v>16987854400</v>
      </c>
      <c r="G57">
        <f>VLOOKUP(A57,[1]national_M2021_dl!alldata,3,FALSE)</f>
        <v>187070</v>
      </c>
      <c r="H57" s="9">
        <f t="shared" si="2"/>
        <v>0.39450473084941468</v>
      </c>
      <c r="I57">
        <f>VLOOKUP(A57,'[1]Table 1.2'!$A$1:$M$1114,8,FALSE)</f>
        <v>-1.8</v>
      </c>
    </row>
    <row r="58" spans="1:9" x14ac:dyDescent="0.2">
      <c r="A58" s="6" t="s">
        <v>142</v>
      </c>
      <c r="B58" s="7" t="s">
        <v>143</v>
      </c>
      <c r="C58" s="8">
        <v>1.3668199999999999</v>
      </c>
      <c r="D58">
        <f>VLOOKUP(A58,[1]national_M2025_dl!$A$1:$H$1402,4,FALSE)</f>
        <v>56610</v>
      </c>
      <c r="E58">
        <f>VLOOKUP(A58,[1]national_M2025_dl!$A$1:$H$1402,8,FALSE)</f>
        <v>62370</v>
      </c>
      <c r="F58">
        <f t="shared" si="1"/>
        <v>3530765700</v>
      </c>
      <c r="G58">
        <f>VLOOKUP(A58,[1]national_M2021_dl!alldata,3,FALSE)</f>
        <v>52270</v>
      </c>
      <c r="H58" s="9">
        <f t="shared" si="2"/>
        <v>8.3030418978381482E-2</v>
      </c>
      <c r="I58">
        <f>VLOOKUP(A58,'[1]Table 1.2'!$A$1:$M$1114,8,FALSE)</f>
        <v>-1.8</v>
      </c>
    </row>
    <row r="59" spans="1:9" x14ac:dyDescent="0.2">
      <c r="A59" s="6" t="s">
        <v>126</v>
      </c>
      <c r="B59" s="7" t="s">
        <v>127</v>
      </c>
      <c r="C59" s="8">
        <v>1.3280479999999999</v>
      </c>
      <c r="D59">
        <f>VLOOKUP(A59,[1]national_M2025_dl!$A$1:$H$1402,4,FALSE)</f>
        <v>37100</v>
      </c>
      <c r="E59">
        <f>VLOOKUP(A59,[1]national_M2025_dl!$A$1:$H$1402,8,FALSE)</f>
        <v>101110</v>
      </c>
      <c r="F59">
        <f t="shared" si="1"/>
        <v>3751181000</v>
      </c>
      <c r="G59">
        <f>VLOOKUP(A59,[1]national_M2021_dl!alldata,3,FALSE)</f>
        <v>34330</v>
      </c>
      <c r="H59" s="9">
        <f t="shared" si="2"/>
        <v>8.0687445383046896E-2</v>
      </c>
      <c r="I59">
        <f>VLOOKUP(A59,'[1]Table 1.2'!$A$1:$M$1114,8,FALSE)</f>
        <v>-1.7</v>
      </c>
    </row>
    <row r="60" spans="1:9" x14ac:dyDescent="0.2">
      <c r="A60" s="6" t="s">
        <v>22</v>
      </c>
      <c r="B60" s="7" t="s">
        <v>23</v>
      </c>
      <c r="C60" s="8">
        <v>0.36440470000000003</v>
      </c>
      <c r="D60">
        <f>VLOOKUP(A60,[1]national_M2025_dl!$A$1:$H$1402,4,FALSE)</f>
        <v>108870</v>
      </c>
      <c r="E60">
        <f>VLOOKUP(A60,[1]national_M2025_dl!$A$1:$H$1402,8,FALSE)</f>
        <v>62680</v>
      </c>
      <c r="F60">
        <f t="shared" si="1"/>
        <v>6823971600</v>
      </c>
      <c r="G60">
        <f>VLOOKUP(A60,[1]national_M2021_dl!alldata,3,FALSE)</f>
        <v>120730</v>
      </c>
      <c r="H60" s="9">
        <f t="shared" si="2"/>
        <v>-9.8235732626521993E-2</v>
      </c>
      <c r="I60">
        <f>VLOOKUP(A60,'[1]Table 1.2'!$A$1:$M$1114,8,FALSE)</f>
        <v>-1.6</v>
      </c>
    </row>
    <row r="61" spans="1:9" x14ac:dyDescent="0.2">
      <c r="A61" t="s">
        <v>64</v>
      </c>
      <c r="B61" s="7" t="s">
        <v>65</v>
      </c>
      <c r="C61" s="8">
        <v>0.95876530000000004</v>
      </c>
      <c r="D61">
        <f>VLOOKUP(A61,[1]national_M2025_dl!$A$1:$H$1402,4,FALSE)</f>
        <v>163930</v>
      </c>
      <c r="E61">
        <f>VLOOKUP(A61,[1]national_M2025_dl!$A$1:$H$1402,8,FALSE)</f>
        <v>74260</v>
      </c>
      <c r="F61">
        <f t="shared" si="1"/>
        <v>12173441800</v>
      </c>
      <c r="G61">
        <f>VLOOKUP(A61,[1]national_M2021_dl!alldata,3,FALSE)</f>
        <v>145690</v>
      </c>
      <c r="H61" s="9">
        <f t="shared" si="2"/>
        <v>0.12519733681103715</v>
      </c>
      <c r="I61">
        <f>VLOOKUP(A61,'[1]Table 1.2'!$A$1:$M$1114,8,FALSE)</f>
        <v>-1.6</v>
      </c>
    </row>
    <row r="62" spans="1:9" x14ac:dyDescent="0.2">
      <c r="A62" s="6" t="s">
        <v>80</v>
      </c>
      <c r="B62" s="7" t="s">
        <v>81</v>
      </c>
      <c r="C62" s="8">
        <v>1.0796429999999999</v>
      </c>
      <c r="D62">
        <f>VLOOKUP(A62,[1]national_M2025_dl!$A$1:$H$1402,4,FALSE)</f>
        <v>459910</v>
      </c>
      <c r="E62">
        <f>VLOOKUP(A62,[1]national_M2025_dl!$A$1:$H$1402,8,FALSE)</f>
        <v>76590</v>
      </c>
      <c r="F62">
        <f t="shared" si="1"/>
        <v>35224506900</v>
      </c>
      <c r="G62">
        <f>VLOOKUP(A62,[1]national_M2021_dl!alldata,3,FALSE)</f>
        <v>466910</v>
      </c>
      <c r="H62" s="9">
        <f t="shared" si="2"/>
        <v>-1.4992182647619456E-2</v>
      </c>
      <c r="I62">
        <f>VLOOKUP(A62,'[1]Table 1.2'!$A$1:$M$1114,8,FALSE)</f>
        <v>-1.6</v>
      </c>
    </row>
    <row r="63" spans="1:9" x14ac:dyDescent="0.2">
      <c r="A63" s="6" t="s">
        <v>82</v>
      </c>
      <c r="B63" s="7" t="s">
        <v>83</v>
      </c>
      <c r="C63" s="8">
        <v>1.099056</v>
      </c>
      <c r="D63">
        <f>VLOOKUP(A63,[1]national_M2025_dl!$A$1:$H$1402,4,FALSE)</f>
        <v>1706790</v>
      </c>
      <c r="E63">
        <f>VLOOKUP(A63,[1]national_M2025_dl!$A$1:$H$1402,8,FALSE)</f>
        <v>47540</v>
      </c>
      <c r="F63">
        <f t="shared" si="1"/>
        <v>81140796600</v>
      </c>
      <c r="G63">
        <f>VLOOKUP(A63,[1]national_M2021_dl!alldata,3,FALSE)</f>
        <v>1825980</v>
      </c>
      <c r="H63" s="9">
        <f t="shared" si="2"/>
        <v>-6.527453750862551E-2</v>
      </c>
      <c r="I63">
        <f>VLOOKUP(A63,'[1]Table 1.2'!$A$1:$M$1114,8,FALSE)</f>
        <v>-1.6</v>
      </c>
    </row>
    <row r="64" spans="1:9" x14ac:dyDescent="0.2">
      <c r="A64" s="6" t="s">
        <v>98</v>
      </c>
      <c r="B64" s="7" t="s">
        <v>99</v>
      </c>
      <c r="C64" s="8">
        <v>1.191325</v>
      </c>
      <c r="D64">
        <f>VLOOKUP(A64,[1]national_M2025_dl!$A$1:$H$1402,4,FALSE)</f>
        <v>1065210</v>
      </c>
      <c r="E64">
        <f>VLOOKUP(A64,[1]national_M2025_dl!$A$1:$H$1402,8,FALSE)</f>
        <v>72040</v>
      </c>
      <c r="F64">
        <f t="shared" si="1"/>
        <v>76737728400</v>
      </c>
      <c r="G64">
        <f>VLOOKUP(A64,[1]national_M2021_dl!alldata,3,FALSE)</f>
        <v>1020240</v>
      </c>
      <c r="H64" s="9">
        <f t="shared" si="2"/>
        <v>4.4077864031992472E-2</v>
      </c>
      <c r="I64">
        <f>VLOOKUP(A64,'[1]Table 1.2'!$A$1:$M$1114,8,FALSE)</f>
        <v>-1.6</v>
      </c>
    </row>
    <row r="65" spans="1:9" x14ac:dyDescent="0.2">
      <c r="A65" s="6" t="s">
        <v>76</v>
      </c>
      <c r="B65" s="7" t="s">
        <v>77</v>
      </c>
      <c r="C65" s="8">
        <v>1.0488109999999999</v>
      </c>
      <c r="D65">
        <f>VLOOKUP(A65,[1]national_M2025_dl!$A$1:$H$1402,4,FALSE)</f>
        <v>328330</v>
      </c>
      <c r="E65">
        <f>VLOOKUP(A65,[1]national_M2025_dl!$A$1:$H$1402,8,FALSE)</f>
        <v>105870</v>
      </c>
      <c r="F65">
        <f t="shared" si="1"/>
        <v>34760297100</v>
      </c>
      <c r="G65">
        <f>VLOOKUP(A65,[1]national_M2021_dl!alldata,3,FALSE)</f>
        <v>274710</v>
      </c>
      <c r="H65" s="9">
        <f t="shared" si="2"/>
        <v>0.1951876524334753</v>
      </c>
      <c r="I65">
        <f>VLOOKUP(A65,'[1]Table 1.2'!$A$1:$M$1114,8,FALSE)</f>
        <v>-1.5</v>
      </c>
    </row>
    <row r="66" spans="1:9" x14ac:dyDescent="0.2">
      <c r="A66" t="s">
        <v>28</v>
      </c>
      <c r="B66" s="7" t="s">
        <v>29</v>
      </c>
      <c r="C66" s="8">
        <v>0.4516636</v>
      </c>
      <c r="D66">
        <f>VLOOKUP(A66,[1]national_M2025_dl!$A$1:$H$1402,4,FALSE)</f>
        <v>1584440</v>
      </c>
      <c r="E66">
        <f>VLOOKUP(A66,[1]national_M2025_dl!$A$1:$H$1402,8,FALSE)</f>
        <v>37010</v>
      </c>
      <c r="F66">
        <f t="shared" si="1"/>
        <v>58640124400</v>
      </c>
      <c r="G66">
        <f>VLOOKUP(A66,[1]national_M2021_dl!alldata,3,FALSE)</f>
        <v>1308560</v>
      </c>
      <c r="H66" s="9">
        <f t="shared" ref="H66:H79" si="3">(D66-G66)/G66</f>
        <v>0.21082716879623403</v>
      </c>
      <c r="I66">
        <f>VLOOKUP(A66,'[1]Table 1.2'!$A$1:$M$1114,8,FALSE)</f>
        <v>-0.9</v>
      </c>
    </row>
    <row r="67" spans="1:9" x14ac:dyDescent="0.2">
      <c r="A67" s="12" t="s">
        <v>100</v>
      </c>
      <c r="B67" s="7" t="s">
        <v>101</v>
      </c>
      <c r="C67" s="8">
        <v>1.234523</v>
      </c>
      <c r="D67">
        <f>VLOOKUP(A67,[1]national_M2025_dl!$A$1:$H$1402,4,FALSE)</f>
        <v>202810</v>
      </c>
      <c r="E67">
        <f>VLOOKUP(A67,[1]national_M2025_dl!$A$1:$H$1402,8,FALSE)</f>
        <v>50340</v>
      </c>
      <c r="F67">
        <f t="shared" ref="F67:F69" si="4">D67*E67</f>
        <v>10209455400</v>
      </c>
      <c r="G67">
        <f>VLOOKUP(A67,[1]national_M2021_dl!alldata,3,FALSE)</f>
        <v>194330</v>
      </c>
      <c r="H67" s="9">
        <f t="shared" si="3"/>
        <v>4.3637112128852983E-2</v>
      </c>
      <c r="I67">
        <f>VLOOKUP(A67,'[1]Table 1.2'!$A$1:$M$1114,8,FALSE)</f>
        <v>-0.9</v>
      </c>
    </row>
    <row r="68" spans="1:9" s="13" customFormat="1" x14ac:dyDescent="0.2">
      <c r="A68" t="s">
        <v>110</v>
      </c>
      <c r="B68" s="7" t="s">
        <v>111</v>
      </c>
      <c r="C68" s="8">
        <v>1.2848630000000001</v>
      </c>
      <c r="D68">
        <f>VLOOKUP(A68,[1]national_M2025_dl!$A$1:$H$1402,4,FALSE)</f>
        <v>69990</v>
      </c>
      <c r="E68">
        <f>VLOOKUP(A68,[1]national_M2025_dl!$A$1:$H$1402,8,FALSE)</f>
        <v>104620</v>
      </c>
      <c r="F68">
        <f t="shared" si="4"/>
        <v>7322353800</v>
      </c>
      <c r="G68">
        <f>VLOOKUP(A68,[1]national_M2021_dl!alldata,3,FALSE)</f>
        <v>85870</v>
      </c>
      <c r="H68" s="9">
        <f t="shared" si="3"/>
        <v>-0.18493070921159893</v>
      </c>
      <c r="I68">
        <f>VLOOKUP(A68,'[1]Table 1.2'!$A$1:$M$1114,8,FALSE)</f>
        <v>-0.7</v>
      </c>
    </row>
    <row r="69" spans="1:9" x14ac:dyDescent="0.2">
      <c r="A69" s="6" t="s">
        <v>146</v>
      </c>
      <c r="B69" s="7" t="s">
        <v>147</v>
      </c>
      <c r="C69" s="8">
        <v>1.374714</v>
      </c>
      <c r="D69">
        <f>VLOOKUP(A69,[1]national_M2025_dl!$A$1:$H$1402,4,FALSE)</f>
        <v>16370</v>
      </c>
      <c r="E69">
        <f>VLOOKUP(A69,[1]national_M2025_dl!$A$1:$H$1402,8,FALSE)</f>
        <v>117860</v>
      </c>
      <c r="F69">
        <f t="shared" si="4"/>
        <v>1929368200</v>
      </c>
      <c r="G69">
        <f>VLOOKUP(A69,[1]national_M2021_dl!alldata,3,FALSE)</f>
        <v>13840</v>
      </c>
      <c r="H69" s="9">
        <f t="shared" si="3"/>
        <v>0.18280346820809248</v>
      </c>
      <c r="I69">
        <f>VLOOKUP(A69,'[1]Table 1.2'!$A$1:$M$1114,8,FALSE)</f>
        <v>-0.7</v>
      </c>
    </row>
    <row r="70" spans="1:9" x14ac:dyDescent="0.2">
      <c r="A70" s="6" t="s">
        <v>160</v>
      </c>
      <c r="B70" s="7" t="s">
        <v>161</v>
      </c>
      <c r="C70" s="8">
        <v>1.4723189999999999</v>
      </c>
      <c r="D70">
        <f>VLOOKUP(A70,[1]national_M2025_dl!$A$1:$H$1402,4,FALSE)</f>
        <v>2030</v>
      </c>
      <c r="E70">
        <f>VLOOKUP(A70,[1]national_M2025_dl!$A$1:$H$1402,8,FALSE)</f>
        <v>126710</v>
      </c>
      <c r="F70">
        <f>D70*E70</f>
        <v>257221300</v>
      </c>
      <c r="G70">
        <f>VLOOKUP(A70,[1]national_M2021_dl!alldata,3,FALSE)</f>
        <v>1770</v>
      </c>
      <c r="H70" s="9">
        <f t="shared" si="3"/>
        <v>0.14689265536723164</v>
      </c>
      <c r="I70">
        <f>VLOOKUP(A70,'[1]Table 1.2'!$A$1:$M$1114,8,FALSE)</f>
        <v>-0.7</v>
      </c>
    </row>
    <row r="71" spans="1:9" x14ac:dyDescent="0.2">
      <c r="A71" s="6" t="s">
        <v>114</v>
      </c>
      <c r="B71" s="7" t="s">
        <v>115</v>
      </c>
      <c r="C71" s="8">
        <v>1.288375</v>
      </c>
      <c r="D71">
        <f>VLOOKUP(A71,[1]national_M2025_dl!$A$1:$H$1402,4,FALSE)</f>
        <v>4580</v>
      </c>
      <c r="E71">
        <f>VLOOKUP(A71,[1]national_M2025_dl!$A$1:$H$1402,8,FALSE)</f>
        <v>51120</v>
      </c>
      <c r="F71">
        <f>D71*E71</f>
        <v>234129600</v>
      </c>
      <c r="G71">
        <f>VLOOKUP(A71,[1]national_M2021_dl!alldata,3,FALSE)</f>
        <v>5340</v>
      </c>
      <c r="H71" s="9">
        <f t="shared" si="3"/>
        <v>-0.14232209737827714</v>
      </c>
      <c r="I71">
        <f>VLOOKUP(A71,'[1]Table 1.2'!$A$1:$M$1114,8,FALSE)</f>
        <v>-0.6</v>
      </c>
    </row>
    <row r="72" spans="1:9" x14ac:dyDescent="0.2">
      <c r="A72" s="6" t="s">
        <v>128</v>
      </c>
      <c r="B72" s="7" t="s">
        <v>129</v>
      </c>
      <c r="C72" s="8">
        <v>1.3334550000000001</v>
      </c>
      <c r="D72">
        <f>VLOOKUP(A72,[1]national_M2025_dl!$A$1:$H$1402,4,FALSE)</f>
        <v>404060</v>
      </c>
      <c r="E72">
        <f>VLOOKUP(A72,[1]national_M2025_dl!$A$1:$H$1402,8,FALSE)</f>
        <v>48500</v>
      </c>
      <c r="F72">
        <f t="shared" ref="F72:F79" si="5">D72*E72</f>
        <v>19596910000</v>
      </c>
      <c r="G72">
        <f>VLOOKUP(A72,[1]national_M2021_dl!alldata,3,FALSE)</f>
        <v>429080</v>
      </c>
      <c r="H72" s="9">
        <f t="shared" si="3"/>
        <v>-5.831080451197912E-2</v>
      </c>
      <c r="I72">
        <f>VLOOKUP(A72,'[1]Table 1.2'!$A$1:$M$1114,8,FALSE)</f>
        <v>-0.4</v>
      </c>
    </row>
    <row r="73" spans="1:9" x14ac:dyDescent="0.2">
      <c r="A73" t="s">
        <v>50</v>
      </c>
      <c r="B73" s="7" t="s">
        <v>51</v>
      </c>
      <c r="C73" s="8">
        <v>0.83524600000000004</v>
      </c>
      <c r="D73">
        <f>VLOOKUP(A73,[1]national_M2025_dl!$A$1:$H$1402,4,FALSE)</f>
        <v>12870</v>
      </c>
      <c r="E73">
        <f>VLOOKUP(A73,[1]national_M2025_dl!$A$1:$H$1402,8,FALSE)</f>
        <v>72420</v>
      </c>
      <c r="F73">
        <f t="shared" si="5"/>
        <v>932045400</v>
      </c>
      <c r="G73">
        <f>VLOOKUP(A73,[1]national_M2021_dl!alldata,3,FALSE)</f>
        <v>12300</v>
      </c>
      <c r="H73" s="9">
        <f t="shared" si="3"/>
        <v>4.6341463414634146E-2</v>
      </c>
      <c r="I73">
        <f>VLOOKUP(A73,'[1]Table 1.2'!$A$1:$M$1114,8,FALSE)</f>
        <v>-0.3</v>
      </c>
    </row>
    <row r="74" spans="1:9" x14ac:dyDescent="0.2">
      <c r="A74" s="6" t="s">
        <v>72</v>
      </c>
      <c r="B74" s="7" t="s">
        <v>73</v>
      </c>
      <c r="C74" s="8">
        <v>1.0386880000000001</v>
      </c>
      <c r="D74">
        <f>VLOOKUP(A74,[1]national_M2025_dl!$A$1:$H$1402,4,FALSE)</f>
        <v>1436680</v>
      </c>
      <c r="E74">
        <f>VLOOKUP(A74,[1]national_M2025_dl!$A$1:$H$1402,8,FALSE)</f>
        <v>69500</v>
      </c>
      <c r="F74">
        <f t="shared" si="5"/>
        <v>99849260000</v>
      </c>
      <c r="G74">
        <f>VLOOKUP(A74,[1]national_M2021_dl!alldata,3,FALSE)</f>
        <v>1443630</v>
      </c>
      <c r="H74" s="9">
        <f t="shared" si="3"/>
        <v>-4.814252959553348E-3</v>
      </c>
      <c r="I74">
        <f>VLOOKUP(A74,'[1]Table 1.2'!$A$1:$M$1114,8,FALSE)</f>
        <v>-0.3</v>
      </c>
    </row>
    <row r="75" spans="1:9" x14ac:dyDescent="0.2">
      <c r="A75" s="6" t="s">
        <v>130</v>
      </c>
      <c r="B75" s="7" t="s">
        <v>131</v>
      </c>
      <c r="C75" s="8">
        <v>1.33412</v>
      </c>
      <c r="D75">
        <f>VLOOKUP(A75,[1]national_M2025_dl!$A$1:$H$1402,4,FALSE)</f>
        <v>19830</v>
      </c>
      <c r="E75">
        <f>VLOOKUP(A75,[1]national_M2025_dl!$A$1:$H$1402,8,FALSE)</f>
        <v>79350</v>
      </c>
      <c r="F75">
        <f t="shared" si="5"/>
        <v>1573510500</v>
      </c>
      <c r="G75">
        <f>VLOOKUP(A75,[1]national_M2021_dl!alldata,3,FALSE)</f>
        <v>19640</v>
      </c>
      <c r="H75" s="9">
        <f t="shared" si="3"/>
        <v>9.674134419551934E-3</v>
      </c>
      <c r="I75">
        <f>VLOOKUP(A75,'[1]Table 1.2'!$A$1:$M$1114,8,FALSE)</f>
        <v>-0.2</v>
      </c>
    </row>
    <row r="76" spans="1:9" x14ac:dyDescent="0.2">
      <c r="A76" s="6" t="s">
        <v>156</v>
      </c>
      <c r="B76" s="7" t="s">
        <v>157</v>
      </c>
      <c r="C76" s="8">
        <v>1.4374899999999999</v>
      </c>
      <c r="D76">
        <f>VLOOKUP(A76,[1]national_M2025_dl!$A$1:$H$1402,4,FALSE)</f>
        <v>18790</v>
      </c>
      <c r="E76">
        <f>VLOOKUP(A76,[1]national_M2025_dl!$A$1:$H$1402,8,FALSE)</f>
        <v>83820</v>
      </c>
      <c r="F76">
        <f t="shared" si="5"/>
        <v>1574977800</v>
      </c>
      <c r="G76">
        <f>VLOOKUP(A76,[1]national_M2021_dl!alldata,3,FALSE)</f>
        <v>18590</v>
      </c>
      <c r="H76" s="9">
        <f t="shared" si="3"/>
        <v>1.0758472296933835E-2</v>
      </c>
      <c r="I76">
        <f>VLOOKUP(A76,'[1]Table 1.2'!$A$1:$M$1114,8,FALSE)</f>
        <v>-0.2</v>
      </c>
    </row>
    <row r="77" spans="1:9" x14ac:dyDescent="0.2">
      <c r="A77" s="6" t="s">
        <v>12</v>
      </c>
      <c r="B77" s="7" t="s">
        <v>13</v>
      </c>
      <c r="C77" s="8">
        <v>0.1235652</v>
      </c>
      <c r="D77">
        <f>VLOOKUP(A77,[1]national_M2025_dl!$A$1:$H$1402,4,FALSE)</f>
        <v>64520</v>
      </c>
      <c r="E77">
        <f>VLOOKUP(A77,[1]national_M2025_dl!$A$1:$H$1402,8,FALSE)</f>
        <v>39320</v>
      </c>
      <c r="F77">
        <f t="shared" si="5"/>
        <v>2536926400</v>
      </c>
      <c r="G77">
        <f>VLOOKUP(A77,[1]national_M2021_dl!alldata,3,FALSE)</f>
        <v>40680</v>
      </c>
      <c r="H77" s="9">
        <f t="shared" si="3"/>
        <v>0.58603736479842672</v>
      </c>
      <c r="I77">
        <f>VLOOKUP(A77,'[1]Table 1.2'!$A$1:$M$1114,8,FALSE)</f>
        <v>-0.1</v>
      </c>
    </row>
    <row r="78" spans="1:9" x14ac:dyDescent="0.2">
      <c r="A78" s="6" t="s">
        <v>122</v>
      </c>
      <c r="B78" s="7" t="s">
        <v>123</v>
      </c>
      <c r="C78" s="8">
        <v>1.3253299999999999</v>
      </c>
      <c r="D78">
        <f>VLOOKUP(A78,[1]national_M2025_dl!$A$1:$H$1402,4,FALSE)</f>
        <v>113790</v>
      </c>
      <c r="E78">
        <f>VLOOKUP(A78,[1]national_M2025_dl!$A$1:$H$1402,8,FALSE)</f>
        <v>66140</v>
      </c>
      <c r="F78">
        <f t="shared" si="5"/>
        <v>7526070600</v>
      </c>
      <c r="G78">
        <f>VLOOKUP(A78,[1]national_M2021_dl!alldata,3,FALSE)</f>
        <v>164650</v>
      </c>
      <c r="H78" s="9">
        <f t="shared" si="3"/>
        <v>-0.30889766170665045</v>
      </c>
      <c r="I78">
        <f>VLOOKUP(A78,'[1]Table 1.2'!$A$1:$M$1114,8,FALSE)</f>
        <v>-0.1</v>
      </c>
    </row>
    <row r="79" spans="1:9" x14ac:dyDescent="0.2">
      <c r="A79" s="6" t="s">
        <v>132</v>
      </c>
      <c r="B79" s="7" t="s">
        <v>133</v>
      </c>
      <c r="C79" s="8">
        <v>1.3348340000000001</v>
      </c>
      <c r="D79">
        <f>VLOOKUP(A79,[1]national_M2025_dl!$A$1:$H$1402,4,FALSE)</f>
        <v>64810</v>
      </c>
      <c r="E79">
        <f>VLOOKUP(A79,[1]national_M2025_dl!$A$1:$H$1402,8,FALSE)</f>
        <v>95420</v>
      </c>
      <c r="F79">
        <f t="shared" si="5"/>
        <v>6184170200</v>
      </c>
      <c r="G79">
        <f>VLOOKUP(A79,[1]national_M2021_dl!alldata,3,FALSE)</f>
        <v>63810</v>
      </c>
      <c r="H79" s="9">
        <f t="shared" si="3"/>
        <v>1.567152483936687E-2</v>
      </c>
      <c r="I79">
        <f>VLOOKUP(A79,'[1]Table 1.2'!$A$1:$M$1114,8,FALSE)</f>
        <v>-0.1</v>
      </c>
    </row>
    <row r="80" spans="1:9" x14ac:dyDescent="0.2">
      <c r="D80" s="16">
        <f>SUM(D2:D79)</f>
        <v>19166000</v>
      </c>
      <c r="E80" s="16">
        <f>SUM(E2:E79)</f>
        <v>5115160</v>
      </c>
      <c r="F80" s="16">
        <f>SUM(F2:F79)</f>
        <v>1107843826900</v>
      </c>
    </row>
    <row r="82" spans="5:6" x14ac:dyDescent="0.2">
      <c r="F82" s="16">
        <v>1107843826900</v>
      </c>
    </row>
    <row r="84" spans="5:6" x14ac:dyDescent="0.2">
      <c r="E84" t="s">
        <v>164</v>
      </c>
      <c r="F84" s="16">
        <f>F80/D80</f>
        <v>57802.558014191796</v>
      </c>
    </row>
    <row r="85" spans="5:6" x14ac:dyDescent="0.2">
      <c r="E85" t="s">
        <v>165</v>
      </c>
    </row>
  </sheetData>
  <autoFilter ref="A1:I79" xr:uid="{BB704CF5-3BB8-0140-897E-72BE5EA88610}">
    <sortState xmlns:xlrd2="http://schemas.microsoft.com/office/spreadsheetml/2017/richdata2" ref="A2:I79">
      <sortCondition ref="I1:I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Declining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Togayeva, Arna</dc:creator>
  <cp:lastModifiedBy>Togayeva, Arna</cp:lastModifiedBy>
  <dcterms:created xsi:type="dcterms:W3CDTF">2026-05-27T09:59:33Z</dcterms:created>
  <dcterms:modified xsi:type="dcterms:W3CDTF">2026-05-28T09:27:10Z</dcterms:modified>
</cp:coreProperties>
</file>